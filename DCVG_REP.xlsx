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mbeddings/oleObject1.bin" ContentType="application/vnd.openxmlformats-officedocument.oleObject"/>
  <Override PartName="/xl/drawings/drawing2.xml" ContentType="application/vnd.openxmlformats-officedocument.drawing+xml"/>
  <Override PartName="/xl/embeddings/oleObject2.bin" ContentType="application/vnd.openxmlformats-officedocument.oleObject"/>
  <Override PartName="/xl/drawings/drawing3.xml" ContentType="application/vnd.openxmlformats-officedocument.drawing+xml"/>
  <Override PartName="/xl/embeddings/oleObject3.bin" ContentType="application/vnd.openxmlformats-officedocument.oleObject"/>
  <Override PartName="/xl/charts/chart1.xml" ContentType="application/vnd.openxmlformats-officedocument.drawingml.chart+xml"/>
  <Override PartName="/xl/drawings/drawing4.xml" ContentType="application/vnd.openxmlformats-officedocument.drawingml.chartshapes+xml"/>
  <Override PartName="/xl/drawings/drawing5.xml" ContentType="application/vnd.openxmlformats-officedocument.drawing+xml"/>
  <Override PartName="/xl/embeddings/oleObject4.bin" ContentType="application/vnd.openxmlformats-officedocument.oleObject"/>
  <Override PartName="/xl/drawings/drawing6.xml" ContentType="application/vnd.openxmlformats-officedocument.drawing+xml"/>
  <Override PartName="/xl/embeddings/oleObject5.bin" ContentType="application/vnd.openxmlformats-officedocument.oleObject"/>
  <Override PartName="/xl/charts/chart2.xml" ContentType="application/vnd.openxmlformats-officedocument.drawingml.chart+xml"/>
  <Override PartName="/xl/drawings/drawing7.xml" ContentType="application/vnd.openxmlformats-officedocument.drawingml.chartshapes+xml"/>
  <Override PartName="/xl/drawings/drawing8.xml" ContentType="application/vnd.openxmlformats-officedocument.drawing+xml"/>
  <Override PartName="/xl/embeddings/oleObject6.bin" ContentType="application/vnd.openxmlformats-officedocument.oleObject"/>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updateLinks="never" codeName="ThisWorkbook" defaultThemeVersion="124226"/>
  <mc:AlternateContent xmlns:mc="http://schemas.openxmlformats.org/markup-compatibility/2006">
    <mc:Choice Requires="x15">
      <x15ac:absPath xmlns:x15ac="http://schemas.microsoft.com/office/spreadsheetml/2010/11/ac" url="C:\Users\edwin\Downloads\"/>
    </mc:Choice>
  </mc:AlternateContent>
  <xr:revisionPtr revIDLastSave="0" documentId="8_{E16C8AF4-0DEF-4F00-90F0-9163B198B6DC}" xr6:coauthVersionLast="47" xr6:coauthVersionMax="47" xr10:uidLastSave="{00000000-0000-0000-0000-000000000000}"/>
  <bookViews>
    <workbookView xWindow="28680" yWindow="-120" windowWidth="29040" windowHeight="16440" tabRatio="801" firstSheet="1" activeTab="2" xr2:uid="{00000000-000D-0000-FFFF-FFFF00000000}"/>
  </bookViews>
  <sheets>
    <sheet name="Hoja1" sheetId="43" state="hidden" r:id="rId1"/>
    <sheet name="Informe" sheetId="32" r:id="rId2"/>
    <sheet name="Inspección DCVG" sheetId="25" r:id="rId3"/>
    <sheet name="Hoja2" sheetId="56" state="hidden" r:id="rId4"/>
    <sheet name="GRAFICA DCVG" sheetId="44" r:id="rId5"/>
    <sheet name="Resistividad" sheetId="47" r:id="rId6"/>
    <sheet name="Gráfica Resistividad" sheetId="48" r:id="rId7"/>
    <sheet name="Hallazgos" sheetId="45" r:id="rId8"/>
  </sheets>
  <definedNames>
    <definedName name="_xlnm._FilterDatabase" localSheetId="7" hidden="1">Hallazgos!$A$11:$M$103</definedName>
    <definedName name="_xlnm._FilterDatabase" localSheetId="2" hidden="1">'Inspección DCVG'!$A$6:$X$237</definedName>
    <definedName name="_xlnm._FilterDatabase" localSheetId="5" hidden="1">Resistividad!$A$8:$W$289</definedName>
    <definedName name="_xlnm.Print_Area" localSheetId="4">'GRAFICA DCVG'!$B$2:$L$37</definedName>
    <definedName name="_xlnm.Print_Area" localSheetId="6">'Gráfica Resistividad'!$B$2:$L$37</definedName>
    <definedName name="_xlnm.Print_Area" localSheetId="7">Hallazgos!$A$1:$M$125</definedName>
    <definedName name="_xlnm.Print_Area" localSheetId="1">Informe!$A$1:$AH$101</definedName>
    <definedName name="_xlnm.Print_Area" localSheetId="2">'Inspección DCVG'!$A$1:$X$242</definedName>
    <definedName name="_xlnm.Print_Area" localSheetId="5">Resistividad!$A$1:$T$294</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55" i="32" l="1"/>
  <c r="Q57" i="32" l="1"/>
  <c r="O57" i="32"/>
  <c r="K57" i="32"/>
  <c r="H57" i="32"/>
  <c r="Q56" i="32"/>
  <c r="O56" i="32"/>
  <c r="K56" i="32"/>
  <c r="Q55" i="32"/>
  <c r="O55" i="32"/>
  <c r="K55" i="32"/>
  <c r="H56" i="32"/>
  <c r="D34" i="48" l="1"/>
  <c r="D34" i="44"/>
  <c r="E5" i="56"/>
  <c r="E7" i="56"/>
  <c r="E9" i="56"/>
  <c r="E11" i="56"/>
  <c r="E13" i="56"/>
  <c r="E15" i="56"/>
  <c r="E17" i="56"/>
  <c r="E19" i="56"/>
  <c r="E21" i="56"/>
  <c r="E23" i="56"/>
  <c r="E25" i="56"/>
  <c r="E27" i="56"/>
  <c r="E29" i="56"/>
  <c r="E3" i="56"/>
  <c r="E30" i="56" s="1"/>
  <c r="U79" i="47"/>
  <c r="V79" i="47"/>
  <c r="W79" i="47"/>
  <c r="W86" i="47"/>
  <c r="V86" i="47"/>
  <c r="U86" i="47"/>
  <c r="W88" i="47"/>
  <c r="V88" i="47"/>
  <c r="U88" i="47"/>
  <c r="V80" i="47"/>
  <c r="W80" i="47"/>
  <c r="U80" i="47"/>
  <c r="O293" i="47"/>
  <c r="O294" i="47"/>
  <c r="O292" i="47"/>
  <c r="F293" i="47"/>
  <c r="F294" i="47"/>
  <c r="B293" i="47"/>
  <c r="B294" i="47"/>
  <c r="L124" i="45"/>
  <c r="L125" i="45"/>
  <c r="L123" i="45"/>
  <c r="G124" i="45"/>
  <c r="G125" i="45"/>
  <c r="C124" i="45"/>
  <c r="C125" i="45"/>
  <c r="L8" i="45"/>
  <c r="L9" i="45"/>
  <c r="L7" i="45"/>
  <c r="L6" i="45"/>
  <c r="C7" i="45"/>
  <c r="C8" i="45"/>
  <c r="C9" i="45"/>
  <c r="C6" i="45"/>
  <c r="D36" i="48"/>
  <c r="D35" i="48"/>
  <c r="D32" i="48"/>
  <c r="D33" i="48"/>
  <c r="D31" i="48"/>
  <c r="S4" i="47"/>
  <c r="S5" i="47"/>
  <c r="S6" i="47"/>
  <c r="S3" i="47"/>
  <c r="N4" i="47"/>
  <c r="N5" i="47"/>
  <c r="N6" i="47"/>
  <c r="N3" i="47"/>
  <c r="D4" i="47"/>
  <c r="D5" i="47"/>
  <c r="D6" i="47"/>
  <c r="D3" i="47"/>
  <c r="D36" i="44"/>
  <c r="D35" i="44"/>
  <c r="D32" i="44"/>
  <c r="D33" i="44"/>
  <c r="D31" i="44"/>
  <c r="T241" i="25"/>
  <c r="T242" i="25"/>
  <c r="T240" i="25"/>
  <c r="G241" i="25"/>
  <c r="G242" i="25"/>
  <c r="G240" i="25"/>
  <c r="C241" i="25"/>
  <c r="C242" i="25"/>
  <c r="C240" i="25"/>
  <c r="W33" i="47"/>
  <c r="W34" i="47"/>
  <c r="W35" i="47"/>
  <c r="W36" i="47"/>
  <c r="W37" i="47"/>
  <c r="W38" i="47"/>
  <c r="V33" i="47"/>
  <c r="V34" i="47"/>
  <c r="V35" i="47"/>
  <c r="V36" i="47"/>
  <c r="V37" i="47"/>
  <c r="V38" i="47"/>
  <c r="U33" i="47"/>
  <c r="U34" i="47"/>
  <c r="U35" i="47"/>
  <c r="U36" i="47"/>
  <c r="U37" i="47"/>
  <c r="U38" i="47"/>
  <c r="T10" i="47" l="1"/>
  <c r="W10" i="47" s="1"/>
  <c r="T11" i="47"/>
  <c r="W11" i="47" s="1"/>
  <c r="T12" i="47"/>
  <c r="W12" i="47" s="1"/>
  <c r="T13" i="47"/>
  <c r="W13" i="47" s="1"/>
  <c r="T14" i="47"/>
  <c r="W14" i="47" s="1"/>
  <c r="T15" i="47"/>
  <c r="W15" i="47" s="1"/>
  <c r="T16" i="47"/>
  <c r="W16" i="47" s="1"/>
  <c r="T17" i="47"/>
  <c r="W17" i="47" s="1"/>
  <c r="T18" i="47"/>
  <c r="W18" i="47" s="1"/>
  <c r="T19" i="47"/>
  <c r="W19" i="47" s="1"/>
  <c r="T20" i="47"/>
  <c r="W20" i="47" s="1"/>
  <c r="T21" i="47"/>
  <c r="W21" i="47" s="1"/>
  <c r="T22" i="47"/>
  <c r="W22" i="47" s="1"/>
  <c r="T23" i="47"/>
  <c r="W23" i="47" s="1"/>
  <c r="T24" i="47"/>
  <c r="W24" i="47" s="1"/>
  <c r="S10" i="47"/>
  <c r="V10" i="47" s="1"/>
  <c r="S11" i="47"/>
  <c r="V11" i="47" s="1"/>
  <c r="S12" i="47"/>
  <c r="V12" i="47" s="1"/>
  <c r="S13" i="47"/>
  <c r="V13" i="47" s="1"/>
  <c r="S14" i="47"/>
  <c r="V14" i="47" s="1"/>
  <c r="S15" i="47"/>
  <c r="V15" i="47" s="1"/>
  <c r="S16" i="47"/>
  <c r="V16" i="47" s="1"/>
  <c r="S17" i="47"/>
  <c r="V17" i="47" s="1"/>
  <c r="S18" i="47"/>
  <c r="V18" i="47" s="1"/>
  <c r="S19" i="47"/>
  <c r="V19" i="47" s="1"/>
  <c r="S20" i="47"/>
  <c r="V20" i="47" s="1"/>
  <c r="S21" i="47"/>
  <c r="V21" i="47" s="1"/>
  <c r="S22" i="47"/>
  <c r="V22" i="47" s="1"/>
  <c r="S23" i="47"/>
  <c r="V23" i="47" s="1"/>
  <c r="S24" i="47"/>
  <c r="V24" i="47" s="1"/>
  <c r="R10" i="47"/>
  <c r="U10" i="47" s="1"/>
  <c r="R11" i="47"/>
  <c r="U11" i="47" s="1"/>
  <c r="R12" i="47"/>
  <c r="U12" i="47" s="1"/>
  <c r="R13" i="47"/>
  <c r="U13" i="47" s="1"/>
  <c r="R14" i="47"/>
  <c r="U14" i="47" s="1"/>
  <c r="R15" i="47"/>
  <c r="U15" i="47" s="1"/>
  <c r="R16" i="47"/>
  <c r="U16" i="47" s="1"/>
  <c r="R17" i="47"/>
  <c r="U17" i="47" s="1"/>
  <c r="R18" i="47"/>
  <c r="U18" i="47" s="1"/>
  <c r="R19" i="47"/>
  <c r="U19" i="47" s="1"/>
  <c r="R20" i="47"/>
  <c r="U20" i="47" s="1"/>
  <c r="R21" i="47"/>
  <c r="U21" i="47" s="1"/>
  <c r="R22" i="47"/>
  <c r="U22" i="47" s="1"/>
  <c r="R23" i="47"/>
  <c r="U23" i="47" s="1"/>
  <c r="R24" i="47"/>
  <c r="U24" i="47" s="1"/>
  <c r="P10" i="47"/>
  <c r="P11" i="47"/>
  <c r="P12" i="47"/>
  <c r="P13" i="47"/>
  <c r="P14" i="47"/>
  <c r="P15" i="47"/>
  <c r="P16" i="47"/>
  <c r="P17" i="47"/>
  <c r="P18" i="47"/>
  <c r="P19" i="47"/>
  <c r="P20" i="47"/>
  <c r="P21" i="47"/>
  <c r="P22" i="47"/>
  <c r="P23" i="47"/>
  <c r="P24" i="47"/>
  <c r="N10" i="47"/>
  <c r="N11" i="47"/>
  <c r="N12" i="47"/>
  <c r="N13" i="47"/>
  <c r="N14" i="47"/>
  <c r="N15" i="47"/>
  <c r="N16" i="47"/>
  <c r="N17" i="47"/>
  <c r="N18" i="47"/>
  <c r="N19" i="47"/>
  <c r="N20" i="47"/>
  <c r="N21" i="47"/>
  <c r="N22" i="47"/>
  <c r="N23" i="47"/>
  <c r="N24" i="47"/>
  <c r="L10" i="47"/>
  <c r="L11" i="47"/>
  <c r="L12" i="47"/>
  <c r="L13" i="47"/>
  <c r="L14" i="47"/>
  <c r="L15" i="47"/>
  <c r="L16" i="47"/>
  <c r="L17" i="47"/>
  <c r="L18" i="47"/>
  <c r="L19" i="47"/>
  <c r="L20" i="47"/>
  <c r="L21" i="47"/>
  <c r="L22" i="47"/>
  <c r="L23" i="47"/>
  <c r="L24" i="47"/>
  <c r="U26" i="47"/>
  <c r="V26" i="47"/>
  <c r="W26" i="47"/>
  <c r="U27" i="47"/>
  <c r="V27" i="47"/>
  <c r="W27" i="47"/>
  <c r="U28" i="47"/>
  <c r="V28" i="47"/>
  <c r="W28" i="47"/>
  <c r="U29" i="47"/>
  <c r="V29" i="47"/>
  <c r="W29" i="47"/>
  <c r="U30" i="47"/>
  <c r="V30" i="47"/>
  <c r="W30" i="47"/>
  <c r="U31" i="47"/>
  <c r="V31" i="47"/>
  <c r="W31" i="47"/>
  <c r="U32" i="47"/>
  <c r="V32" i="47"/>
  <c r="W32" i="47"/>
  <c r="U39" i="47"/>
  <c r="V39" i="47"/>
  <c r="W39" i="47"/>
  <c r="U40" i="47"/>
  <c r="V40" i="47"/>
  <c r="W40" i="47"/>
  <c r="U41" i="47"/>
  <c r="V41" i="47"/>
  <c r="W41" i="47"/>
  <c r="U42" i="47"/>
  <c r="V42" i="47"/>
  <c r="W42" i="47"/>
  <c r="U43" i="47"/>
  <c r="V43" i="47"/>
  <c r="W43" i="47"/>
  <c r="U44" i="47"/>
  <c r="V44" i="47"/>
  <c r="W44" i="47"/>
  <c r="U45" i="47"/>
  <c r="V45" i="47"/>
  <c r="W45" i="47"/>
  <c r="U46" i="47"/>
  <c r="V46" i="47"/>
  <c r="W46" i="47"/>
  <c r="U47" i="47"/>
  <c r="V47" i="47"/>
  <c r="W47" i="47"/>
  <c r="U48" i="47"/>
  <c r="V48" i="47"/>
  <c r="W48" i="47"/>
  <c r="U49" i="47"/>
  <c r="V49" i="47"/>
  <c r="W49" i="47"/>
  <c r="U50" i="47"/>
  <c r="V50" i="47"/>
  <c r="W50" i="47"/>
  <c r="U51" i="47"/>
  <c r="V51" i="47"/>
  <c r="W51" i="47"/>
  <c r="U52" i="47"/>
  <c r="V52" i="47"/>
  <c r="W52" i="47"/>
  <c r="U53" i="47"/>
  <c r="V53" i="47"/>
  <c r="W53" i="47"/>
  <c r="T25" i="47"/>
  <c r="W25" i="47" s="1"/>
  <c r="W54" i="47"/>
  <c r="W55" i="47"/>
  <c r="W56" i="47"/>
  <c r="W57" i="47"/>
  <c r="W58" i="47"/>
  <c r="W59" i="47"/>
  <c r="W60" i="47"/>
  <c r="W61" i="47"/>
  <c r="S25" i="47"/>
  <c r="V25" i="47" s="1"/>
  <c r="V54" i="47"/>
  <c r="V55" i="47"/>
  <c r="V56" i="47"/>
  <c r="V57" i="47"/>
  <c r="V58" i="47"/>
  <c r="V59" i="47"/>
  <c r="V60" i="47"/>
  <c r="V61" i="47"/>
  <c r="R25" i="47"/>
  <c r="U25" i="47" s="1"/>
  <c r="U54" i="47"/>
  <c r="U55" i="47"/>
  <c r="U56" i="47"/>
  <c r="U57" i="47"/>
  <c r="U58" i="47"/>
  <c r="U59" i="47"/>
  <c r="U60" i="47"/>
  <c r="U61" i="47"/>
  <c r="P25" i="47"/>
  <c r="N25" i="47"/>
  <c r="L25" i="47"/>
  <c r="U135" i="47"/>
  <c r="V135" i="47"/>
  <c r="W135" i="47"/>
  <c r="U136" i="47"/>
  <c r="V136" i="47"/>
  <c r="W136" i="47"/>
  <c r="U137" i="47"/>
  <c r="V137" i="47"/>
  <c r="W137" i="47"/>
  <c r="U138" i="47"/>
  <c r="V138" i="47"/>
  <c r="W138" i="47"/>
  <c r="U139" i="47"/>
  <c r="V139" i="47"/>
  <c r="W139" i="47"/>
  <c r="U140" i="47"/>
  <c r="V140" i="47"/>
  <c r="W140" i="47"/>
  <c r="U141" i="47"/>
  <c r="V141" i="47"/>
  <c r="W141" i="47"/>
  <c r="W65" i="47"/>
  <c r="W66" i="47"/>
  <c r="W67" i="47"/>
  <c r="W68" i="47"/>
  <c r="W69" i="47"/>
  <c r="W70" i="47"/>
  <c r="W71" i="47"/>
  <c r="W72" i="47"/>
  <c r="W73" i="47"/>
  <c r="W74" i="47"/>
  <c r="W75" i="47"/>
  <c r="W76" i="47"/>
  <c r="W77" i="47"/>
  <c r="W78" i="47"/>
  <c r="W81" i="47"/>
  <c r="W82" i="47"/>
  <c r="W83" i="47"/>
  <c r="W84" i="47"/>
  <c r="W85" i="47"/>
  <c r="W87" i="47"/>
  <c r="W89" i="47"/>
  <c r="W90" i="47"/>
  <c r="W91" i="47"/>
  <c r="W92" i="47"/>
  <c r="W93" i="47"/>
  <c r="W94" i="47"/>
  <c r="W95" i="47"/>
  <c r="W96" i="47"/>
  <c r="W97" i="47"/>
  <c r="W98" i="47"/>
  <c r="W99" i="47"/>
  <c r="W100" i="47"/>
  <c r="W101" i="47"/>
  <c r="W102" i="47"/>
  <c r="W103" i="47"/>
  <c r="W104" i="47"/>
  <c r="W105" i="47"/>
  <c r="W106" i="47"/>
  <c r="W107" i="47"/>
  <c r="W108" i="47"/>
  <c r="W109" i="47"/>
  <c r="W110" i="47"/>
  <c r="W111" i="47"/>
  <c r="W112" i="47"/>
  <c r="W113" i="47"/>
  <c r="W114" i="47"/>
  <c r="W115" i="47"/>
  <c r="W116" i="47"/>
  <c r="W117" i="47"/>
  <c r="W118" i="47"/>
  <c r="W119" i="47"/>
  <c r="W120" i="47"/>
  <c r="W121" i="47"/>
  <c r="W122" i="47"/>
  <c r="W123" i="47"/>
  <c r="W124" i="47"/>
  <c r="W125" i="47"/>
  <c r="W126" i="47"/>
  <c r="W127" i="47"/>
  <c r="W128" i="47"/>
  <c r="W129" i="47"/>
  <c r="W130" i="47"/>
  <c r="W131" i="47"/>
  <c r="W132" i="47"/>
  <c r="W133" i="47"/>
  <c r="W134" i="47"/>
  <c r="W142" i="47"/>
  <c r="W143" i="47"/>
  <c r="W144" i="47"/>
  <c r="W145" i="47"/>
  <c r="V65" i="47"/>
  <c r="V66" i="47"/>
  <c r="V67" i="47"/>
  <c r="V68" i="47"/>
  <c r="V69" i="47"/>
  <c r="V70" i="47"/>
  <c r="V71" i="47"/>
  <c r="V72" i="47"/>
  <c r="V73" i="47"/>
  <c r="V74" i="47"/>
  <c r="V75" i="47"/>
  <c r="V76" i="47"/>
  <c r="V77" i="47"/>
  <c r="V78" i="47"/>
  <c r="V81" i="47"/>
  <c r="V82" i="47"/>
  <c r="V83" i="47"/>
  <c r="V84" i="47"/>
  <c r="V85" i="47"/>
  <c r="V87" i="47"/>
  <c r="V89" i="47"/>
  <c r="V90" i="47"/>
  <c r="V91" i="47"/>
  <c r="V92" i="47"/>
  <c r="V93" i="47"/>
  <c r="V94" i="47"/>
  <c r="V95" i="47"/>
  <c r="V96" i="47"/>
  <c r="V97" i="47"/>
  <c r="V98" i="47"/>
  <c r="V99" i="47"/>
  <c r="V100" i="47"/>
  <c r="V101" i="47"/>
  <c r="V102" i="47"/>
  <c r="V103" i="47"/>
  <c r="V104" i="47"/>
  <c r="V105" i="47"/>
  <c r="V106" i="47"/>
  <c r="V107" i="47"/>
  <c r="V108" i="47"/>
  <c r="V109" i="47"/>
  <c r="V110" i="47"/>
  <c r="V111" i="47"/>
  <c r="V112" i="47"/>
  <c r="V113" i="47"/>
  <c r="V114" i="47"/>
  <c r="V115" i="47"/>
  <c r="V116" i="47"/>
  <c r="V117" i="47"/>
  <c r="V118" i="47"/>
  <c r="V119" i="47"/>
  <c r="V120" i="47"/>
  <c r="V121" i="47"/>
  <c r="V122" i="47"/>
  <c r="V123" i="47"/>
  <c r="V124" i="47"/>
  <c r="V125" i="47"/>
  <c r="V126" i="47"/>
  <c r="V127" i="47"/>
  <c r="V128" i="47"/>
  <c r="V129" i="47"/>
  <c r="V130" i="47"/>
  <c r="V131" i="47"/>
  <c r="V132" i="47"/>
  <c r="V133" i="47"/>
  <c r="V134" i="47"/>
  <c r="V142" i="47"/>
  <c r="V143" i="47"/>
  <c r="V144" i="47"/>
  <c r="V145" i="47"/>
  <c r="U65" i="47"/>
  <c r="U66" i="47"/>
  <c r="U67" i="47"/>
  <c r="U68" i="47"/>
  <c r="U69" i="47"/>
  <c r="U70" i="47"/>
  <c r="U71" i="47"/>
  <c r="U72" i="47"/>
  <c r="U73" i="47"/>
  <c r="U74" i="47"/>
  <c r="U75" i="47"/>
  <c r="U76" i="47"/>
  <c r="U77" i="47"/>
  <c r="U78" i="47"/>
  <c r="U81" i="47"/>
  <c r="U82" i="47"/>
  <c r="U83" i="47"/>
  <c r="U84" i="47"/>
  <c r="U85" i="47"/>
  <c r="U87" i="47"/>
  <c r="U89" i="47"/>
  <c r="U90" i="47"/>
  <c r="U91" i="47"/>
  <c r="U92" i="47"/>
  <c r="U93" i="47"/>
  <c r="U94" i="47"/>
  <c r="U95" i="47"/>
  <c r="U96" i="47"/>
  <c r="U97" i="47"/>
  <c r="U98" i="47"/>
  <c r="U99" i="47"/>
  <c r="U100" i="47"/>
  <c r="U101" i="47"/>
  <c r="U102" i="47"/>
  <c r="U103" i="47"/>
  <c r="U104" i="47"/>
  <c r="U105" i="47"/>
  <c r="U106" i="47"/>
  <c r="U107" i="47"/>
  <c r="U108" i="47"/>
  <c r="U109" i="47"/>
  <c r="U110" i="47"/>
  <c r="U111" i="47"/>
  <c r="U112" i="47"/>
  <c r="U113" i="47"/>
  <c r="U114" i="47"/>
  <c r="U115" i="47"/>
  <c r="U116" i="47"/>
  <c r="U117" i="47"/>
  <c r="U118" i="47"/>
  <c r="U119" i="47"/>
  <c r="U120" i="47"/>
  <c r="U121" i="47"/>
  <c r="U122" i="47"/>
  <c r="U123" i="47"/>
  <c r="U124" i="47"/>
  <c r="U125" i="47"/>
  <c r="U126" i="47"/>
  <c r="U127" i="47"/>
  <c r="U128" i="47"/>
  <c r="U129" i="47"/>
  <c r="U130" i="47"/>
  <c r="U131" i="47"/>
  <c r="U132" i="47"/>
  <c r="U133" i="47"/>
  <c r="U134" i="47"/>
  <c r="U142" i="47"/>
  <c r="U143" i="47"/>
  <c r="U144" i="47"/>
  <c r="U145" i="47"/>
  <c r="W166" i="47"/>
  <c r="W167" i="47"/>
  <c r="W168" i="47"/>
  <c r="W169" i="47"/>
  <c r="W170" i="47"/>
  <c r="W171" i="47"/>
  <c r="W172" i="47"/>
  <c r="W231" i="47"/>
  <c r="W232" i="47"/>
  <c r="W233" i="47"/>
  <c r="W234" i="47"/>
  <c r="W235" i="47"/>
  <c r="W236" i="47"/>
  <c r="W237" i="47"/>
  <c r="W238" i="47"/>
  <c r="W239" i="47"/>
  <c r="W240" i="47"/>
  <c r="W241" i="47"/>
  <c r="W242" i="47"/>
  <c r="V161" i="47"/>
  <c r="V162" i="47"/>
  <c r="V163" i="47"/>
  <c r="V164" i="47"/>
  <c r="V165" i="47"/>
  <c r="V166" i="47"/>
  <c r="V167" i="47"/>
  <c r="V168" i="47"/>
  <c r="V169" i="47"/>
  <c r="V170" i="47"/>
  <c r="V171" i="47"/>
  <c r="V172" i="47"/>
  <c r="V173" i="47"/>
  <c r="V174" i="47"/>
  <c r="V175" i="47"/>
  <c r="V176" i="47"/>
  <c r="V231" i="47"/>
  <c r="V232" i="47"/>
  <c r="V233" i="47"/>
  <c r="V234" i="47"/>
  <c r="V235" i="47"/>
  <c r="V236" i="47"/>
  <c r="V237" i="47"/>
  <c r="V238" i="47"/>
  <c r="V239" i="47"/>
  <c r="V240" i="47"/>
  <c r="V241" i="47"/>
  <c r="V242" i="47"/>
  <c r="U163" i="47"/>
  <c r="U164" i="47"/>
  <c r="U165" i="47"/>
  <c r="U166" i="47"/>
  <c r="U167" i="47"/>
  <c r="U168" i="47"/>
  <c r="U169" i="47"/>
  <c r="U170" i="47"/>
  <c r="U171" i="47"/>
  <c r="U172" i="47"/>
  <c r="U173" i="47"/>
  <c r="U174" i="47"/>
  <c r="U231" i="47"/>
  <c r="U232" i="47"/>
  <c r="U233" i="47"/>
  <c r="U234" i="47"/>
  <c r="U235" i="47"/>
  <c r="U236" i="47"/>
  <c r="U237" i="47"/>
  <c r="U238" i="47"/>
  <c r="U239" i="47"/>
  <c r="U240" i="47"/>
  <c r="U241" i="47"/>
  <c r="U242" i="47"/>
  <c r="R245" i="47"/>
  <c r="R246" i="47"/>
  <c r="R247" i="47"/>
  <c r="R248" i="47"/>
  <c r="R249" i="47"/>
  <c r="R250" i="47"/>
  <c r="R251" i="47"/>
  <c r="R252" i="47"/>
  <c r="R253" i="47"/>
  <c r="R254" i="47"/>
  <c r="R255" i="47"/>
  <c r="R256" i="47"/>
  <c r="R257" i="47"/>
  <c r="R258" i="47"/>
  <c r="R259" i="47"/>
  <c r="R260" i="47"/>
  <c r="R261" i="47"/>
  <c r="R262" i="47"/>
  <c r="R263" i="47"/>
  <c r="R264" i="47"/>
  <c r="R265" i="47"/>
  <c r="R266" i="47"/>
  <c r="R267" i="47"/>
  <c r="R268" i="47"/>
  <c r="R269" i="47"/>
  <c r="R270" i="47"/>
  <c r="R271" i="47"/>
  <c r="R272" i="47"/>
  <c r="R273" i="47"/>
  <c r="R274" i="47"/>
  <c r="R275" i="47"/>
  <c r="R276" i="47"/>
  <c r="R277" i="47"/>
  <c r="R278" i="47"/>
  <c r="R279" i="47"/>
  <c r="R280" i="47"/>
  <c r="R281" i="47"/>
  <c r="R282" i="47"/>
  <c r="R283" i="47"/>
  <c r="R284" i="47"/>
  <c r="R285" i="47"/>
  <c r="R286" i="47"/>
  <c r="R287" i="47"/>
  <c r="R288" i="47"/>
  <c r="R289" i="47"/>
  <c r="W159" i="47"/>
  <c r="W160" i="47"/>
  <c r="W161" i="47"/>
  <c r="W162" i="47"/>
  <c r="W163" i="47"/>
  <c r="W164" i="47"/>
  <c r="W165" i="47"/>
  <c r="V159" i="47"/>
  <c r="V160" i="47"/>
  <c r="U159" i="47"/>
  <c r="U160" i="47"/>
  <c r="U161" i="47"/>
  <c r="U162" i="47"/>
  <c r="H58" i="32" l="1"/>
  <c r="T57" i="32"/>
  <c r="T56" i="32"/>
  <c r="K58" i="32"/>
  <c r="O58" i="32"/>
  <c r="Q58" i="32"/>
  <c r="T55" i="32"/>
  <c r="T58" i="32" l="1"/>
  <c r="G40" i="32" s="1"/>
  <c r="P289" i="47" l="1"/>
  <c r="P288" i="47"/>
  <c r="P287" i="47"/>
  <c r="P286" i="47"/>
  <c r="P285" i="47"/>
  <c r="P284" i="47"/>
  <c r="P283" i="47"/>
  <c r="P282" i="47"/>
  <c r="P281" i="47"/>
  <c r="P280" i="47"/>
  <c r="P279" i="47"/>
  <c r="P278" i="47"/>
  <c r="P277" i="47"/>
  <c r="P276" i="47"/>
  <c r="P275" i="47"/>
  <c r="P274" i="47"/>
  <c r="P273" i="47"/>
  <c r="P272" i="47"/>
  <c r="P271" i="47"/>
  <c r="P270" i="47"/>
  <c r="P269" i="47"/>
  <c r="P268" i="47"/>
  <c r="P267" i="47"/>
  <c r="P266" i="47"/>
  <c r="P265" i="47"/>
  <c r="P264" i="47"/>
  <c r="P263" i="47"/>
  <c r="P262" i="47"/>
  <c r="P261" i="47"/>
  <c r="P260" i="47"/>
  <c r="P259" i="47"/>
  <c r="P258" i="47"/>
  <c r="P257" i="47"/>
  <c r="P256" i="47"/>
  <c r="P255" i="47"/>
  <c r="P254" i="47"/>
  <c r="P253" i="47"/>
  <c r="P252" i="47"/>
  <c r="P251" i="47"/>
  <c r="P250" i="47"/>
  <c r="P249" i="47"/>
  <c r="P248" i="47"/>
  <c r="P247" i="47"/>
  <c r="P246" i="47"/>
  <c r="P245" i="47"/>
  <c r="W244" i="47"/>
  <c r="V244" i="47"/>
  <c r="U244" i="47"/>
  <c r="W243" i="47"/>
  <c r="V243" i="47"/>
  <c r="U243" i="47"/>
  <c r="W230" i="47"/>
  <c r="V230" i="47"/>
  <c r="U230" i="47"/>
  <c r="W229" i="47"/>
  <c r="V229" i="47"/>
  <c r="U229" i="47"/>
  <c r="W228" i="47"/>
  <c r="V228" i="47"/>
  <c r="U228" i="47"/>
  <c r="W227" i="47"/>
  <c r="V227" i="47"/>
  <c r="U227" i="47"/>
  <c r="W226" i="47"/>
  <c r="V226" i="47"/>
  <c r="U226" i="47"/>
  <c r="W225" i="47"/>
  <c r="V225" i="47"/>
  <c r="U225" i="47"/>
  <c r="W224" i="47"/>
  <c r="V224" i="47"/>
  <c r="U224" i="47"/>
  <c r="W223" i="47"/>
  <c r="V223" i="47"/>
  <c r="U223" i="47"/>
  <c r="W222" i="47"/>
  <c r="V222" i="47"/>
  <c r="U222" i="47"/>
  <c r="W221" i="47"/>
  <c r="V221" i="47"/>
  <c r="U221" i="47"/>
  <c r="W220" i="47"/>
  <c r="V220" i="47"/>
  <c r="U220" i="47"/>
  <c r="W219" i="47"/>
  <c r="V219" i="47"/>
  <c r="U219" i="47"/>
  <c r="W218" i="47"/>
  <c r="V218" i="47"/>
  <c r="U218" i="47"/>
  <c r="W217" i="47"/>
  <c r="V217" i="47"/>
  <c r="U217" i="47"/>
  <c r="W216" i="47"/>
  <c r="V216" i="47"/>
  <c r="U216" i="47"/>
  <c r="W215" i="47"/>
  <c r="V215" i="47"/>
  <c r="U215" i="47"/>
  <c r="W214" i="47"/>
  <c r="V214" i="47"/>
  <c r="U214" i="47"/>
  <c r="W213" i="47"/>
  <c r="V213" i="47"/>
  <c r="U213" i="47"/>
  <c r="W212" i="47"/>
  <c r="V212" i="47"/>
  <c r="U212" i="47"/>
  <c r="W211" i="47"/>
  <c r="V211" i="47"/>
  <c r="U211" i="47"/>
  <c r="W210" i="47"/>
  <c r="V210" i="47"/>
  <c r="U210" i="47"/>
  <c r="W209" i="47"/>
  <c r="V209" i="47"/>
  <c r="U209" i="47"/>
  <c r="W208" i="47"/>
  <c r="V208" i="47"/>
  <c r="U208" i="47"/>
  <c r="W207" i="47"/>
  <c r="V207" i="47"/>
  <c r="U207" i="47"/>
  <c r="W206" i="47"/>
  <c r="V206" i="47"/>
  <c r="U206" i="47"/>
  <c r="W205" i="47"/>
  <c r="V205" i="47"/>
  <c r="U205" i="47"/>
  <c r="W204" i="47"/>
  <c r="V204" i="47"/>
  <c r="U204" i="47"/>
  <c r="W203" i="47"/>
  <c r="V203" i="47"/>
  <c r="U203" i="47"/>
  <c r="W202" i="47"/>
  <c r="V202" i="47"/>
  <c r="U202" i="47"/>
  <c r="W201" i="47"/>
  <c r="V201" i="47"/>
  <c r="U201" i="47"/>
  <c r="W200" i="47"/>
  <c r="V200" i="47"/>
  <c r="U200" i="47"/>
  <c r="W199" i="47"/>
  <c r="V199" i="47"/>
  <c r="U199" i="47"/>
  <c r="W198" i="47"/>
  <c r="V198" i="47"/>
  <c r="U198" i="47"/>
  <c r="W197" i="47"/>
  <c r="V197" i="47"/>
  <c r="U197" i="47"/>
  <c r="W196" i="47"/>
  <c r="V196" i="47"/>
  <c r="U196" i="47"/>
  <c r="W195" i="47"/>
  <c r="V195" i="47"/>
  <c r="U195" i="47"/>
  <c r="W194" i="47"/>
  <c r="V194" i="47"/>
  <c r="U194" i="47"/>
  <c r="W193" i="47"/>
  <c r="V193" i="47"/>
  <c r="U193" i="47"/>
  <c r="W192" i="47"/>
  <c r="V192" i="47"/>
  <c r="U192" i="47"/>
  <c r="W191" i="47"/>
  <c r="V191" i="47"/>
  <c r="U191" i="47"/>
  <c r="W190" i="47"/>
  <c r="V190" i="47"/>
  <c r="U190" i="47"/>
  <c r="W189" i="47"/>
  <c r="V189" i="47"/>
  <c r="U189" i="47"/>
  <c r="W188" i="47"/>
  <c r="V188" i="47"/>
  <c r="U188" i="47"/>
  <c r="W187" i="47"/>
  <c r="V187" i="47"/>
  <c r="U187" i="47"/>
  <c r="W186" i="47"/>
  <c r="V186" i="47"/>
  <c r="U186" i="47"/>
  <c r="W185" i="47"/>
  <c r="V185" i="47"/>
  <c r="U185" i="47"/>
  <c r="W184" i="47"/>
  <c r="V184" i="47"/>
  <c r="U184" i="47"/>
  <c r="W183" i="47"/>
  <c r="V183" i="47"/>
  <c r="U183" i="47"/>
  <c r="W182" i="47"/>
  <c r="V182" i="47"/>
  <c r="U182" i="47"/>
  <c r="W181" i="47"/>
  <c r="V181" i="47"/>
  <c r="U181" i="47"/>
  <c r="W180" i="47"/>
  <c r="V180" i="47"/>
  <c r="U180" i="47"/>
  <c r="W179" i="47"/>
  <c r="V179" i="47"/>
  <c r="U179" i="47"/>
  <c r="W178" i="47"/>
  <c r="V178" i="47"/>
  <c r="U178" i="47"/>
  <c r="W177" i="47"/>
  <c r="V177" i="47"/>
  <c r="U177" i="47"/>
  <c r="W176" i="47"/>
  <c r="U176" i="47"/>
  <c r="W175" i="47"/>
  <c r="U175" i="47"/>
  <c r="W174" i="47"/>
  <c r="W173" i="47"/>
  <c r="W158" i="47"/>
  <c r="V158" i="47"/>
  <c r="U158" i="47"/>
  <c r="W157" i="47"/>
  <c r="V157" i="47"/>
  <c r="U157" i="47"/>
  <c r="W156" i="47"/>
  <c r="V156" i="47"/>
  <c r="U156" i="47"/>
  <c r="W155" i="47"/>
  <c r="V155" i="47"/>
  <c r="U155" i="47"/>
  <c r="W154" i="47"/>
  <c r="V154" i="47"/>
  <c r="U154" i="47"/>
  <c r="W153" i="47"/>
  <c r="V153" i="47"/>
  <c r="U153" i="47"/>
  <c r="W152" i="47"/>
  <c r="V152" i="47"/>
  <c r="U152" i="47"/>
  <c r="W151" i="47"/>
  <c r="V151" i="47"/>
  <c r="U151" i="47"/>
  <c r="W150" i="47"/>
  <c r="V150" i="47"/>
  <c r="U150" i="47"/>
  <c r="W149" i="47"/>
  <c r="V149" i="47"/>
  <c r="U149" i="47"/>
  <c r="W148" i="47"/>
  <c r="V148" i="47"/>
  <c r="U148" i="47"/>
  <c r="W147" i="47"/>
  <c r="V147" i="47"/>
  <c r="U147" i="47"/>
  <c r="W146" i="47"/>
  <c r="V146" i="47"/>
  <c r="U146" i="47"/>
  <c r="W64" i="47"/>
  <c r="V64" i="47"/>
  <c r="U64" i="47"/>
  <c r="W63" i="47"/>
  <c r="V63" i="47"/>
  <c r="U63" i="47"/>
  <c r="W62" i="47"/>
  <c r="V62" i="47"/>
  <c r="U62" i="47"/>
  <c r="T9" i="47"/>
  <c r="S9" i="47"/>
  <c r="R9" i="47"/>
  <c r="U9" i="47" s="1"/>
  <c r="P9" i="47"/>
  <c r="N9" i="47"/>
  <c r="L9" i="47"/>
  <c r="K66" i="32" l="1"/>
  <c r="K62" i="32"/>
  <c r="U248" i="47"/>
  <c r="V248" i="47" s="1"/>
  <c r="U247" i="47"/>
  <c r="V247" i="47" s="1"/>
  <c r="U246" i="47"/>
  <c r="U250" i="47"/>
  <c r="V250" i="47" s="1"/>
  <c r="U249" i="47"/>
  <c r="V249" i="47" s="1"/>
  <c r="K63" i="32"/>
  <c r="Q67" i="32"/>
  <c r="O67" i="32"/>
  <c r="K67" i="32"/>
  <c r="V9" i="47"/>
  <c r="W9" i="47"/>
  <c r="Q66" i="32" l="1"/>
  <c r="Q62" i="32"/>
  <c r="O66" i="32"/>
  <c r="O62" i="32"/>
  <c r="K65" i="32"/>
  <c r="K64" i="32"/>
  <c r="V246" i="47"/>
  <c r="Q65" i="32"/>
  <c r="Q64" i="32"/>
  <c r="Q63" i="32"/>
  <c r="O65" i="32"/>
  <c r="O64" i="32"/>
  <c r="O63" i="32"/>
</calcChain>
</file>

<file path=xl/sharedStrings.xml><?xml version="1.0" encoding="utf-8"?>
<sst xmlns="http://schemas.openxmlformats.org/spreadsheetml/2006/main" count="391" uniqueCount="257">
  <si>
    <t>Detalle de la Inspección</t>
  </si>
  <si>
    <t>Normal</t>
  </si>
  <si>
    <t>Despolarizado</t>
  </si>
  <si>
    <t>Inversa [Interferencias]</t>
  </si>
  <si>
    <t>Tipo de Ducto</t>
  </si>
  <si>
    <t>Troncal</t>
  </si>
  <si>
    <t>Loop</t>
  </si>
  <si>
    <t>Ramal</t>
  </si>
  <si>
    <t>Justificación</t>
  </si>
  <si>
    <t>Monitoreo</t>
  </si>
  <si>
    <t>Ocupaciones</t>
  </si>
  <si>
    <t>Estudio Interferencias</t>
  </si>
  <si>
    <t>Evaluación Criterio Polarización</t>
  </si>
  <si>
    <t>Tipo SPC</t>
  </si>
  <si>
    <t>Corriente Impresa</t>
  </si>
  <si>
    <t>Galvánico</t>
  </si>
  <si>
    <t>Mixto [Corriente Impresa+Galvánico]</t>
  </si>
  <si>
    <t>USO DE TIERRA</t>
  </si>
  <si>
    <t>Minería</t>
  </si>
  <si>
    <t>Agricultura</t>
  </si>
  <si>
    <t>Ganadería</t>
  </si>
  <si>
    <t>Referencia Geográfica</t>
  </si>
  <si>
    <t>Defecto</t>
  </si>
  <si>
    <t>URPC</t>
  </si>
  <si>
    <t>Invasión al DDV</t>
  </si>
  <si>
    <t>Cultivo</t>
  </si>
  <si>
    <t>Tramo sin rocería</t>
  </si>
  <si>
    <t>Poste de Potencial</t>
  </si>
  <si>
    <t>Poste Cupón Gravimétrico</t>
  </si>
  <si>
    <t>Poste Cupón IR Free</t>
  </si>
  <si>
    <t>Poste de Abscisado</t>
  </si>
  <si>
    <t>Poste Cruce con Tubería Foránea</t>
  </si>
  <si>
    <t>Cama Anódica</t>
  </si>
  <si>
    <t>Interfase Aéreo-Enterrada</t>
  </si>
  <si>
    <t>Interfase Enterrada-Aérea</t>
  </si>
  <si>
    <t>Cruce Vía</t>
  </si>
  <si>
    <t>Trampa Recibio</t>
  </si>
  <si>
    <t>Trampa Despacho</t>
  </si>
  <si>
    <t>Válvula</t>
  </si>
  <si>
    <t>Cruce Río</t>
  </si>
  <si>
    <t>Caño</t>
  </si>
  <si>
    <t>Línea BT</t>
  </si>
  <si>
    <t>Línea Baja Tensión</t>
  </si>
  <si>
    <t>Línea MT</t>
  </si>
  <si>
    <t>Línea Media Tensión</t>
  </si>
  <si>
    <t>Línea Alta Tensión</t>
  </si>
  <si>
    <t>Maro H</t>
  </si>
  <si>
    <t>Tubería Expuesta</t>
  </si>
  <si>
    <t>Tubería de condición normal enterrada y quedó expuesta</t>
  </si>
  <si>
    <t>Tubería Soterrada</t>
  </si>
  <si>
    <t>Tubería de condición normal aérea y quedó semienterrada</t>
  </si>
  <si>
    <t>Puente Ducto</t>
  </si>
  <si>
    <t>Bueno</t>
  </si>
  <si>
    <t>Regular</t>
  </si>
  <si>
    <t>Malo</t>
  </si>
  <si>
    <t>Sale de la Tubería</t>
  </si>
  <si>
    <t>Ingresa a la Tubería</t>
  </si>
  <si>
    <t>TIPO DE HALLAZGO</t>
  </si>
  <si>
    <t>Marco H sin Aislamiento</t>
  </si>
  <si>
    <t>Tramo sin Rocería</t>
  </si>
  <si>
    <t>Tramo Inundado</t>
  </si>
  <si>
    <t>Recubrimiento</t>
  </si>
  <si>
    <t>Tramo Aéreo con Recubrimiento en mal estado</t>
  </si>
  <si>
    <t>Recubrimiento Interfase en mal estado</t>
  </si>
  <si>
    <t>Ocupación Irregular en el DDV</t>
  </si>
  <si>
    <t>Cultivos</t>
  </si>
  <si>
    <t>Limitaciones de ingreso al DDV</t>
  </si>
  <si>
    <t>CARÁCTER</t>
  </si>
  <si>
    <t>AA</t>
  </si>
  <si>
    <t>CA</t>
  </si>
  <si>
    <t>CC</t>
  </si>
  <si>
    <t>SEVERIDAD</t>
  </si>
  <si>
    <t>Muy Pequeño</t>
  </si>
  <si>
    <t>Pequeño</t>
  </si>
  <si>
    <t>Mediano</t>
  </si>
  <si>
    <t>Grande</t>
  </si>
  <si>
    <t>GERENCIA DE INTEGRIDAD Y CONFIABILIDAD
INSPECCIÓN DCVG</t>
  </si>
  <si>
    <t xml:space="preserve">Código: </t>
  </si>
  <si>
    <t xml:space="preserve">Revisión: </t>
  </si>
  <si>
    <t xml:space="preserve">Emisión: </t>
  </si>
  <si>
    <t>Página _ de _</t>
  </si>
  <si>
    <t>Fecha</t>
  </si>
  <si>
    <t>Serial equipo</t>
  </si>
  <si>
    <t>No de contrato</t>
  </si>
  <si>
    <t>Gasoducto</t>
  </si>
  <si>
    <t>Mariquita_Cali</t>
  </si>
  <si>
    <t>Fecha calibración Eqp</t>
  </si>
  <si>
    <t>Contratista</t>
  </si>
  <si>
    <t>PCC</t>
  </si>
  <si>
    <t>Tramo</t>
  </si>
  <si>
    <t>Tipo de recubrimiento</t>
  </si>
  <si>
    <t>OT</t>
  </si>
  <si>
    <t>Inspector</t>
  </si>
  <si>
    <t>Diámetro</t>
  </si>
  <si>
    <t>Ciclo</t>
  </si>
  <si>
    <t>1.6 ON -0.4 OFF</t>
  </si>
  <si>
    <t>OBJETIVO</t>
  </si>
  <si>
    <t>Realizar un diagnóstico del estado general del recubrimiento, bajo la técnica de inspección DCVG para la tubería enterrada e inspección visual para la tubería aérea del Ramal Villa María, el cual hace parte del gasoducto Mariquita - Cali perteneciente al distrito 7. Clasificar puntos estratégicos susceptibles a falla a corto plazo del recubrimiento, para definir programas de mantenimiento y reparación.</t>
  </si>
  <si>
    <t>DOCUMENTOS DE REFERENCIA</t>
  </si>
  <si>
    <t>NACE-SP0169-2024 Control of External Corrosión on Underground or Submerged Metallic Piping Systems.</t>
  </si>
  <si>
    <t>NACE -TM0497-2018-SG Measurement Techniques Related to Criteria for Cathodic Protection on Underground or Submerged Metallic Piping Systems</t>
  </si>
  <si>
    <t>EQUIPOS UTILIZADOS</t>
  </si>
  <si>
    <t xml:space="preserve"> - Electrodos de Referencia: 2 Mc Miller</t>
  </si>
  <si>
    <t xml:space="preserve"> - Osciloscopio: IBTVM-06582</t>
  </si>
  <si>
    <t xml:space="preserve"> - Localizador de tubería: Radiodetection-1211</t>
  </si>
  <si>
    <t xml:space="preserve"> - Cámara fotográfica </t>
  </si>
  <si>
    <t xml:space="preserve"> - Equipo GPS: IBTVM-06582</t>
  </si>
  <si>
    <t xml:space="preserve"> - Medidor aislamientos: Tinker and Rasor RF-IT - 6970</t>
  </si>
  <si>
    <t xml:space="preserve"> - Multímetro: UEI INSTRUMENTS -231100950</t>
  </si>
  <si>
    <t xml:space="preserve"> - Interruptores de corriente: Radiodetection - 572, 633 Y 574</t>
  </si>
  <si>
    <t>DESCRIPCIÓN DE LA LÍNEA OBJETO DE ESTUDIO</t>
  </si>
  <si>
    <t>ANTECEDENTES</t>
  </si>
  <si>
    <t>}</t>
  </si>
  <si>
    <t>PUNTO INICIAL:</t>
  </si>
  <si>
    <t>LATITUD:</t>
  </si>
  <si>
    <t>LONGITUD:</t>
  </si>
  <si>
    <t>ALTURA:</t>
  </si>
  <si>
    <t>2443 msnm</t>
  </si>
  <si>
    <t>PUNTO FINAL:</t>
  </si>
  <si>
    <t>2053 msnm</t>
  </si>
  <si>
    <t>TIPO DE INSPECCIÓN:</t>
  </si>
  <si>
    <t>DCVG</t>
  </si>
  <si>
    <t>DETALLE DE INSPECCIÓN:</t>
  </si>
  <si>
    <t>Inspección indirecta del estado del Recubrimiento</t>
  </si>
  <si>
    <t>JUSTIFICACIÓN:</t>
  </si>
  <si>
    <t>USO DE TIERRA:</t>
  </si>
  <si>
    <t>AMENAZA:</t>
  </si>
  <si>
    <t>CORROSIÓN EXTERNA</t>
  </si>
  <si>
    <t>TIPO DE DUCTO:</t>
  </si>
  <si>
    <t>TIPO SPC:</t>
  </si>
  <si>
    <t>TOPOGRAFÍA Y TIPO DE SUELO:</t>
  </si>
  <si>
    <t>Montañoso</t>
  </si>
  <si>
    <t>LONGITUD TOTAL DE LA LÍNEA AÉREA[km]:</t>
  </si>
  <si>
    <t>LONGITUD TOTAL DE LA LÍNEA AÉREA INSPECCIOANDA [Km]:</t>
  </si>
  <si>
    <t>LONGITUD TOTAL DE LA LÍNEA ENTERRADA[km]:</t>
  </si>
  <si>
    <t>LONGITUD TOTAL DE LA LÍNEA ENTERRADA INSPECCIOANDA [Km]:</t>
  </si>
  <si>
    <t>GENERALIDADES</t>
  </si>
  <si>
    <t>DEFECTOS/KILÓMETRO:</t>
  </si>
  <si>
    <t>CICLO ON[s]</t>
  </si>
  <si>
    <t>CICLO OFF [s]:</t>
  </si>
  <si>
    <t>PARÁMETROS OPERATIVOS EN RECTIFICADORES DE INFLUENCIA</t>
  </si>
  <si>
    <t>DATOS NOMINALES</t>
  </si>
  <si>
    <t>DATOS OPERACIONALES</t>
  </si>
  <si>
    <t>DISPONIBILIDAD</t>
  </si>
  <si>
    <t>TAPS
[GRUESO - FINO]</t>
  </si>
  <si>
    <t>POTENCIAL ON-INSTANT OFF NEGATIVOS</t>
  </si>
  <si>
    <t>CORRIENTE NEGATIVOS</t>
  </si>
  <si>
    <t>VOLTAJE DE SALIDA [VDC]</t>
  </si>
  <si>
    <t>CORRIENTE DE SALIDA [ADC]</t>
  </si>
  <si>
    <t>VOLTAJE DE
SALIDA [%]</t>
  </si>
  <si>
    <t>CORRIENTE DE SALIDA [%]</t>
  </si>
  <si>
    <t>NEG 1 [mV]</t>
  </si>
  <si>
    <t>NEG 2 [mV]</t>
  </si>
  <si>
    <t>NEG 3 [mV]</t>
  </si>
  <si>
    <t>NEG 1 [A]</t>
  </si>
  <si>
    <t>NEG 2 [A]</t>
  </si>
  <si>
    <t>NEG 3 [A]</t>
  </si>
  <si>
    <t>RESUMEN DE INDICACIONES</t>
  </si>
  <si>
    <t>CARÁCTER
[ON-OFF]</t>
  </si>
  <si>
    <t>SEVERIDAD MUY PEQUEÑO
[%IR: 1-15]</t>
  </si>
  <si>
    <t>SEVERIDAD PEQUEÑO
[%IR: 16-35]</t>
  </si>
  <si>
    <t>SEVERIDAD MEDIANA
[%IR: 36-60]</t>
  </si>
  <si>
    <t>SEVERIDAD GRANDE
[%IR: 61-100]</t>
  </si>
  <si>
    <t>Total</t>
  </si>
  <si>
    <t>TOTAL</t>
  </si>
  <si>
    <t>CLASIFICACIÓN RESISTIVIDAD ELÉCTRICA DEL SUELO</t>
  </si>
  <si>
    <t>CLASIFICACIÓN</t>
  </si>
  <si>
    <t>CAPA 0-1 m</t>
  </si>
  <si>
    <t>CAPA 1-2 m</t>
  </si>
  <si>
    <t>CAPA 2-3 m</t>
  </si>
  <si>
    <t>Muy corrosivo [0-500 ohm-cm]</t>
  </si>
  <si>
    <t>Corrosivo [500-1.000 ohm-cm]</t>
  </si>
  <si>
    <t>Moderadamente Corrosivo [1.000-2.000 ohm-cm]</t>
  </si>
  <si>
    <t>Levemente Corrosivo [2.000-10.000 ohm-cm]</t>
  </si>
  <si>
    <t>Baja Corrosividad [Mayor 10.000 ohm-cm]</t>
  </si>
  <si>
    <t>RESISTIVIDAD PROMEDIO</t>
  </si>
  <si>
    <t>CONCLUSIONES</t>
  </si>
  <si>
    <t>RECOMENDACIONES</t>
  </si>
  <si>
    <t>ELABORÓ</t>
  </si>
  <si>
    <t>REVISÓ</t>
  </si>
  <si>
    <t>APROBÓ</t>
  </si>
  <si>
    <t>Nombre</t>
  </si>
  <si>
    <t>Alejando Rivera</t>
  </si>
  <si>
    <t>Cargo</t>
  </si>
  <si>
    <t>Ingeniero Junior</t>
  </si>
  <si>
    <t>Ingeniero Residente</t>
  </si>
  <si>
    <t>Coordinador de Proyectos</t>
  </si>
  <si>
    <t>Empresa</t>
  </si>
  <si>
    <t>Protección Catódica de Colombia SAS</t>
  </si>
  <si>
    <t>ÍTEM</t>
  </si>
  <si>
    <t>REFERENCIAS GEOGRÁFICAS</t>
  </si>
  <si>
    <t>DISTANCIA TRAMO
[m]</t>
  </si>
  <si>
    <t>ABSCISA</t>
  </si>
  <si>
    <t>LATITUD</t>
  </si>
  <si>
    <t>LONGITUD</t>
  </si>
  <si>
    <t>ALTITUD
[msnm]</t>
  </si>
  <si>
    <t>FORMA [mV]</t>
  </si>
  <si>
    <t>OL/RE
[mV]</t>
  </si>
  <si>
    <t>POTENCIAL ESTRUCTURA-SUELO [mV]</t>
  </si>
  <si>
    <t>PULSO
[mV]</t>
  </si>
  <si>
    <t xml:space="preserve">P/RE
[mV] </t>
  </si>
  <si>
    <t>PROFUNDIDAD [cm]</t>
  </si>
  <si>
    <t>SEVERIDAD [%IR]</t>
  </si>
  <si>
    <t>SEVERIDAD [CLASIFICACIÓN]</t>
  </si>
  <si>
    <t>RESISTIVIDAD [Ohm-cm]</t>
  </si>
  <si>
    <t>OBSERVACIONES</t>
  </si>
  <si>
    <t>ON-OFF</t>
  </si>
  <si>
    <t>ON</t>
  </si>
  <si>
    <t>OFF</t>
  </si>
  <si>
    <t>ñ</t>
  </si>
  <si>
    <t xml:space="preserve">FECHA: </t>
  </si>
  <si>
    <t>GASODUCTO:</t>
  </si>
  <si>
    <t>En el Ramal Villa María se identificaron tres (3) indicaciones, con una densidad de defectos de 0,75 Indicaciones/Km.  En donde las tres (3) indicaciones tienen un índice de severidad IR menor a 15%.
De lo anterior se puede observar que las tres (3) indicaciones son de carácter AA.</t>
  </si>
  <si>
    <t>TRAMO</t>
  </si>
  <si>
    <t>DIÁMETRO:</t>
  </si>
  <si>
    <t>RECUBRIMIENTO:</t>
  </si>
  <si>
    <t>GERENCIA DE INTEGRIDAD Y CONFIABILIDAD
MEDICION RESISTIVIDAD DE SUELO METODO WENNER 4 PINES</t>
  </si>
  <si>
    <t>Código:
Revisión:
Emisión:
Página _ de _</t>
  </si>
  <si>
    <t>No Contrato</t>
  </si>
  <si>
    <t>ABSCISADO</t>
  </si>
  <si>
    <t>DESCRIPCIÓN</t>
  </si>
  <si>
    <t>GEORREFERENCIACIÓN</t>
  </si>
  <si>
    <t>RESISTENCIA MEDIDA [Ohm]</t>
  </si>
  <si>
    <t>RESISTIVIDAD APARENTE [Ohm-cm]</t>
  </si>
  <si>
    <t>RESISTIVIDAD DE CAPA [Ohm-cm]</t>
  </si>
  <si>
    <t xml:space="preserve">Latitud </t>
  </si>
  <si>
    <t>Longitud</t>
  </si>
  <si>
    <t>Profundidad</t>
  </si>
  <si>
    <t>S1 =</t>
  </si>
  <si>
    <t>1 m</t>
  </si>
  <si>
    <t>S2 =</t>
  </si>
  <si>
    <t>2 m</t>
  </si>
  <si>
    <t>S3=</t>
  </si>
  <si>
    <t>3 m</t>
  </si>
  <si>
    <t>ρ1</t>
  </si>
  <si>
    <t>ρ2</t>
  </si>
  <si>
    <t>ρ3</t>
  </si>
  <si>
    <t>ρC1</t>
  </si>
  <si>
    <t>ρC2</t>
  </si>
  <si>
    <t>ρC3</t>
  </si>
  <si>
    <t>Poste</t>
  </si>
  <si>
    <t>Potrero</t>
  </si>
  <si>
    <t>GERENCIA DE INTEGRIDAD Y CONFIABILIDAD
PERFIL DE RESISTIVIDAD ELÉCTRICA DEL TERRENO</t>
  </si>
  <si>
    <t>Se realizaron mediciones de resistividades cada 250 m de distacia a 1,2 y 3  metros de profundidad con el objetivo de estimar el grado de corrosividad del suelo en las ubicaciones de los defectos encontrados en la tubería. Para la ubicación medida, se encontró que la tubería se encuentra en zonas desde corrosividad despreciable hasta medianamente corrosivas (Ver pestaña Datos).
Basado en la totalidad de las mediciones para 1, 2 y 3 m de profundidad se puede considerar que el 94.2% aproximadamente de los registros corresponden a una zona de corrosividad despreciable y 5.8% a zonas medianamente corrosivas.</t>
  </si>
  <si>
    <t xml:space="preserve">
GERENCIA DE INTEGRIDAD Y CONFIABILIDAD                                                                                                                               
FORMATO HALLAZGOS
</t>
  </si>
  <si>
    <t xml:space="preserve">Fecha  </t>
  </si>
  <si>
    <t>Tipo de inspección</t>
  </si>
  <si>
    <t>ABSCISA INICIO</t>
  </si>
  <si>
    <t>ABSCISA FIN</t>
  </si>
  <si>
    <t>LONGITUD [m]</t>
  </si>
  <si>
    <t>GASODUCTO</t>
  </si>
  <si>
    <t>LATITUD INICIO</t>
  </si>
  <si>
    <t>LONGITUD INICIO</t>
  </si>
  <si>
    <t>LATITUD FIN</t>
  </si>
  <si>
    <t>LONGITUD FIN</t>
  </si>
  <si>
    <t>FECHA</t>
  </si>
  <si>
    <t>DESCRIPCIÓN DEL HALLAZGO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</si>
</sst>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0">
    <numFmt numFmtId="43" formatCode="_-* #,##0.00_-;\-* #,##0.00_-;_-* &quot;-&quot;??_-;_-@_-"/>
    <numFmt numFmtId="164" formatCode="General\ &quot;mV&quot;"/>
    <numFmt numFmtId="165" formatCode="#,##0.0"/>
    <numFmt numFmtId="166" formatCode="0\+000"/>
    <numFmt numFmtId="167" formatCode="0.000"/>
    <numFmt numFmtId="168" formatCode="General\ &quot;V&quot;"/>
    <numFmt numFmtId="169" formatCode="General\ &quot;A&quot;"/>
    <numFmt numFmtId="170" formatCode="\K\ 000\+000"/>
    <numFmt numFmtId="171" formatCode="0.0"/>
    <numFmt numFmtId="172" formatCode="0.00000000"/>
  </numFmts>
  <fonts count="30">
    <font>
      <sz val="11"/>
      <color theme="1"/>
      <name val="Calibri"/>
      <family val="2"/>
      <scheme val="minor"/>
    </font>
    <font>
      <sz val="10"/>
      <name val="Arial"/>
      <family val="2"/>
    </font>
    <font>
      <b/>
      <sz val="10"/>
      <name val="Arial"/>
      <family val="2"/>
    </font>
    <font>
      <sz val="11"/>
      <name val="Verdana"/>
      <family val="2"/>
    </font>
    <font>
      <b/>
      <sz val="12"/>
      <name val="Arial"/>
      <family val="2"/>
    </font>
    <font>
      <sz val="12"/>
      <color theme="1"/>
      <name val="Arial"/>
      <family val="2"/>
    </font>
    <font>
      <sz val="11"/>
      <color indexed="8"/>
      <name val="Calibri"/>
      <family val="2"/>
    </font>
    <font>
      <sz val="11"/>
      <color theme="1"/>
      <name val="Calibri"/>
      <family val="2"/>
      <scheme val="minor"/>
    </font>
    <font>
      <sz val="10"/>
      <color theme="1"/>
      <name val="Arial"/>
      <family val="2"/>
    </font>
    <font>
      <b/>
      <sz val="10"/>
      <color theme="1"/>
      <name val="Arial"/>
      <family val="2"/>
    </font>
    <font>
      <sz val="10"/>
      <name val="Tahoma"/>
      <family val="2"/>
    </font>
    <font>
      <b/>
      <sz val="10"/>
      <color theme="0"/>
      <name val="Arial"/>
      <family val="2"/>
    </font>
    <font>
      <sz val="10"/>
      <color theme="0"/>
      <name val="Arial"/>
      <family val="2"/>
    </font>
    <font>
      <u/>
      <sz val="10"/>
      <color theme="1"/>
      <name val="Arial"/>
      <family val="2"/>
    </font>
    <font>
      <sz val="10"/>
      <color theme="1"/>
      <name val="Calibri"/>
      <family val="2"/>
      <scheme val="minor"/>
    </font>
    <font>
      <b/>
      <sz val="12"/>
      <name val="FoundryMonoline-Light"/>
    </font>
    <font>
      <b/>
      <sz val="10"/>
      <name val="FoundryMonoline-Light"/>
    </font>
    <font>
      <sz val="10"/>
      <name val="Arial"/>
      <family val="2"/>
    </font>
    <font>
      <b/>
      <sz val="11"/>
      <color theme="1"/>
      <name val="Calibri"/>
      <family val="2"/>
      <scheme val="minor"/>
    </font>
    <font>
      <b/>
      <sz val="9"/>
      <color theme="1"/>
      <name val="Arial"/>
      <family val="2"/>
    </font>
    <font>
      <sz val="10"/>
      <color theme="0" tint="-0.249977111117893"/>
      <name val="Arial"/>
      <family val="2"/>
    </font>
    <font>
      <sz val="10"/>
      <color rgb="FFFF0000"/>
      <name val="Arial"/>
      <family val="2"/>
    </font>
    <font>
      <b/>
      <sz val="9.5"/>
      <name val="Verdana"/>
      <family val="2"/>
    </font>
    <font>
      <sz val="9.5"/>
      <name val="Verdana"/>
      <family val="2"/>
    </font>
    <font>
      <b/>
      <sz val="11"/>
      <color theme="1"/>
      <name val="Arial"/>
      <family val="2"/>
    </font>
    <font>
      <sz val="9.5"/>
      <color rgb="FFFF0000"/>
      <name val="Verdana"/>
      <family val="2"/>
    </font>
    <font>
      <sz val="11"/>
      <color theme="0" tint="-0.499984740745262"/>
      <name val="Calibri"/>
      <family val="2"/>
      <scheme val="minor"/>
    </font>
    <font>
      <b/>
      <sz val="10"/>
      <color rgb="FF000000"/>
      <name val="Arial"/>
      <family val="2"/>
    </font>
    <font>
      <sz val="8"/>
      <name val="Calibri"/>
      <family val="2"/>
      <scheme val="minor"/>
    </font>
    <font>
      <sz val="11"/>
      <color rgb="FF000000"/>
      <name val="Arial"/>
      <family val="2"/>
    </font>
  </fonts>
  <fills count="10">
    <fill>
      <patternFill patternType="none"/>
    </fill>
    <fill>
      <patternFill patternType="gray125"/>
    </fill>
    <fill>
      <patternFill patternType="solid">
        <fgColor theme="0"/>
        <bgColor indexed="64"/>
      </patternFill>
    </fill>
    <fill>
      <patternFill patternType="solid">
        <fgColor theme="0" tint="-0.249977111117893"/>
        <bgColor indexed="64"/>
      </patternFill>
    </fill>
    <fill>
      <patternFill patternType="solid">
        <fgColor theme="4" tint="0.59999389629810485"/>
        <bgColor indexed="64"/>
      </patternFill>
    </fill>
    <fill>
      <patternFill patternType="solid">
        <fgColor rgb="FFFFFF00"/>
        <bgColor indexed="64"/>
      </patternFill>
    </fill>
    <fill>
      <patternFill patternType="solid">
        <fgColor theme="0" tint="-0.499984740745262"/>
        <bgColor indexed="64"/>
      </patternFill>
    </fill>
    <fill>
      <patternFill patternType="solid">
        <fgColor theme="0" tint="-0.14999847407452621"/>
        <bgColor indexed="64"/>
      </patternFill>
    </fill>
    <fill>
      <patternFill patternType="solid">
        <fgColor theme="4" tint="0.59999389629810485"/>
        <bgColor indexed="65"/>
      </patternFill>
    </fill>
    <fill>
      <patternFill patternType="solid">
        <fgColor rgb="FFD9D9D9"/>
        <bgColor rgb="FF000000"/>
      </patternFill>
    </fill>
  </fills>
  <borders count="88">
    <border>
      <left/>
      <right/>
      <top/>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hair">
        <color indexed="64"/>
      </bottom>
      <diagonal/>
    </border>
    <border>
      <left/>
      <right/>
      <top/>
      <bottom style="hair">
        <color indexed="64"/>
      </bottom>
      <diagonal/>
    </border>
    <border>
      <left/>
      <right/>
      <top style="hair">
        <color indexed="64"/>
      </top>
      <bottom style="hair">
        <color indexed="64"/>
      </bottom>
      <diagonal/>
    </border>
    <border>
      <left/>
      <right style="thin">
        <color indexed="64"/>
      </right>
      <top style="hair">
        <color indexed="64"/>
      </top>
      <bottom style="hair">
        <color indexed="64"/>
      </bottom>
      <diagonal/>
    </border>
    <border>
      <left style="thin">
        <color indexed="64"/>
      </left>
      <right/>
      <top/>
      <bottom/>
      <diagonal/>
    </border>
    <border>
      <left/>
      <right style="thin">
        <color indexed="64"/>
      </right>
      <top/>
      <bottom/>
      <diagonal/>
    </border>
    <border>
      <left/>
      <right/>
      <top style="thin">
        <color indexed="64"/>
      </top>
      <bottom style="thin">
        <color indexed="64"/>
      </bottom>
      <diagonal/>
    </border>
    <border>
      <left/>
      <right/>
      <top style="hair">
        <color indexed="64"/>
      </top>
      <bottom/>
      <diagonal/>
    </border>
    <border>
      <left/>
      <right style="thin">
        <color indexed="64"/>
      </right>
      <top style="hair">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right style="thin">
        <color indexed="64"/>
      </right>
      <top style="thin">
        <color indexed="64"/>
      </top>
      <bottom/>
      <diagonal/>
    </border>
    <border>
      <left/>
      <right/>
      <top/>
      <bottom style="thin">
        <color indexed="64"/>
      </bottom>
      <diagonal/>
    </border>
    <border>
      <left style="thin">
        <color indexed="64"/>
      </left>
      <right style="thin">
        <color indexed="64"/>
      </right>
      <top/>
      <bottom style="thin">
        <color indexed="64"/>
      </bottom>
      <diagonal/>
    </border>
    <border>
      <left/>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right/>
      <top/>
      <bottom style="medium">
        <color indexed="64"/>
      </bottom>
      <diagonal/>
    </border>
    <border>
      <left style="thin">
        <color indexed="64"/>
      </left>
      <right/>
      <top style="medium">
        <color indexed="64"/>
      </top>
      <bottom style="thin">
        <color indexed="64"/>
      </bottom>
      <diagonal/>
    </border>
    <border>
      <left style="medium">
        <color indexed="64"/>
      </left>
      <right/>
      <top style="thin">
        <color indexed="64"/>
      </top>
      <bottom/>
      <diagonal/>
    </border>
    <border>
      <left/>
      <right style="medium">
        <color indexed="64"/>
      </right>
      <top style="medium">
        <color indexed="64"/>
      </top>
      <bottom/>
      <diagonal/>
    </border>
    <border>
      <left/>
      <right style="medium">
        <color indexed="64"/>
      </right>
      <top/>
      <bottom/>
      <diagonal/>
    </border>
    <border>
      <left style="medium">
        <color indexed="64"/>
      </left>
      <right/>
      <top/>
      <bottom/>
      <diagonal/>
    </border>
    <border>
      <left/>
      <right style="medium">
        <color indexed="64"/>
      </right>
      <top/>
      <bottom style="medium">
        <color indexed="64"/>
      </bottom>
      <diagonal/>
    </border>
    <border>
      <left style="medium">
        <color indexed="64"/>
      </left>
      <right/>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bottom style="thin">
        <color indexed="64"/>
      </bottom>
      <diagonal/>
    </border>
    <border>
      <left/>
      <right style="medium">
        <color indexed="64"/>
      </right>
      <top style="thin">
        <color indexed="64"/>
      </top>
      <bottom style="thin">
        <color indexed="64"/>
      </bottom>
      <diagonal/>
    </border>
    <border>
      <left style="thin">
        <color indexed="64"/>
      </left>
      <right/>
      <top style="thin">
        <color indexed="64"/>
      </top>
      <bottom style="medium">
        <color indexed="64"/>
      </bottom>
      <diagonal/>
    </border>
    <border>
      <left/>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medium">
        <color indexed="64"/>
      </right>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right style="medium">
        <color indexed="64"/>
      </right>
      <top style="thin">
        <color indexed="64"/>
      </top>
      <bottom style="medium">
        <color indexed="64"/>
      </bottom>
      <diagonal/>
    </border>
    <border>
      <left style="double">
        <color indexed="64"/>
      </left>
      <right/>
      <top style="double">
        <color indexed="64"/>
      </top>
      <bottom/>
      <diagonal/>
    </border>
    <border>
      <left/>
      <right/>
      <top style="double">
        <color indexed="64"/>
      </top>
      <bottom/>
      <diagonal/>
    </border>
    <border>
      <left/>
      <right style="double">
        <color indexed="64"/>
      </right>
      <top style="double">
        <color indexed="64"/>
      </top>
      <bottom/>
      <diagonal/>
    </border>
    <border>
      <left style="double">
        <color indexed="64"/>
      </left>
      <right/>
      <top/>
      <bottom/>
      <diagonal/>
    </border>
    <border>
      <left/>
      <right style="double">
        <color indexed="64"/>
      </right>
      <top/>
      <bottom/>
      <diagonal/>
    </border>
    <border>
      <left style="medium">
        <color indexed="64"/>
      </left>
      <right style="dashed">
        <color indexed="64"/>
      </right>
      <top style="dashed">
        <color indexed="64"/>
      </top>
      <bottom style="dashed">
        <color indexed="64"/>
      </bottom>
      <diagonal/>
    </border>
    <border>
      <left style="dashed">
        <color indexed="64"/>
      </left>
      <right/>
      <top style="dashed">
        <color indexed="64"/>
      </top>
      <bottom style="dashed">
        <color indexed="64"/>
      </bottom>
      <diagonal/>
    </border>
    <border>
      <left style="medium">
        <color indexed="64"/>
      </left>
      <right/>
      <top style="dashed">
        <color indexed="64"/>
      </top>
      <bottom/>
      <diagonal/>
    </border>
    <border>
      <left/>
      <right/>
      <top style="dashed">
        <color indexed="64"/>
      </top>
      <bottom/>
      <diagonal/>
    </border>
    <border>
      <left/>
      <right style="medium">
        <color indexed="64"/>
      </right>
      <top style="dashed">
        <color indexed="64"/>
      </top>
      <bottom/>
      <diagonal/>
    </border>
    <border>
      <left style="dashed">
        <color indexed="64"/>
      </left>
      <right style="dashed">
        <color indexed="64"/>
      </right>
      <top style="dashed">
        <color indexed="64"/>
      </top>
      <bottom style="dashed">
        <color indexed="64"/>
      </bottom>
      <diagonal/>
    </border>
    <border>
      <left style="medium">
        <color indexed="64"/>
      </left>
      <right style="dashed">
        <color indexed="64"/>
      </right>
      <top style="dashed">
        <color indexed="64"/>
      </top>
      <bottom style="medium">
        <color indexed="64"/>
      </bottom>
      <diagonal/>
    </border>
    <border>
      <left style="dashed">
        <color indexed="64"/>
      </left>
      <right style="dashed">
        <color indexed="64"/>
      </right>
      <top style="dashed">
        <color indexed="64"/>
      </top>
      <bottom style="medium">
        <color indexed="64"/>
      </bottom>
      <diagonal/>
    </border>
    <border>
      <left style="double">
        <color indexed="64"/>
      </left>
      <right/>
      <top/>
      <bottom style="double">
        <color indexed="64"/>
      </bottom>
      <diagonal/>
    </border>
    <border>
      <left/>
      <right/>
      <top style="medium">
        <color indexed="64"/>
      </top>
      <bottom style="double">
        <color indexed="64"/>
      </bottom>
      <diagonal/>
    </border>
    <border>
      <left/>
      <right style="double">
        <color indexed="64"/>
      </right>
      <top/>
      <bottom style="double">
        <color indexed="64"/>
      </bottom>
      <diagonal/>
    </border>
    <border>
      <left style="medium">
        <color auto="1"/>
      </left>
      <right/>
      <top style="medium">
        <color auto="1"/>
      </top>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right style="medium">
        <color indexed="64"/>
      </right>
      <top/>
      <bottom style="thin">
        <color indexed="64"/>
      </bottom>
      <diagonal/>
    </border>
    <border>
      <left style="medium">
        <color indexed="64"/>
      </left>
      <right/>
      <top style="medium">
        <color indexed="64"/>
      </top>
      <bottom style="medium">
        <color indexed="64"/>
      </bottom>
      <diagonal/>
    </border>
    <border>
      <left/>
      <right style="thin">
        <color indexed="64"/>
      </right>
      <top/>
      <bottom style="hair">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right/>
      <top/>
      <bottom style="double">
        <color auto="1"/>
      </bottom>
      <diagonal/>
    </border>
    <border>
      <left style="dashed">
        <color auto="1"/>
      </left>
      <right/>
      <top style="dashed">
        <color auto="1"/>
      </top>
      <bottom style="medium">
        <color auto="1"/>
      </bottom>
      <diagonal/>
    </border>
    <border>
      <left/>
      <right/>
      <top style="dashed">
        <color auto="1"/>
      </top>
      <bottom style="dashed">
        <color auto="1"/>
      </bottom>
      <diagonal/>
    </border>
    <border>
      <left style="medium">
        <color auto="1"/>
      </left>
      <right style="dashed">
        <color auto="1"/>
      </right>
      <top/>
      <bottom style="dashed">
        <color auto="1"/>
      </bottom>
      <diagonal/>
    </border>
    <border>
      <left/>
      <right style="medium">
        <color auto="1"/>
      </right>
      <top style="medium">
        <color auto="1"/>
      </top>
      <bottom style="thin">
        <color indexed="64"/>
      </bottom>
      <diagonal/>
    </border>
    <border>
      <left/>
      <right style="thin">
        <color indexed="64"/>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top style="thin">
        <color indexed="64"/>
      </top>
      <bottom style="medium">
        <color indexed="64"/>
      </bottom>
      <diagonal/>
    </border>
    <border>
      <left style="medium">
        <color indexed="64"/>
      </left>
      <right style="medium">
        <color indexed="64"/>
      </right>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s>
  <cellStyleXfs count="20">
    <xf numFmtId="0" fontId="0" fillId="0" borderId="0"/>
    <xf numFmtId="0" fontId="1" fillId="0" borderId="0"/>
    <xf numFmtId="0" fontId="3" fillId="0" borderId="0"/>
    <xf numFmtId="9" fontId="6" fillId="0" borderId="0" applyFont="0" applyFill="0" applyBorder="0" applyAlignment="0" applyProtection="0"/>
    <xf numFmtId="0" fontId="7"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0" fontId="10" fillId="0" borderId="0"/>
    <xf numFmtId="0" fontId="14" fillId="8" borderId="0" applyNumberFormat="0" applyBorder="0" applyAlignment="0" applyProtection="0"/>
    <xf numFmtId="0" fontId="7" fillId="0" borderId="0"/>
    <xf numFmtId="0" fontId="17" fillId="0" borderId="0"/>
    <xf numFmtId="0" fontId="7" fillId="0" borderId="0"/>
    <xf numFmtId="0" fontId="14" fillId="8" borderId="0" applyNumberFormat="0" applyBorder="0" applyAlignment="0" applyProtection="0"/>
    <xf numFmtId="0" fontId="7" fillId="0" borderId="0"/>
    <xf numFmtId="9" fontId="7" fillId="0" borderId="0" applyFont="0" applyFill="0" applyBorder="0" applyAlignment="0" applyProtection="0"/>
    <xf numFmtId="0" fontId="1" fillId="0" borderId="0"/>
    <xf numFmtId="0" fontId="1" fillId="0" borderId="0"/>
  </cellStyleXfs>
  <cellXfs count="654">
    <xf numFmtId="0" fontId="0" fillId="0" borderId="0" xfId="0"/>
    <xf numFmtId="0" fontId="1" fillId="2" borderId="0" xfId="0" applyFont="1" applyFill="1" applyAlignment="1">
      <alignment horizontal="center"/>
    </xf>
    <xf numFmtId="0" fontId="8" fillId="0" borderId="0" xfId="0" applyFont="1"/>
    <xf numFmtId="0" fontId="1" fillId="0" borderId="0" xfId="10" applyFont="1" applyAlignment="1">
      <alignment vertical="center"/>
    </xf>
    <xf numFmtId="0" fontId="8" fillId="2" borderId="0" xfId="0" applyFont="1" applyFill="1"/>
    <xf numFmtId="0" fontId="8" fillId="0" borderId="0" xfId="0" applyFont="1" applyAlignment="1">
      <alignment horizontal="left" vertical="center"/>
    </xf>
    <xf numFmtId="0" fontId="9" fillId="0" borderId="0" xfId="0" applyFont="1" applyAlignment="1">
      <alignment horizontal="right" vertical="center"/>
    </xf>
    <xf numFmtId="0" fontId="8" fillId="0" borderId="0" xfId="0" applyFont="1" applyAlignment="1">
      <alignment vertical="top"/>
    </xf>
    <xf numFmtId="0" fontId="1" fillId="2" borderId="7" xfId="1" applyFill="1" applyBorder="1" applyAlignment="1" applyProtection="1">
      <alignment vertical="center"/>
      <protection locked="0"/>
    </xf>
    <xf numFmtId="0" fontId="8" fillId="2" borderId="0" xfId="0" applyFont="1" applyFill="1" applyProtection="1">
      <protection locked="0"/>
    </xf>
    <xf numFmtId="0" fontId="12" fillId="2" borderId="0" xfId="0" applyFont="1" applyFill="1" applyAlignment="1">
      <alignment horizontal="center"/>
    </xf>
    <xf numFmtId="0" fontId="1" fillId="2" borderId="7" xfId="1" applyFill="1" applyBorder="1" applyAlignment="1" applyProtection="1">
      <alignment horizontal="center" vertical="center"/>
      <protection locked="0"/>
    </xf>
    <xf numFmtId="0" fontId="1" fillId="2" borderId="8" xfId="1" applyFill="1" applyBorder="1" applyAlignment="1" applyProtection="1">
      <alignment vertical="center"/>
      <protection locked="0"/>
    </xf>
    <xf numFmtId="0" fontId="2" fillId="2" borderId="8" xfId="1" applyFont="1" applyFill="1" applyBorder="1" applyAlignment="1" applyProtection="1">
      <alignment horizontal="center" vertical="center"/>
      <protection locked="0"/>
    </xf>
    <xf numFmtId="0" fontId="8" fillId="0" borderId="0" xfId="0" applyFont="1" applyProtection="1">
      <protection locked="0"/>
    </xf>
    <xf numFmtId="0" fontId="8" fillId="0" borderId="12" xfId="0" applyFont="1" applyBorder="1" applyAlignment="1" applyProtection="1">
      <alignment horizontal="center" vertical="center"/>
      <protection locked="0"/>
    </xf>
    <xf numFmtId="168" fontId="8" fillId="0" borderId="12" xfId="0" applyNumberFormat="1" applyFont="1" applyBorder="1" applyAlignment="1" applyProtection="1">
      <alignment horizontal="center" vertical="center"/>
      <protection locked="0"/>
    </xf>
    <xf numFmtId="169" fontId="8" fillId="0" borderId="12" xfId="0" applyNumberFormat="1" applyFont="1" applyBorder="1" applyAlignment="1" applyProtection="1">
      <alignment horizontal="center" vertical="center"/>
      <protection locked="0"/>
    </xf>
    <xf numFmtId="0" fontId="12" fillId="0" borderId="0" xfId="1" applyFont="1" applyAlignment="1">
      <alignment vertical="center"/>
    </xf>
    <xf numFmtId="0" fontId="1" fillId="0" borderId="0" xfId="1" applyAlignment="1">
      <alignment vertical="center"/>
    </xf>
    <xf numFmtId="0" fontId="1" fillId="0" borderId="0" xfId="1" applyAlignment="1">
      <alignment horizontal="center" vertical="center"/>
    </xf>
    <xf numFmtId="0" fontId="9" fillId="0" borderId="10" xfId="0" applyFont="1" applyBorder="1" applyAlignment="1">
      <alignment horizontal="right" vertical="center"/>
    </xf>
    <xf numFmtId="0" fontId="8" fillId="0" borderId="11" xfId="0" applyFont="1" applyBorder="1" applyAlignment="1">
      <alignment horizontal="left" vertical="center"/>
    </xf>
    <xf numFmtId="0" fontId="1" fillId="2" borderId="6" xfId="1" applyFill="1" applyBorder="1" applyAlignment="1" applyProtection="1">
      <alignment vertical="center"/>
      <protection locked="0"/>
    </xf>
    <xf numFmtId="0" fontId="1" fillId="2" borderId="9" xfId="1" applyFill="1" applyBorder="1" applyAlignment="1" applyProtection="1">
      <alignment vertical="center"/>
      <protection locked="0"/>
    </xf>
    <xf numFmtId="0" fontId="8" fillId="0" borderId="10" xfId="0" applyFont="1" applyBorder="1" applyProtection="1">
      <protection locked="0"/>
    </xf>
    <xf numFmtId="0" fontId="8" fillId="0" borderId="11" xfId="0" applyFont="1" applyBorder="1" applyProtection="1">
      <protection locked="0"/>
    </xf>
    <xf numFmtId="0" fontId="2" fillId="0" borderId="10" xfId="0" applyFont="1" applyBorder="1" applyAlignment="1" applyProtection="1">
      <alignment vertical="center"/>
      <protection locked="0"/>
    </xf>
    <xf numFmtId="0" fontId="2" fillId="0" borderId="11" xfId="0" applyFont="1" applyBorder="1" applyAlignment="1" applyProtection="1">
      <alignment vertical="center"/>
      <protection locked="0"/>
    </xf>
    <xf numFmtId="0" fontId="2" fillId="2" borderId="10" xfId="0" applyFont="1" applyFill="1" applyBorder="1" applyAlignment="1" applyProtection="1">
      <alignment horizontal="center" vertical="center"/>
      <protection locked="0"/>
    </xf>
    <xf numFmtId="2" fontId="8" fillId="0" borderId="11" xfId="0" applyNumberFormat="1" applyFont="1" applyBorder="1" applyAlignment="1" applyProtection="1">
      <alignment vertical="center"/>
      <protection locked="0"/>
    </xf>
    <xf numFmtId="0" fontId="8" fillId="0" borderId="15" xfId="0" applyFont="1" applyBorder="1" applyProtection="1">
      <protection locked="0"/>
    </xf>
    <xf numFmtId="0" fontId="8" fillId="0" borderId="16" xfId="0" applyFont="1" applyBorder="1" applyProtection="1">
      <protection locked="0"/>
    </xf>
    <xf numFmtId="0" fontId="4" fillId="0" borderId="0" xfId="16" applyFont="1" applyAlignment="1">
      <alignment vertical="center"/>
    </xf>
    <xf numFmtId="0" fontId="2" fillId="2" borderId="4" xfId="0" applyFont="1" applyFill="1" applyBorder="1" applyAlignment="1" applyProtection="1">
      <alignment horizontal="center" vertical="center"/>
      <protection locked="0"/>
    </xf>
    <xf numFmtId="0" fontId="2" fillId="2" borderId="12" xfId="0" applyFont="1" applyFill="1" applyBorder="1" applyAlignment="1" applyProtection="1">
      <alignment horizontal="center" vertical="center"/>
      <protection locked="0"/>
    </xf>
    <xf numFmtId="0" fontId="2" fillId="2" borderId="5" xfId="0" applyFont="1" applyFill="1" applyBorder="1" applyAlignment="1" applyProtection="1">
      <alignment horizontal="center" vertical="center"/>
      <protection locked="0"/>
    </xf>
    <xf numFmtId="0" fontId="9" fillId="2" borderId="10" xfId="0" applyFont="1" applyFill="1" applyBorder="1" applyAlignment="1" applyProtection="1">
      <alignment vertical="center"/>
      <protection locked="0"/>
    </xf>
    <xf numFmtId="0" fontId="8" fillId="0" borderId="11" xfId="0" applyFont="1" applyBorder="1"/>
    <xf numFmtId="0" fontId="8" fillId="2" borderId="22" xfId="15" applyFont="1" applyFill="1" applyBorder="1" applyAlignment="1">
      <alignment vertical="center"/>
    </xf>
    <xf numFmtId="0" fontId="8" fillId="2" borderId="3" xfId="15" applyFont="1" applyFill="1" applyBorder="1" applyAlignment="1">
      <alignment vertical="center"/>
    </xf>
    <xf numFmtId="0" fontId="8" fillId="2" borderId="23" xfId="15" applyFont="1" applyFill="1" applyBorder="1" applyAlignment="1">
      <alignment vertical="center"/>
    </xf>
    <xf numFmtId="0" fontId="8" fillId="2" borderId="29" xfId="15" applyFont="1" applyFill="1" applyBorder="1" applyAlignment="1">
      <alignment vertical="center"/>
    </xf>
    <xf numFmtId="0" fontId="8" fillId="2" borderId="0" xfId="15" applyFont="1" applyFill="1" applyBorder="1" applyAlignment="1">
      <alignment vertical="center"/>
    </xf>
    <xf numFmtId="0" fontId="8" fillId="2" borderId="28" xfId="15" applyFont="1" applyFill="1" applyBorder="1" applyAlignment="1">
      <alignment vertical="center"/>
    </xf>
    <xf numFmtId="0" fontId="9" fillId="4" borderId="12" xfId="1" applyFont="1" applyFill="1" applyBorder="1" applyAlignment="1">
      <alignment vertical="center"/>
    </xf>
    <xf numFmtId="0" fontId="9" fillId="4" borderId="12" xfId="1" applyFont="1" applyFill="1" applyBorder="1" applyAlignment="1">
      <alignment horizontal="center" vertical="center"/>
    </xf>
    <xf numFmtId="0" fontId="9" fillId="4" borderId="5" xfId="1" applyFont="1" applyFill="1" applyBorder="1" applyAlignment="1">
      <alignment horizontal="center" vertical="center"/>
    </xf>
    <xf numFmtId="0" fontId="9" fillId="4" borderId="4" xfId="1" applyFont="1" applyFill="1" applyBorder="1" applyAlignment="1">
      <alignment vertical="center"/>
    </xf>
    <xf numFmtId="0" fontId="1" fillId="2" borderId="13" xfId="1" applyFill="1" applyBorder="1" applyAlignment="1" applyProtection="1">
      <alignment vertical="center"/>
      <protection hidden="1"/>
    </xf>
    <xf numFmtId="0" fontId="1" fillId="0" borderId="12" xfId="0" applyFont="1" applyBorder="1"/>
    <xf numFmtId="0" fontId="8" fillId="3" borderId="0" xfId="0" applyFont="1" applyFill="1"/>
    <xf numFmtId="0" fontId="1" fillId="2" borderId="0" xfId="1" applyFill="1" applyAlignment="1" applyProtection="1">
      <alignment vertical="center"/>
      <protection locked="0" hidden="1"/>
    </xf>
    <xf numFmtId="0" fontId="2" fillId="2" borderId="0" xfId="1" applyFont="1" applyFill="1" applyAlignment="1" applyProtection="1">
      <alignment horizontal="center" vertical="center"/>
      <protection locked="0" hidden="1"/>
    </xf>
    <xf numFmtId="0" fontId="1" fillId="2" borderId="0" xfId="1" applyFill="1" applyAlignment="1" applyProtection="1">
      <alignment vertical="center"/>
      <protection locked="0"/>
    </xf>
    <xf numFmtId="0" fontId="1" fillId="2" borderId="28" xfId="1" applyFill="1" applyBorder="1" applyAlignment="1" applyProtection="1">
      <alignment vertical="center"/>
      <protection locked="0" hidden="1"/>
    </xf>
    <xf numFmtId="0" fontId="2" fillId="0" borderId="0" xfId="1" applyFont="1" applyAlignment="1" applyProtection="1">
      <alignment horizontal="right" vertical="center"/>
      <protection hidden="1"/>
    </xf>
    <xf numFmtId="1" fontId="1" fillId="0" borderId="0" xfId="1" applyNumberFormat="1" applyAlignment="1" applyProtection="1">
      <alignment vertical="center"/>
      <protection hidden="1"/>
    </xf>
    <xf numFmtId="0" fontId="1" fillId="2" borderId="28" xfId="1" applyFill="1" applyBorder="1" applyAlignment="1" applyProtection="1">
      <alignment vertical="center"/>
      <protection hidden="1"/>
    </xf>
    <xf numFmtId="166" fontId="1" fillId="0" borderId="0" xfId="1" applyNumberFormat="1" applyAlignment="1" applyProtection="1">
      <alignment horizontal="center" vertical="center" wrapText="1"/>
      <protection locked="0"/>
    </xf>
    <xf numFmtId="0" fontId="1" fillId="2" borderId="29" xfId="1" applyFill="1" applyBorder="1" applyAlignment="1">
      <alignment vertical="center"/>
    </xf>
    <xf numFmtId="0" fontId="1" fillId="2" borderId="0" xfId="1" applyFill="1" applyAlignment="1">
      <alignment vertical="center"/>
    </xf>
    <xf numFmtId="0" fontId="1" fillId="2" borderId="0" xfId="1" applyFill="1" applyAlignment="1" applyProtection="1">
      <alignment horizontal="center" vertical="center"/>
      <protection hidden="1"/>
    </xf>
    <xf numFmtId="0" fontId="1" fillId="2" borderId="0" xfId="1" applyFill="1" applyAlignment="1" applyProtection="1">
      <alignment vertical="center"/>
      <protection hidden="1"/>
    </xf>
    <xf numFmtId="0" fontId="2" fillId="2" borderId="0" xfId="1" applyFont="1" applyFill="1" applyAlignment="1" applyProtection="1">
      <alignment horizontal="center" vertical="center"/>
      <protection hidden="1"/>
    </xf>
    <xf numFmtId="1" fontId="1" fillId="0" borderId="0" xfId="1" applyNumberFormat="1" applyAlignment="1" applyProtection="1">
      <alignment horizontal="left" vertical="center" wrapText="1"/>
      <protection locked="0"/>
    </xf>
    <xf numFmtId="0" fontId="18" fillId="0" borderId="0" xfId="0" applyFont="1"/>
    <xf numFmtId="0" fontId="1" fillId="0" borderId="28" xfId="1" applyBorder="1" applyAlignment="1" applyProtection="1">
      <alignment vertical="center"/>
      <protection hidden="1"/>
    </xf>
    <xf numFmtId="0" fontId="1" fillId="2" borderId="10" xfId="1" applyFill="1" applyBorder="1" applyAlignment="1">
      <alignment vertical="center"/>
    </xf>
    <xf numFmtId="0" fontId="2" fillId="2" borderId="13" xfId="1" applyFont="1" applyFill="1" applyBorder="1" applyAlignment="1" applyProtection="1">
      <alignment horizontal="center" vertical="center"/>
      <protection hidden="1"/>
    </xf>
    <xf numFmtId="0" fontId="1" fillId="2" borderId="14" xfId="1" applyFill="1" applyBorder="1" applyAlignment="1" applyProtection="1">
      <alignment vertical="center"/>
      <protection hidden="1"/>
    </xf>
    <xf numFmtId="0" fontId="2" fillId="2" borderId="7" xfId="1" applyFont="1" applyFill="1" applyBorder="1" applyAlignment="1" applyProtection="1">
      <alignment horizontal="center" vertical="center"/>
      <protection locked="0"/>
    </xf>
    <xf numFmtId="0" fontId="1" fillId="2" borderId="67" xfId="1" applyFill="1" applyBorder="1" applyAlignment="1" applyProtection="1">
      <alignment vertical="center"/>
      <protection locked="0"/>
    </xf>
    <xf numFmtId="0" fontId="1" fillId="0" borderId="0" xfId="1" applyAlignment="1" applyProtection="1">
      <alignment vertical="center"/>
      <protection hidden="1"/>
    </xf>
    <xf numFmtId="0" fontId="8" fillId="0" borderId="29" xfId="0" applyFont="1" applyBorder="1" applyProtection="1">
      <protection locked="0"/>
    </xf>
    <xf numFmtId="0" fontId="8" fillId="0" borderId="28" xfId="0" applyFont="1" applyBorder="1" applyProtection="1">
      <protection locked="0"/>
    </xf>
    <xf numFmtId="0" fontId="8" fillId="0" borderId="29" xfId="0" applyFont="1" applyBorder="1" applyAlignment="1" applyProtection="1">
      <alignment horizontal="center" vertical="center"/>
      <protection locked="0"/>
    </xf>
    <xf numFmtId="0" fontId="9" fillId="2" borderId="3" xfId="0" applyFont="1" applyFill="1" applyBorder="1" applyAlignment="1" applyProtection="1">
      <alignment horizontal="center" vertical="center" wrapText="1"/>
      <protection locked="0"/>
    </xf>
    <xf numFmtId="0" fontId="8" fillId="0" borderId="28" xfId="0" applyFont="1" applyBorder="1" applyAlignment="1" applyProtection="1">
      <alignment horizontal="center" vertical="center"/>
      <protection locked="0"/>
    </xf>
    <xf numFmtId="0" fontId="8" fillId="0" borderId="0" xfId="0" applyFont="1" applyAlignment="1" applyProtection="1">
      <alignment horizontal="center" vertical="center"/>
      <protection locked="0"/>
    </xf>
    <xf numFmtId="0" fontId="8" fillId="2" borderId="3" xfId="0" applyFont="1" applyFill="1" applyBorder="1" applyAlignment="1" applyProtection="1">
      <alignment horizontal="center" vertical="center" wrapText="1"/>
      <protection locked="0"/>
    </xf>
    <xf numFmtId="0" fontId="19" fillId="2" borderId="3" xfId="0" applyFont="1" applyFill="1" applyBorder="1" applyAlignment="1" applyProtection="1">
      <alignment horizontal="center" vertical="center" wrapText="1"/>
      <protection locked="0"/>
    </xf>
    <xf numFmtId="2" fontId="8" fillId="0" borderId="19" xfId="0" applyNumberFormat="1" applyFont="1" applyBorder="1" applyAlignment="1" applyProtection="1">
      <alignment horizontal="center" vertical="center"/>
      <protection locked="0"/>
    </xf>
    <xf numFmtId="49" fontId="8" fillId="0" borderId="19" xfId="0" applyNumberFormat="1" applyFont="1" applyBorder="1" applyAlignment="1" applyProtection="1">
      <alignment horizontal="center" vertical="center"/>
      <protection locked="0"/>
    </xf>
    <xf numFmtId="0" fontId="2" fillId="0" borderId="0" xfId="0" applyFont="1" applyAlignment="1" applyProtection="1">
      <alignment vertical="center"/>
      <protection locked="0"/>
    </xf>
    <xf numFmtId="169" fontId="8" fillId="0" borderId="19" xfId="0" applyNumberFormat="1" applyFont="1" applyBorder="1" applyAlignment="1" applyProtection="1">
      <alignment horizontal="center" vertical="center"/>
      <protection locked="0"/>
    </xf>
    <xf numFmtId="0" fontId="9" fillId="0" borderId="0" xfId="0" applyFont="1" applyAlignment="1" applyProtection="1">
      <alignment vertical="center"/>
      <protection locked="0"/>
    </xf>
    <xf numFmtId="1" fontId="8" fillId="0" borderId="0" xfId="0" applyNumberFormat="1" applyFont="1" applyAlignment="1" applyProtection="1">
      <alignment vertical="center"/>
      <protection locked="0"/>
    </xf>
    <xf numFmtId="169" fontId="8" fillId="0" borderId="0" xfId="0" applyNumberFormat="1" applyFont="1" applyAlignment="1" applyProtection="1">
      <alignment horizontal="center" vertical="center"/>
      <protection locked="0"/>
    </xf>
    <xf numFmtId="2" fontId="8" fillId="0" borderId="0" xfId="0" applyNumberFormat="1" applyFont="1" applyAlignment="1" applyProtection="1">
      <alignment horizontal="center" vertical="center"/>
      <protection locked="0"/>
    </xf>
    <xf numFmtId="49" fontId="8" fillId="0" borderId="0" xfId="0" applyNumberFormat="1" applyFont="1" applyAlignment="1" applyProtection="1">
      <alignment horizontal="center" vertical="center"/>
      <protection locked="0"/>
    </xf>
    <xf numFmtId="2" fontId="8" fillId="0" borderId="0" xfId="0" applyNumberFormat="1" applyFont="1" applyAlignment="1" applyProtection="1">
      <alignment vertical="center"/>
      <protection locked="0"/>
    </xf>
    <xf numFmtId="169" fontId="8" fillId="0" borderId="17" xfId="0" applyNumberFormat="1" applyFont="1" applyBorder="1" applyAlignment="1" applyProtection="1">
      <alignment horizontal="center" vertical="center"/>
      <protection locked="0"/>
    </xf>
    <xf numFmtId="0" fontId="8" fillId="0" borderId="0" xfId="0" applyFont="1" applyAlignment="1">
      <alignment vertical="center"/>
    </xf>
    <xf numFmtId="0" fontId="8" fillId="0" borderId="0" xfId="0" applyFont="1" applyAlignment="1">
      <alignment horizontal="center" vertical="center"/>
    </xf>
    <xf numFmtId="0" fontId="2" fillId="7" borderId="3" xfId="5" applyFont="1" applyFill="1" applyBorder="1" applyAlignment="1">
      <alignment horizontal="center" vertical="center" wrapText="1"/>
    </xf>
    <xf numFmtId="0" fontId="2" fillId="0" borderId="0" xfId="5" applyFont="1" applyAlignment="1">
      <alignment horizontal="center" vertical="center" wrapText="1"/>
    </xf>
    <xf numFmtId="0" fontId="2" fillId="0" borderId="0" xfId="5" applyFont="1" applyAlignment="1">
      <alignment horizontal="center" vertical="center"/>
    </xf>
    <xf numFmtId="165" fontId="2" fillId="7" borderId="3" xfId="6" applyNumberFormat="1" applyFont="1" applyFill="1" applyBorder="1" applyAlignment="1">
      <alignment horizontal="center" vertical="center" wrapText="1"/>
    </xf>
    <xf numFmtId="3" fontId="2" fillId="7" borderId="3" xfId="6" applyNumberFormat="1" applyFont="1" applyFill="1" applyBorder="1" applyAlignment="1">
      <alignment horizontal="center" vertical="center" wrapText="1"/>
    </xf>
    <xf numFmtId="43" fontId="2" fillId="7" borderId="3" xfId="5" applyNumberFormat="1" applyFont="1" applyFill="1" applyBorder="1" applyAlignment="1">
      <alignment horizontal="center" vertical="center" wrapText="1"/>
    </xf>
    <xf numFmtId="170" fontId="1" fillId="0" borderId="3" xfId="5" applyNumberFormat="1" applyBorder="1" applyAlignment="1">
      <alignment horizontal="center" vertical="center"/>
    </xf>
    <xf numFmtId="0" fontId="8" fillId="0" borderId="62" xfId="0" applyFont="1" applyBorder="1" applyAlignment="1">
      <alignment vertical="center"/>
    </xf>
    <xf numFmtId="0" fontId="8" fillId="0" borderId="29" xfId="0" applyFont="1" applyBorder="1" applyAlignment="1">
      <alignment vertical="center"/>
    </xf>
    <xf numFmtId="0" fontId="8" fillId="0" borderId="31" xfId="0" applyFont="1" applyBorder="1"/>
    <xf numFmtId="0" fontId="0" fillId="6" borderId="0" xfId="0" applyFill="1"/>
    <xf numFmtId="0" fontId="8" fillId="0" borderId="57" xfId="0" applyFont="1" applyBorder="1"/>
    <xf numFmtId="0" fontId="8" fillId="0" borderId="51" xfId="0" applyFont="1" applyBorder="1"/>
    <xf numFmtId="0" fontId="8" fillId="0" borderId="77" xfId="0" applyFont="1" applyBorder="1"/>
    <xf numFmtId="0" fontId="19" fillId="0" borderId="24" xfId="0" applyFont="1" applyBorder="1" applyAlignment="1">
      <alignment vertical="center" wrapText="1"/>
    </xf>
    <xf numFmtId="0" fontId="19" fillId="0" borderId="31" xfId="0" applyFont="1" applyBorder="1" applyAlignment="1">
      <alignment vertical="center" wrapText="1"/>
    </xf>
    <xf numFmtId="0" fontId="19" fillId="0" borderId="0" xfId="0" applyFont="1" applyAlignment="1">
      <alignment vertical="center" wrapText="1"/>
    </xf>
    <xf numFmtId="0" fontId="9" fillId="0" borderId="29" xfId="0" applyFont="1" applyBorder="1" applyAlignment="1">
      <alignment vertical="center" wrapText="1"/>
    </xf>
    <xf numFmtId="0" fontId="19" fillId="0" borderId="21" xfId="0" applyFont="1" applyBorder="1" applyAlignment="1">
      <alignment vertical="center" wrapText="1"/>
    </xf>
    <xf numFmtId="0" fontId="9" fillId="0" borderId="62" xfId="0" applyFont="1" applyBorder="1" applyAlignment="1">
      <alignment vertical="center" wrapText="1"/>
    </xf>
    <xf numFmtId="0" fontId="1" fillId="2" borderId="0" xfId="0" applyFont="1" applyFill="1" applyAlignment="1">
      <alignment horizontal="center" vertical="center"/>
    </xf>
    <xf numFmtId="170" fontId="1" fillId="0" borderId="3" xfId="5" applyNumberFormat="1" applyBorder="1" applyAlignment="1">
      <alignment horizontal="center" vertical="center" wrapText="1"/>
    </xf>
    <xf numFmtId="0" fontId="20" fillId="0" borderId="0" xfId="5" applyFont="1" applyAlignment="1">
      <alignment horizontal="center" vertical="center"/>
    </xf>
    <xf numFmtId="0" fontId="20" fillId="0" borderId="0" xfId="5" applyFont="1" applyAlignment="1">
      <alignment vertical="center"/>
    </xf>
    <xf numFmtId="0" fontId="2" fillId="2" borderId="0" xfId="1" applyFont="1" applyFill="1" applyAlignment="1">
      <alignment horizontal="left" vertical="center"/>
    </xf>
    <xf numFmtId="0" fontId="8" fillId="2" borderId="71" xfId="0" applyFont="1" applyFill="1" applyBorder="1" applyAlignment="1">
      <alignment vertical="center"/>
    </xf>
    <xf numFmtId="0" fontId="8" fillId="2" borderId="0" xfId="0" applyFont="1" applyFill="1" applyAlignment="1">
      <alignment horizontal="center" vertical="center"/>
    </xf>
    <xf numFmtId="0" fontId="8" fillId="2" borderId="0" xfId="0" applyFont="1" applyFill="1" applyAlignment="1">
      <alignment vertical="center"/>
    </xf>
    <xf numFmtId="0" fontId="8" fillId="2" borderId="72" xfId="0" applyFont="1" applyFill="1" applyBorder="1" applyAlignment="1">
      <alignment vertical="center"/>
    </xf>
    <xf numFmtId="0" fontId="8" fillId="2" borderId="73" xfId="0" applyFont="1" applyFill="1" applyBorder="1" applyAlignment="1">
      <alignment vertical="center"/>
    </xf>
    <xf numFmtId="0" fontId="9" fillId="8" borderId="0" xfId="15" applyFont="1" applyBorder="1" applyAlignment="1">
      <alignment horizontal="center" vertical="center"/>
    </xf>
    <xf numFmtId="0" fontId="2" fillId="2" borderId="0" xfId="1" applyFont="1" applyFill="1" applyAlignment="1">
      <alignment vertical="center"/>
    </xf>
    <xf numFmtId="0" fontId="21" fillId="4" borderId="0" xfId="15" applyFont="1" applyFill="1" applyBorder="1" applyAlignment="1">
      <alignment horizontal="center" vertical="center"/>
    </xf>
    <xf numFmtId="167" fontId="9" fillId="7" borderId="68" xfId="0" applyNumberFormat="1" applyFont="1" applyFill="1" applyBorder="1" applyAlignment="1">
      <alignment horizontal="center" vertical="center"/>
    </xf>
    <xf numFmtId="167" fontId="9" fillId="7" borderId="70" xfId="0" applyNumberFormat="1" applyFont="1" applyFill="1" applyBorder="1" applyAlignment="1">
      <alignment horizontal="center" vertical="center"/>
    </xf>
    <xf numFmtId="0" fontId="12" fillId="0" borderId="0" xfId="1" applyFont="1" applyAlignment="1">
      <alignment horizontal="center" vertical="center"/>
    </xf>
    <xf numFmtId="170" fontId="8" fillId="2" borderId="3" xfId="15" applyNumberFormat="1" applyFont="1" applyFill="1" applyBorder="1" applyAlignment="1">
      <alignment horizontal="center" vertical="center"/>
    </xf>
    <xf numFmtId="15" fontId="8" fillId="2" borderId="3" xfId="15" applyNumberFormat="1" applyFont="1" applyFill="1" applyBorder="1" applyAlignment="1">
      <alignment vertical="center"/>
    </xf>
    <xf numFmtId="0" fontId="9" fillId="7" borderId="0" xfId="15" applyFont="1" applyFill="1" applyBorder="1" applyAlignment="1">
      <alignment horizontal="center" vertical="center"/>
    </xf>
    <xf numFmtId="0" fontId="5" fillId="0" borderId="0" xfId="15" applyFont="1" applyFill="1" applyBorder="1" applyAlignment="1">
      <alignment vertical="center"/>
    </xf>
    <xf numFmtId="0" fontId="2" fillId="0" borderId="0" xfId="16" applyFont="1" applyAlignment="1">
      <alignment horizontal="left" vertical="center"/>
    </xf>
    <xf numFmtId="0" fontId="23" fillId="0" borderId="0" xfId="18" applyFont="1" applyAlignment="1">
      <alignment vertical="center"/>
    </xf>
    <xf numFmtId="0" fontId="2" fillId="7" borderId="20" xfId="1" applyFont="1" applyFill="1" applyBorder="1" applyAlignment="1">
      <alignment vertical="center"/>
    </xf>
    <xf numFmtId="0" fontId="2" fillId="7" borderId="3" xfId="1" applyFont="1" applyFill="1" applyBorder="1" applyAlignment="1">
      <alignment vertical="center"/>
    </xf>
    <xf numFmtId="0" fontId="22" fillId="0" borderId="0" xfId="18" applyFont="1" applyAlignment="1">
      <alignment vertical="center"/>
    </xf>
    <xf numFmtId="0" fontId="2" fillId="4" borderId="3" xfId="18" applyFont="1" applyFill="1" applyBorder="1" applyAlignment="1">
      <alignment horizontal="center" vertical="center"/>
    </xf>
    <xf numFmtId="0" fontId="2" fillId="4" borderId="3" xfId="18" applyFont="1" applyFill="1" applyBorder="1" applyAlignment="1" applyProtection="1">
      <alignment horizontal="center" vertical="center"/>
      <protection locked="0"/>
    </xf>
    <xf numFmtId="0" fontId="2" fillId="4" borderId="23" xfId="18" applyFont="1" applyFill="1" applyBorder="1" applyAlignment="1">
      <alignment horizontal="center" vertical="center"/>
    </xf>
    <xf numFmtId="170" fontId="1" fillId="0" borderId="22" xfId="18" applyNumberFormat="1" applyBorder="1" applyAlignment="1">
      <alignment horizontal="center" vertical="center"/>
    </xf>
    <xf numFmtId="0" fontId="1" fillId="0" borderId="3" xfId="18" applyBorder="1" applyAlignment="1">
      <alignment horizontal="center" vertical="center"/>
    </xf>
    <xf numFmtId="1" fontId="1" fillId="0" borderId="3" xfId="19" applyNumberFormat="1" applyBorder="1" applyAlignment="1">
      <alignment horizontal="center" vertical="center"/>
    </xf>
    <xf numFmtId="0" fontId="25" fillId="5" borderId="0" xfId="18" applyFont="1" applyFill="1" applyAlignment="1">
      <alignment vertical="center"/>
    </xf>
    <xf numFmtId="0" fontId="1" fillId="0" borderId="3" xfId="18" applyBorder="1" applyAlignment="1">
      <alignment vertical="center"/>
    </xf>
    <xf numFmtId="0" fontId="1" fillId="0" borderId="23" xfId="18" applyBorder="1" applyAlignment="1">
      <alignment vertical="center"/>
    </xf>
    <xf numFmtId="0" fontId="8" fillId="2" borderId="31" xfId="18" applyFont="1" applyFill="1" applyBorder="1" applyAlignment="1">
      <alignment horizontal="center" vertical="center"/>
    </xf>
    <xf numFmtId="0" fontId="8" fillId="2" borderId="24" xfId="18" applyFont="1" applyFill="1" applyBorder="1" applyAlignment="1">
      <alignment horizontal="center" vertical="center"/>
    </xf>
    <xf numFmtId="0" fontId="1" fillId="0" borderId="24" xfId="18" applyBorder="1" applyAlignment="1">
      <alignment horizontal="center" vertical="center"/>
    </xf>
    <xf numFmtId="2" fontId="1" fillId="0" borderId="24" xfId="18" applyNumberFormat="1" applyBorder="1" applyAlignment="1">
      <alignment horizontal="center" vertical="center"/>
    </xf>
    <xf numFmtId="2" fontId="1" fillId="0" borderId="24" xfId="18" applyNumberFormat="1" applyBorder="1" applyAlignment="1">
      <alignment vertical="center"/>
    </xf>
    <xf numFmtId="0" fontId="1" fillId="0" borderId="24" xfId="18" applyBorder="1" applyAlignment="1">
      <alignment vertical="center"/>
    </xf>
    <xf numFmtId="0" fontId="1" fillId="0" borderId="30" xfId="18" applyBorder="1" applyAlignment="1">
      <alignment vertical="center"/>
    </xf>
    <xf numFmtId="2" fontId="23" fillId="0" borderId="0" xfId="18" applyNumberFormat="1" applyFont="1" applyAlignment="1">
      <alignment vertical="center"/>
    </xf>
    <xf numFmtId="0" fontId="26" fillId="6" borderId="0" xfId="0" applyFont="1" applyFill="1"/>
    <xf numFmtId="49" fontId="1" fillId="0" borderId="3" xfId="1" applyNumberFormat="1" applyBorder="1" applyAlignment="1" applyProtection="1">
      <alignment horizontal="center" vertical="center" wrapText="1"/>
      <protection locked="0" hidden="1"/>
    </xf>
    <xf numFmtId="171" fontId="1" fillId="0" borderId="3" xfId="1" applyNumberFormat="1" applyBorder="1" applyAlignment="1" applyProtection="1">
      <alignment horizontal="center" vertical="center"/>
      <protection hidden="1"/>
    </xf>
    <xf numFmtId="172" fontId="1" fillId="0" borderId="3" xfId="1" applyNumberFormat="1" applyBorder="1" applyAlignment="1" applyProtection="1">
      <alignment horizontal="center" vertical="center"/>
      <protection hidden="1"/>
    </xf>
    <xf numFmtId="0" fontId="8" fillId="2" borderId="3" xfId="15" applyFont="1" applyFill="1" applyBorder="1" applyAlignment="1">
      <alignment horizontal="center" vertical="center"/>
    </xf>
    <xf numFmtId="0" fontId="8" fillId="2" borderId="22" xfId="15" applyFont="1" applyFill="1" applyBorder="1" applyAlignment="1">
      <alignment horizontal="center" vertical="center"/>
    </xf>
    <xf numFmtId="15" fontId="8" fillId="2" borderId="3" xfId="15" applyNumberFormat="1" applyFont="1" applyFill="1" applyBorder="1" applyAlignment="1">
      <alignment horizontal="center" vertical="center"/>
    </xf>
    <xf numFmtId="0" fontId="1" fillId="0" borderId="4" xfId="18" applyBorder="1" applyAlignment="1">
      <alignment horizontal="center" vertical="center"/>
    </xf>
    <xf numFmtId="172" fontId="8" fillId="2" borderId="3" xfId="15" applyNumberFormat="1" applyFont="1" applyFill="1" applyBorder="1" applyAlignment="1">
      <alignment horizontal="center" vertical="center"/>
    </xf>
    <xf numFmtId="0" fontId="25" fillId="0" borderId="0" xfId="18" applyFont="1" applyAlignment="1">
      <alignment vertical="center"/>
    </xf>
    <xf numFmtId="0" fontId="2" fillId="7" borderId="80" xfId="16" applyFont="1" applyFill="1" applyBorder="1" applyAlignment="1">
      <alignment vertical="center"/>
    </xf>
    <xf numFmtId="0" fontId="9" fillId="2" borderId="82" xfId="1" applyFont="1" applyFill="1" applyBorder="1" applyAlignment="1">
      <alignment vertical="center"/>
    </xf>
    <xf numFmtId="0" fontId="9" fillId="2" borderId="83" xfId="1" applyFont="1" applyFill="1" applyBorder="1" applyAlignment="1">
      <alignment vertical="center"/>
    </xf>
    <xf numFmtId="0" fontId="9" fillId="2" borderId="84" xfId="1" applyFont="1" applyFill="1" applyBorder="1" applyAlignment="1">
      <alignment vertical="center"/>
    </xf>
    <xf numFmtId="1" fontId="1" fillId="0" borderId="3" xfId="0" applyNumberFormat="1" applyFont="1" applyBorder="1" applyAlignment="1">
      <alignment horizontal="center" vertical="center"/>
    </xf>
    <xf numFmtId="0" fontId="1" fillId="0" borderId="3" xfId="0" applyFont="1" applyBorder="1" applyAlignment="1">
      <alignment horizontal="center" vertical="center"/>
    </xf>
    <xf numFmtId="172" fontId="1" fillId="0" borderId="3" xfId="0" applyNumberFormat="1" applyFont="1" applyBorder="1" applyAlignment="1">
      <alignment horizontal="center" vertical="center"/>
    </xf>
    <xf numFmtId="172" fontId="1" fillId="2" borderId="3" xfId="0" applyNumberFormat="1" applyFont="1" applyFill="1" applyBorder="1" applyAlignment="1">
      <alignment horizontal="center" vertical="center"/>
    </xf>
    <xf numFmtId="14" fontId="8" fillId="2" borderId="3" xfId="15" applyNumberFormat="1" applyFont="1" applyFill="1" applyBorder="1" applyAlignment="1">
      <alignment horizontal="center" vertical="center"/>
    </xf>
    <xf numFmtId="0" fontId="1" fillId="0" borderId="3" xfId="0" applyFont="1" applyBorder="1" applyAlignment="1">
      <alignment horizontal="center" vertical="center" wrapText="1"/>
    </xf>
    <xf numFmtId="0" fontId="1" fillId="4" borderId="29" xfId="5" applyFill="1" applyBorder="1" applyAlignment="1">
      <alignment horizontal="center" vertical="center"/>
    </xf>
    <xf numFmtId="0" fontId="1" fillId="4" borderId="0" xfId="5" applyFill="1" applyAlignment="1">
      <alignment horizontal="center" vertical="center"/>
    </xf>
    <xf numFmtId="0" fontId="1" fillId="4" borderId="0" xfId="5" applyFill="1" applyAlignment="1">
      <alignment horizontal="center" vertical="center" wrapText="1"/>
    </xf>
    <xf numFmtId="3" fontId="1" fillId="4" borderId="0" xfId="6" applyNumberFormat="1" applyFill="1" applyAlignment="1">
      <alignment horizontal="center" vertical="center"/>
    </xf>
    <xf numFmtId="0" fontId="1" fillId="4" borderId="19" xfId="5" applyFill="1" applyBorder="1" applyAlignment="1">
      <alignment vertical="center"/>
    </xf>
    <xf numFmtId="0" fontId="1" fillId="4" borderId="19" xfId="5" applyFill="1" applyBorder="1" applyAlignment="1">
      <alignment horizontal="center" vertical="center"/>
    </xf>
    <xf numFmtId="0" fontId="1" fillId="4" borderId="65" xfId="5" applyFill="1" applyBorder="1" applyAlignment="1">
      <alignment vertical="center"/>
    </xf>
    <xf numFmtId="0" fontId="1" fillId="0" borderId="0" xfId="5" applyAlignment="1">
      <alignment horizontal="center" vertical="center"/>
    </xf>
    <xf numFmtId="0" fontId="1" fillId="0" borderId="0" xfId="5" applyAlignment="1">
      <alignment vertical="center"/>
    </xf>
    <xf numFmtId="0" fontId="1" fillId="0" borderId="22" xfId="5" applyBorder="1" applyAlignment="1">
      <alignment horizontal="center" vertical="center"/>
    </xf>
    <xf numFmtId="1" fontId="1" fillId="0" borderId="3" xfId="5" applyNumberFormat="1" applyBorder="1" applyAlignment="1">
      <alignment horizontal="center" vertical="center" wrapText="1"/>
    </xf>
    <xf numFmtId="0" fontId="1" fillId="0" borderId="3" xfId="5" applyBorder="1" applyAlignment="1">
      <alignment horizontal="center" vertical="center"/>
    </xf>
    <xf numFmtId="0" fontId="1" fillId="0" borderId="23" xfId="5" applyBorder="1" applyAlignment="1">
      <alignment horizontal="center" vertical="center" wrapText="1"/>
    </xf>
    <xf numFmtId="1" fontId="1" fillId="0" borderId="3" xfId="5" applyNumberFormat="1" applyBorder="1" applyAlignment="1">
      <alignment horizontal="center" vertical="center"/>
    </xf>
    <xf numFmtId="0" fontId="1" fillId="0" borderId="23" xfId="5" applyBorder="1" applyAlignment="1">
      <alignment horizontal="center" vertical="center"/>
    </xf>
    <xf numFmtId="14" fontId="1" fillId="0" borderId="63" xfId="5" applyNumberFormat="1" applyBorder="1" applyAlignment="1">
      <alignment horizontal="center" vertical="center"/>
    </xf>
    <xf numFmtId="0" fontId="1" fillId="0" borderId="12" xfId="5" applyBorder="1" applyAlignment="1">
      <alignment horizontal="center" vertical="center"/>
    </xf>
    <xf numFmtId="0" fontId="1" fillId="0" borderId="12" xfId="5" applyBorder="1" applyAlignment="1">
      <alignment horizontal="center" vertical="center" wrapText="1"/>
    </xf>
    <xf numFmtId="0" fontId="1" fillId="0" borderId="36" xfId="5" applyBorder="1" applyAlignment="1">
      <alignment horizontal="center" vertical="center"/>
    </xf>
    <xf numFmtId="14" fontId="1" fillId="2" borderId="0" xfId="5" applyNumberFormat="1" applyFill="1" applyAlignment="1">
      <alignment horizontal="center" vertical="center"/>
    </xf>
    <xf numFmtId="0" fontId="1" fillId="2" borderId="0" xfId="5" applyFill="1" applyAlignment="1">
      <alignment horizontal="center" vertical="center"/>
    </xf>
    <xf numFmtId="0" fontId="1" fillId="2" borderId="0" xfId="5" applyFill="1" applyAlignment="1">
      <alignment horizontal="center" vertical="center" wrapText="1"/>
    </xf>
    <xf numFmtId="3" fontId="1" fillId="2" borderId="0" xfId="6" applyNumberFormat="1" applyFill="1" applyAlignment="1">
      <alignment horizontal="center" vertical="center"/>
    </xf>
    <xf numFmtId="0" fontId="1" fillId="2" borderId="0" xfId="5" applyFill="1" applyAlignment="1">
      <alignment vertical="center"/>
    </xf>
    <xf numFmtId="3" fontId="1" fillId="2" borderId="0" xfId="5" applyNumberFormat="1" applyFill="1" applyAlignment="1">
      <alignment horizontal="center" vertical="center"/>
    </xf>
    <xf numFmtId="0" fontId="1" fillId="0" borderId="0" xfId="5" applyAlignment="1">
      <alignment horizontal="center" vertical="center" wrapText="1"/>
    </xf>
    <xf numFmtId="3" fontId="1" fillId="0" borderId="0" xfId="6" applyNumberFormat="1" applyAlignment="1">
      <alignment horizontal="center" vertical="center"/>
    </xf>
    <xf numFmtId="0" fontId="1" fillId="6" borderId="0" xfId="4" applyFont="1" applyFill="1"/>
    <xf numFmtId="0" fontId="8" fillId="0" borderId="0" xfId="0" applyFont="1" applyAlignment="1" applyProtection="1">
      <alignment horizontal="left" vertical="center" wrapText="1"/>
      <protection locked="0"/>
    </xf>
    <xf numFmtId="9" fontId="1" fillId="0" borderId="3" xfId="17" applyFont="1" applyFill="1" applyBorder="1" applyAlignment="1">
      <alignment horizontal="center" vertical="center"/>
    </xf>
    <xf numFmtId="9" fontId="1" fillId="0" borderId="0" xfId="17" applyFont="1" applyFill="1" applyAlignment="1">
      <alignment vertical="center"/>
    </xf>
    <xf numFmtId="9" fontId="1" fillId="0" borderId="3" xfId="17" applyFont="1" applyBorder="1" applyAlignment="1">
      <alignment horizontal="center" vertical="center"/>
    </xf>
    <xf numFmtId="1" fontId="1" fillId="0" borderId="3" xfId="17" applyNumberFormat="1" applyFont="1" applyFill="1" applyBorder="1" applyAlignment="1">
      <alignment horizontal="center" vertical="center"/>
    </xf>
    <xf numFmtId="172" fontId="1" fillId="0" borderId="3" xfId="18" applyNumberFormat="1" applyBorder="1" applyAlignment="1">
      <alignment horizontal="center" vertical="center"/>
    </xf>
    <xf numFmtId="1" fontId="1" fillId="0" borderId="4" xfId="18" applyNumberFormat="1" applyBorder="1" applyAlignment="1">
      <alignment horizontal="center" vertical="center"/>
    </xf>
    <xf numFmtId="0" fontId="8" fillId="0" borderId="69" xfId="0" applyFont="1" applyBorder="1"/>
    <xf numFmtId="0" fontId="8" fillId="0" borderId="22" xfId="0" applyFont="1" applyBorder="1"/>
    <xf numFmtId="0" fontId="8" fillId="0" borderId="43" xfId="0" applyFont="1" applyBorder="1"/>
    <xf numFmtId="0" fontId="8" fillId="2" borderId="12" xfId="0" applyFont="1" applyFill="1" applyBorder="1" applyAlignment="1" applyProtection="1">
      <alignment horizontal="center" vertical="center" wrapText="1"/>
      <protection locked="0"/>
    </xf>
    <xf numFmtId="16" fontId="8" fillId="2" borderId="12" xfId="0" applyNumberFormat="1" applyFont="1" applyFill="1" applyBorder="1" applyAlignment="1" applyProtection="1">
      <alignment horizontal="center" vertical="center" wrapText="1"/>
      <protection locked="0"/>
    </xf>
    <xf numFmtId="170" fontId="1" fillId="0" borderId="0" xfId="5" applyNumberFormat="1" applyAlignment="1">
      <alignment horizontal="center" vertical="center" wrapText="1"/>
    </xf>
    <xf numFmtId="1" fontId="8" fillId="2" borderId="3" xfId="15" applyNumberFormat="1" applyFont="1" applyFill="1" applyBorder="1" applyAlignment="1">
      <alignment horizontal="center" vertical="center"/>
    </xf>
    <xf numFmtId="9" fontId="1" fillId="2" borderId="3" xfId="17" applyFont="1" applyFill="1" applyBorder="1" applyAlignment="1">
      <alignment horizontal="center" vertical="center"/>
    </xf>
    <xf numFmtId="1" fontId="1" fillId="2" borderId="3" xfId="17" applyNumberFormat="1" applyFont="1" applyFill="1" applyBorder="1" applyAlignment="1">
      <alignment horizontal="center" vertical="center"/>
    </xf>
    <xf numFmtId="171" fontId="1" fillId="0" borderId="3" xfId="17" applyNumberFormat="1" applyFont="1" applyFill="1" applyBorder="1" applyAlignment="1">
      <alignment horizontal="center" vertical="center"/>
    </xf>
    <xf numFmtId="0" fontId="29" fillId="0" borderId="3" xfId="0" applyFont="1" applyBorder="1" applyAlignment="1">
      <alignment horizontal="center" vertical="center"/>
    </xf>
    <xf numFmtId="0" fontId="1" fillId="0" borderId="4" xfId="18" applyBorder="1" applyAlignment="1">
      <alignment horizontal="center" vertical="center"/>
    </xf>
    <xf numFmtId="0" fontId="1" fillId="0" borderId="5" xfId="18" applyBorder="1" applyAlignment="1">
      <alignment horizontal="center" vertical="center"/>
    </xf>
    <xf numFmtId="1" fontId="1" fillId="0" borderId="3" xfId="19" applyNumberFormat="1" applyBorder="1" applyAlignment="1">
      <alignment horizontal="center" vertical="center"/>
    </xf>
    <xf numFmtId="0" fontId="8" fillId="2" borderId="35" xfId="1" applyFont="1" applyFill="1" applyBorder="1" applyAlignment="1">
      <alignment horizontal="center" vertical="center"/>
    </xf>
    <xf numFmtId="0" fontId="8" fillId="2" borderId="20" xfId="1" applyFont="1" applyFill="1" applyBorder="1" applyAlignment="1">
      <alignment horizontal="center" vertical="center"/>
    </xf>
    <xf numFmtId="0" fontId="8" fillId="2" borderId="42" xfId="1" applyFont="1" applyFill="1" applyBorder="1" applyAlignment="1">
      <alignment horizontal="center" vertical="center"/>
    </xf>
    <xf numFmtId="0" fontId="8" fillId="2" borderId="16" xfId="1" applyFont="1" applyFill="1" applyBorder="1" applyAlignment="1">
      <alignment horizontal="center" vertical="center"/>
    </xf>
    <xf numFmtId="0" fontId="8" fillId="2" borderId="85" xfId="1" applyFont="1" applyFill="1" applyBorder="1" applyAlignment="1">
      <alignment horizontal="center" vertical="center"/>
    </xf>
    <xf numFmtId="0" fontId="8" fillId="2" borderId="86" xfId="1" applyFont="1" applyFill="1" applyBorder="1" applyAlignment="1">
      <alignment horizontal="center" vertical="center"/>
    </xf>
    <xf numFmtId="0" fontId="8" fillId="2" borderId="87" xfId="1" applyFont="1" applyFill="1" applyBorder="1" applyAlignment="1">
      <alignment horizontal="center" vertical="center"/>
    </xf>
    <xf numFmtId="0" fontId="2" fillId="7" borderId="32" xfId="16" applyFont="1" applyFill="1" applyBorder="1" applyAlignment="1">
      <alignment horizontal="center" vertical="center"/>
    </xf>
    <xf numFmtId="0" fontId="2" fillId="7" borderId="33" xfId="16" applyFont="1" applyFill="1" applyBorder="1" applyAlignment="1">
      <alignment horizontal="center" vertical="center"/>
    </xf>
    <xf numFmtId="0" fontId="2" fillId="7" borderId="34" xfId="16" applyFont="1" applyFill="1" applyBorder="1" applyAlignment="1">
      <alignment horizontal="center" vertical="center"/>
    </xf>
    <xf numFmtId="0" fontId="2" fillId="7" borderId="79" xfId="16" applyFont="1" applyFill="1" applyBorder="1" applyAlignment="1">
      <alignment horizontal="center" vertical="center"/>
    </xf>
    <xf numFmtId="2" fontId="1" fillId="0" borderId="3" xfId="18" applyNumberFormat="1" applyBorder="1" applyAlignment="1">
      <alignment horizontal="center" vertical="center"/>
    </xf>
    <xf numFmtId="0" fontId="2" fillId="7" borderId="62" xfId="16" applyFont="1" applyFill="1" applyBorder="1" applyAlignment="1">
      <alignment horizontal="center" vertical="center"/>
    </xf>
    <xf numFmtId="0" fontId="2" fillId="7" borderId="21" xfId="16" applyFont="1" applyFill="1" applyBorder="1" applyAlignment="1">
      <alignment horizontal="center" vertical="center"/>
    </xf>
    <xf numFmtId="0" fontId="2" fillId="7" borderId="27" xfId="16" applyFont="1" applyFill="1" applyBorder="1" applyAlignment="1">
      <alignment horizontal="center" vertical="center"/>
    </xf>
    <xf numFmtId="0" fontId="8" fillId="2" borderId="69" xfId="1" applyFont="1" applyFill="1" applyBorder="1" applyAlignment="1">
      <alignment horizontal="center" vertical="center"/>
    </xf>
    <xf numFmtId="0" fontId="8" fillId="2" borderId="68" xfId="1" applyFont="1" applyFill="1" applyBorder="1" applyAlignment="1">
      <alignment horizontal="center" vertical="center"/>
    </xf>
    <xf numFmtId="0" fontId="8" fillId="2" borderId="70" xfId="1" applyFont="1" applyFill="1" applyBorder="1" applyAlignment="1">
      <alignment horizontal="center" vertical="center"/>
    </xf>
    <xf numFmtId="0" fontId="8" fillId="2" borderId="22" xfId="1" applyFont="1" applyFill="1" applyBorder="1" applyAlignment="1">
      <alignment horizontal="center" vertical="center"/>
    </xf>
    <xf numFmtId="0" fontId="8" fillId="2" borderId="3" xfId="1" applyFont="1" applyFill="1" applyBorder="1" applyAlignment="1">
      <alignment horizontal="center" vertical="center"/>
    </xf>
    <xf numFmtId="0" fontId="8" fillId="2" borderId="23" xfId="1" applyFont="1" applyFill="1" applyBorder="1" applyAlignment="1">
      <alignment horizontal="center" vertical="center"/>
    </xf>
    <xf numFmtId="0" fontId="8" fillId="2" borderId="43" xfId="1" applyFont="1" applyFill="1" applyBorder="1" applyAlignment="1">
      <alignment horizontal="center" vertical="center"/>
    </xf>
    <xf numFmtId="0" fontId="8" fillId="2" borderId="44" xfId="1" applyFont="1" applyFill="1" applyBorder="1" applyAlignment="1">
      <alignment horizontal="center" vertical="center"/>
    </xf>
    <xf numFmtId="0" fontId="8" fillId="2" borderId="39" xfId="1" applyFont="1" applyFill="1" applyBorder="1" applyAlignment="1">
      <alignment horizontal="center" vertical="center"/>
    </xf>
    <xf numFmtId="0" fontId="2" fillId="4" borderId="3" xfId="18" applyFont="1" applyFill="1" applyBorder="1" applyAlignment="1">
      <alignment horizontal="center" vertical="center"/>
    </xf>
    <xf numFmtId="0" fontId="2" fillId="4" borderId="23" xfId="18" applyFont="1" applyFill="1" applyBorder="1" applyAlignment="1">
      <alignment horizontal="center" vertical="center"/>
    </xf>
    <xf numFmtId="2" fontId="22" fillId="0" borderId="66" xfId="18" applyNumberFormat="1" applyFont="1" applyBorder="1" applyAlignment="1">
      <alignment horizontal="center" vertical="center" wrapText="1"/>
    </xf>
    <xf numFmtId="2" fontId="22" fillId="0" borderId="40" xfId="18" applyNumberFormat="1" applyFont="1" applyBorder="1" applyAlignment="1">
      <alignment horizontal="center" vertical="center" wrapText="1"/>
    </xf>
    <xf numFmtId="2" fontId="2" fillId="0" borderId="66" xfId="18" applyNumberFormat="1" applyFont="1" applyBorder="1" applyAlignment="1">
      <alignment horizontal="center" vertical="center" wrapText="1"/>
    </xf>
    <xf numFmtId="2" fontId="2" fillId="0" borderId="40" xfId="18" applyNumberFormat="1" applyFont="1" applyBorder="1" applyAlignment="1">
      <alignment horizontal="center" vertical="center" wrapText="1"/>
    </xf>
    <xf numFmtId="2" fontId="2" fillId="0" borderId="41" xfId="18" applyNumberFormat="1" applyFont="1" applyBorder="1" applyAlignment="1">
      <alignment horizontal="center" vertical="center" wrapText="1"/>
    </xf>
    <xf numFmtId="2" fontId="1" fillId="0" borderId="66" xfId="18" applyNumberFormat="1" applyBorder="1" applyAlignment="1">
      <alignment horizontal="center" vertical="center" wrapText="1"/>
    </xf>
    <xf numFmtId="2" fontId="1" fillId="0" borderId="40" xfId="18" applyNumberFormat="1" applyBorder="1" applyAlignment="1">
      <alignment horizontal="center" vertical="center"/>
    </xf>
    <xf numFmtId="2" fontId="1" fillId="0" borderId="41" xfId="18" applyNumberFormat="1" applyBorder="1" applyAlignment="1">
      <alignment horizontal="center" vertical="center"/>
    </xf>
    <xf numFmtId="0" fontId="24" fillId="8" borderId="35" xfId="11" applyFont="1" applyBorder="1" applyAlignment="1">
      <alignment horizontal="center" vertical="center"/>
    </xf>
    <xf numFmtId="0" fontId="24" fillId="8" borderId="20" xfId="11" applyFont="1" applyBorder="1" applyAlignment="1">
      <alignment horizontal="center" vertical="center"/>
    </xf>
    <xf numFmtId="0" fontId="24" fillId="8" borderId="42" xfId="11" applyFont="1" applyBorder="1" applyAlignment="1">
      <alignment horizontal="center" vertical="center"/>
    </xf>
    <xf numFmtId="0" fontId="9" fillId="7" borderId="35" xfId="1" applyFont="1" applyFill="1" applyBorder="1" applyAlignment="1">
      <alignment horizontal="left" vertical="center"/>
    </xf>
    <xf numFmtId="0" fontId="9" fillId="7" borderId="16" xfId="1" applyFont="1" applyFill="1" applyBorder="1" applyAlignment="1">
      <alignment horizontal="left" vertical="center"/>
    </xf>
    <xf numFmtId="0" fontId="9" fillId="7" borderId="20" xfId="1" applyFont="1" applyFill="1" applyBorder="1" applyAlignment="1">
      <alignment horizontal="left" vertical="center"/>
    </xf>
    <xf numFmtId="0" fontId="1" fillId="0" borderId="15" xfId="1" applyBorder="1" applyAlignment="1">
      <alignment horizontal="center" vertical="center"/>
    </xf>
    <xf numFmtId="0" fontId="1" fillId="0" borderId="19" xfId="1" applyBorder="1" applyAlignment="1">
      <alignment horizontal="center" vertical="center"/>
    </xf>
    <xf numFmtId="0" fontId="1" fillId="0" borderId="20" xfId="1" applyBorder="1" applyAlignment="1">
      <alignment horizontal="center" vertical="center"/>
    </xf>
    <xf numFmtId="0" fontId="1" fillId="0" borderId="65" xfId="1" applyBorder="1" applyAlignment="1">
      <alignment horizontal="center" vertical="center"/>
    </xf>
    <xf numFmtId="0" fontId="2" fillId="7" borderId="22" xfId="1" applyFont="1" applyFill="1" applyBorder="1" applyAlignment="1">
      <alignment horizontal="left" vertical="center"/>
    </xf>
    <xf numFmtId="0" fontId="2" fillId="7" borderId="5" xfId="1" applyFont="1" applyFill="1" applyBorder="1" applyAlignment="1">
      <alignment horizontal="left" vertical="center"/>
    </xf>
    <xf numFmtId="0" fontId="2" fillId="7" borderId="3" xfId="1" applyFont="1" applyFill="1" applyBorder="1" applyAlignment="1">
      <alignment horizontal="left" vertical="center"/>
    </xf>
    <xf numFmtId="0" fontId="9" fillId="7" borderId="3" xfId="1" applyFont="1" applyFill="1" applyBorder="1" applyAlignment="1">
      <alignment horizontal="left" vertical="center"/>
    </xf>
    <xf numFmtId="2" fontId="2" fillId="4" borderId="22" xfId="18" applyNumberFormat="1" applyFont="1" applyFill="1" applyBorder="1" applyAlignment="1">
      <alignment horizontal="center" vertical="center"/>
    </xf>
    <xf numFmtId="2" fontId="2" fillId="4" borderId="1" xfId="18" applyNumberFormat="1" applyFont="1" applyFill="1" applyBorder="1" applyAlignment="1">
      <alignment horizontal="center" vertical="center"/>
    </xf>
    <xf numFmtId="2" fontId="2" fillId="4" borderId="20" xfId="18" applyNumberFormat="1" applyFont="1" applyFill="1" applyBorder="1" applyAlignment="1">
      <alignment horizontal="center" vertical="center"/>
    </xf>
    <xf numFmtId="0" fontId="2" fillId="4" borderId="20" xfId="18" applyFont="1" applyFill="1" applyBorder="1" applyAlignment="1">
      <alignment horizontal="center" vertical="center"/>
    </xf>
    <xf numFmtId="0" fontId="9" fillId="7" borderId="22" xfId="1" applyFont="1" applyFill="1" applyBorder="1" applyAlignment="1">
      <alignment horizontal="left" vertical="center"/>
    </xf>
    <xf numFmtId="0" fontId="9" fillId="7" borderId="5" xfId="1" applyFont="1" applyFill="1" applyBorder="1" applyAlignment="1">
      <alignment horizontal="left" vertical="center"/>
    </xf>
    <xf numFmtId="14" fontId="1" fillId="0" borderId="20" xfId="1" applyNumberFormat="1" applyBorder="1" applyAlignment="1">
      <alignment horizontal="center" vertical="center"/>
    </xf>
    <xf numFmtId="0" fontId="2" fillId="4" borderId="4" xfId="18" applyFont="1" applyFill="1" applyBorder="1" applyAlignment="1">
      <alignment horizontal="center" vertical="center"/>
    </xf>
    <xf numFmtId="0" fontId="2" fillId="4" borderId="12" xfId="18" applyFont="1" applyFill="1" applyBorder="1" applyAlignment="1">
      <alignment horizontal="center" vertical="center"/>
    </xf>
    <xf numFmtId="0" fontId="2" fillId="4" borderId="5" xfId="18" applyFont="1" applyFill="1" applyBorder="1" applyAlignment="1">
      <alignment horizontal="center" vertical="center"/>
    </xf>
    <xf numFmtId="1" fontId="1" fillId="0" borderId="4" xfId="19" applyNumberFormat="1" applyBorder="1" applyAlignment="1">
      <alignment horizontal="center" vertical="center"/>
    </xf>
    <xf numFmtId="1" fontId="1" fillId="0" borderId="5" xfId="19" applyNumberFormat="1" applyBorder="1" applyAlignment="1">
      <alignment horizontal="center" vertical="center"/>
    </xf>
    <xf numFmtId="0" fontId="9" fillId="0" borderId="3" xfId="0" applyFont="1" applyBorder="1" applyAlignment="1" applyProtection="1">
      <alignment horizontal="center" vertical="center" wrapText="1"/>
      <protection locked="0"/>
    </xf>
    <xf numFmtId="1" fontId="8" fillId="7" borderId="4" xfId="0" applyNumberFormat="1" applyFont="1" applyFill="1" applyBorder="1" applyAlignment="1" applyProtection="1">
      <alignment horizontal="center" vertical="center" wrapText="1"/>
      <protection locked="0"/>
    </xf>
    <xf numFmtId="1" fontId="8" fillId="7" borderId="12" xfId="0" applyNumberFormat="1" applyFont="1" applyFill="1" applyBorder="1" applyAlignment="1" applyProtection="1">
      <alignment horizontal="center" vertical="center" wrapText="1"/>
      <protection locked="0"/>
    </xf>
    <xf numFmtId="1" fontId="8" fillId="7" borderId="5" xfId="0" applyNumberFormat="1" applyFont="1" applyFill="1" applyBorder="1" applyAlignment="1" applyProtection="1">
      <alignment horizontal="center" vertical="center" wrapText="1"/>
      <protection locked="0"/>
    </xf>
    <xf numFmtId="1" fontId="8" fillId="7" borderId="3" xfId="0" applyNumberFormat="1" applyFont="1" applyFill="1" applyBorder="1" applyAlignment="1" applyProtection="1">
      <alignment horizontal="center" vertical="center"/>
      <protection locked="0"/>
    </xf>
    <xf numFmtId="0" fontId="9" fillId="7" borderId="3" xfId="0" applyFont="1" applyFill="1" applyBorder="1" applyAlignment="1" applyProtection="1">
      <alignment horizontal="center" vertical="center" wrapText="1"/>
      <protection locked="0"/>
    </xf>
    <xf numFmtId="1" fontId="8" fillId="7" borderId="4" xfId="0" applyNumberFormat="1" applyFont="1" applyFill="1" applyBorder="1" applyAlignment="1" applyProtection="1">
      <alignment horizontal="center" vertical="center"/>
      <protection locked="0"/>
    </xf>
    <xf numFmtId="1" fontId="8" fillId="7" borderId="12" xfId="0" applyNumberFormat="1" applyFont="1" applyFill="1" applyBorder="1" applyAlignment="1" applyProtection="1">
      <alignment horizontal="center" vertical="center"/>
      <protection locked="0"/>
    </xf>
    <xf numFmtId="1" fontId="8" fillId="7" borderId="5" xfId="0" applyNumberFormat="1" applyFont="1" applyFill="1" applyBorder="1" applyAlignment="1" applyProtection="1">
      <alignment horizontal="center" vertical="center"/>
      <protection locked="0"/>
    </xf>
    <xf numFmtId="0" fontId="8" fillId="2" borderId="3" xfId="0" applyFont="1" applyFill="1" applyBorder="1" applyAlignment="1" applyProtection="1">
      <alignment vertical="top" wrapText="1"/>
      <protection locked="0"/>
    </xf>
    <xf numFmtId="0" fontId="8" fillId="0" borderId="3" xfId="0" applyFont="1" applyBorder="1" applyProtection="1">
      <protection locked="0"/>
    </xf>
    <xf numFmtId="0" fontId="13" fillId="0" borderId="4" xfId="0" applyFont="1" applyBorder="1" applyAlignment="1" applyProtection="1">
      <alignment horizontal="left" vertical="top" wrapText="1"/>
      <protection locked="0"/>
    </xf>
    <xf numFmtId="0" fontId="13" fillId="0" borderId="12" xfId="0" applyFont="1" applyBorder="1" applyAlignment="1" applyProtection="1">
      <alignment horizontal="left" vertical="top" wrapText="1"/>
      <protection locked="0"/>
    </xf>
    <xf numFmtId="0" fontId="13" fillId="0" borderId="5" xfId="0" applyFont="1" applyBorder="1" applyAlignment="1" applyProtection="1">
      <alignment horizontal="left" vertical="top" wrapText="1"/>
      <protection locked="0"/>
    </xf>
    <xf numFmtId="0" fontId="2" fillId="7" borderId="4" xfId="0" applyFont="1" applyFill="1" applyBorder="1" applyAlignment="1" applyProtection="1">
      <alignment horizontal="center" vertical="center"/>
      <protection locked="0"/>
    </xf>
    <xf numFmtId="0" fontId="2" fillId="7" borderId="12" xfId="0" applyFont="1" applyFill="1" applyBorder="1" applyAlignment="1" applyProtection="1">
      <alignment horizontal="center" vertical="center"/>
      <protection locked="0"/>
    </xf>
    <xf numFmtId="0" fontId="2" fillId="7" borderId="5" xfId="0" applyFont="1" applyFill="1" applyBorder="1" applyAlignment="1" applyProtection="1">
      <alignment horizontal="center" vertical="center"/>
      <protection locked="0"/>
    </xf>
    <xf numFmtId="0" fontId="8" fillId="2" borderId="3" xfId="0" applyFont="1" applyFill="1" applyBorder="1" applyAlignment="1" applyProtection="1">
      <alignment vertical="top"/>
      <protection locked="0"/>
    </xf>
    <xf numFmtId="0" fontId="8" fillId="2" borderId="3" xfId="0" applyFont="1" applyFill="1" applyBorder="1" applyAlignment="1" applyProtection="1">
      <alignment vertical="center" wrapText="1"/>
      <protection locked="0"/>
    </xf>
    <xf numFmtId="0" fontId="8" fillId="2" borderId="3" xfId="0" applyFont="1" applyFill="1" applyBorder="1" applyAlignment="1" applyProtection="1">
      <alignment horizontal="left" vertical="top" wrapText="1"/>
      <protection locked="0"/>
    </xf>
    <xf numFmtId="0" fontId="8" fillId="2" borderId="3" xfId="0" applyFont="1" applyFill="1" applyBorder="1" applyAlignment="1" applyProtection="1">
      <alignment horizontal="left" vertical="top"/>
      <protection locked="0"/>
    </xf>
    <xf numFmtId="0" fontId="8" fillId="0" borderId="62" xfId="0" applyFont="1" applyBorder="1" applyAlignment="1">
      <alignment horizontal="left" vertical="center"/>
    </xf>
    <xf numFmtId="0" fontId="8" fillId="0" borderId="21" xfId="0" applyFont="1" applyBorder="1" applyAlignment="1">
      <alignment horizontal="left" vertical="center"/>
    </xf>
    <xf numFmtId="0" fontId="8" fillId="0" borderId="27" xfId="0" applyFont="1" applyBorder="1" applyAlignment="1">
      <alignment horizontal="left" vertical="center"/>
    </xf>
    <xf numFmtId="0" fontId="8" fillId="0" borderId="29" xfId="0" applyFont="1" applyBorder="1" applyAlignment="1">
      <alignment horizontal="left" vertical="center"/>
    </xf>
    <xf numFmtId="0" fontId="8" fillId="0" borderId="0" xfId="0" applyFont="1" applyAlignment="1">
      <alignment horizontal="left" vertical="center"/>
    </xf>
    <xf numFmtId="0" fontId="8" fillId="0" borderId="28" xfId="0" applyFont="1" applyBorder="1" applyAlignment="1">
      <alignment horizontal="left" vertical="center"/>
    </xf>
    <xf numFmtId="0" fontId="8" fillId="0" borderId="31" xfId="0" applyFont="1" applyBorder="1" applyAlignment="1">
      <alignment horizontal="left"/>
    </xf>
    <xf numFmtId="0" fontId="8" fillId="0" borderId="24" xfId="0" applyFont="1" applyBorder="1" applyAlignment="1">
      <alignment horizontal="left"/>
    </xf>
    <xf numFmtId="0" fontId="8" fillId="0" borderId="30" xfId="0" applyFont="1" applyBorder="1" applyAlignment="1">
      <alignment horizontal="left"/>
    </xf>
    <xf numFmtId="1" fontId="8" fillId="2" borderId="3" xfId="0" applyNumberFormat="1" applyFont="1" applyFill="1" applyBorder="1" applyAlignment="1" applyProtection="1">
      <alignment horizontal="center" vertical="center" wrapText="1"/>
      <protection locked="0"/>
    </xf>
    <xf numFmtId="1" fontId="8" fillId="0" borderId="0" xfId="0" applyNumberFormat="1" applyFont="1" applyAlignment="1" applyProtection="1">
      <alignment horizontal="center" vertical="center"/>
      <protection locked="0"/>
    </xf>
    <xf numFmtId="0" fontId="9" fillId="7" borderId="20" xfId="1" applyFont="1" applyFill="1" applyBorder="1" applyAlignment="1">
      <alignment vertical="center"/>
    </xf>
    <xf numFmtId="0" fontId="8" fillId="0" borderId="20" xfId="1" applyFont="1" applyBorder="1" applyAlignment="1">
      <alignment horizontal="center" vertical="center"/>
    </xf>
    <xf numFmtId="0" fontId="8" fillId="2" borderId="15" xfId="1" applyFont="1" applyFill="1" applyBorder="1" applyAlignment="1">
      <alignment horizontal="center" vertical="center"/>
    </xf>
    <xf numFmtId="0" fontId="8" fillId="2" borderId="19" xfId="1" applyFont="1" applyFill="1" applyBorder="1" applyAlignment="1">
      <alignment horizontal="center" vertical="center"/>
    </xf>
    <xf numFmtId="0" fontId="1" fillId="2" borderId="22" xfId="0" applyFont="1" applyFill="1" applyBorder="1" applyAlignment="1" applyProtection="1">
      <alignment horizontal="left" vertical="center"/>
      <protection locked="0"/>
    </xf>
    <xf numFmtId="0" fontId="1" fillId="2" borderId="3" xfId="0" applyFont="1" applyFill="1" applyBorder="1" applyAlignment="1" applyProtection="1">
      <alignment horizontal="left" vertical="center"/>
      <protection locked="0"/>
    </xf>
    <xf numFmtId="0" fontId="1" fillId="2" borderId="23" xfId="0" applyFont="1" applyFill="1" applyBorder="1" applyAlignment="1" applyProtection="1">
      <alignment horizontal="left" vertical="center"/>
      <protection locked="0"/>
    </xf>
    <xf numFmtId="0" fontId="2" fillId="2" borderId="3" xfId="0" applyFont="1" applyFill="1" applyBorder="1" applyAlignment="1" applyProtection="1">
      <alignment horizontal="center" vertical="center"/>
      <protection locked="0"/>
    </xf>
    <xf numFmtId="0" fontId="2" fillId="7" borderId="15" xfId="0" applyFont="1" applyFill="1" applyBorder="1" applyAlignment="1" applyProtection="1">
      <alignment horizontal="center" vertical="center"/>
      <protection locked="0"/>
    </xf>
    <xf numFmtId="0" fontId="11" fillId="7" borderId="19" xfId="0" applyFont="1" applyFill="1" applyBorder="1" applyAlignment="1" applyProtection="1">
      <alignment horizontal="center" vertical="center"/>
      <protection locked="0"/>
    </xf>
    <xf numFmtId="0" fontId="11" fillId="7" borderId="16" xfId="0" applyFont="1" applyFill="1" applyBorder="1" applyAlignment="1" applyProtection="1">
      <alignment horizontal="center" vertical="center"/>
      <protection locked="0"/>
    </xf>
    <xf numFmtId="0" fontId="2" fillId="7" borderId="66" xfId="0" applyFont="1" applyFill="1" applyBorder="1" applyAlignment="1" applyProtection="1">
      <alignment horizontal="center" vertical="center"/>
      <protection locked="0"/>
    </xf>
    <xf numFmtId="0" fontId="11" fillId="7" borderId="40" xfId="0" applyFont="1" applyFill="1" applyBorder="1" applyAlignment="1" applyProtection="1">
      <alignment horizontal="center" vertical="center"/>
      <protection locked="0"/>
    </xf>
    <xf numFmtId="0" fontId="11" fillId="7" borderId="41" xfId="0" applyFont="1" applyFill="1" applyBorder="1" applyAlignment="1" applyProtection="1">
      <alignment horizontal="center" vertical="center"/>
      <protection locked="0"/>
    </xf>
    <xf numFmtId="0" fontId="1" fillId="2" borderId="35" xfId="0" applyFont="1" applyFill="1" applyBorder="1" applyAlignment="1" applyProtection="1">
      <alignment horizontal="left" vertical="center" wrapText="1"/>
      <protection locked="0"/>
    </xf>
    <xf numFmtId="0" fontId="1" fillId="2" borderId="20" xfId="0" applyFont="1" applyFill="1" applyBorder="1" applyAlignment="1" applyProtection="1">
      <alignment horizontal="left" vertical="center" wrapText="1"/>
      <protection locked="0"/>
    </xf>
    <xf numFmtId="0" fontId="1" fillId="2" borderId="42" xfId="0" applyFont="1" applyFill="1" applyBorder="1" applyAlignment="1" applyProtection="1">
      <alignment horizontal="left" vertical="center" wrapText="1"/>
      <protection locked="0"/>
    </xf>
    <xf numFmtId="0" fontId="1" fillId="2" borderId="22" xfId="0" quotePrefix="1" applyFont="1" applyFill="1" applyBorder="1" applyAlignment="1" applyProtection="1">
      <alignment horizontal="left" vertical="top" wrapText="1"/>
      <protection locked="0"/>
    </xf>
    <xf numFmtId="0" fontId="1" fillId="2" borderId="3" xfId="0" applyFont="1" applyFill="1" applyBorder="1" applyAlignment="1" applyProtection="1">
      <alignment horizontal="left" vertical="top"/>
      <protection locked="0"/>
    </xf>
    <xf numFmtId="0" fontId="1" fillId="2" borderId="23" xfId="0" applyFont="1" applyFill="1" applyBorder="1" applyAlignment="1" applyProtection="1">
      <alignment horizontal="left" vertical="top"/>
      <protection locked="0"/>
    </xf>
    <xf numFmtId="0" fontId="8" fillId="0" borderId="62" xfId="0" applyFont="1" applyBorder="1" applyAlignment="1">
      <alignment horizontal="center"/>
    </xf>
    <xf numFmtId="0" fontId="8" fillId="0" borderId="21" xfId="0" applyFont="1" applyBorder="1" applyAlignment="1">
      <alignment horizontal="center"/>
    </xf>
    <xf numFmtId="0" fontId="8" fillId="0" borderId="27" xfId="0" applyFont="1" applyBorder="1" applyAlignment="1">
      <alignment horizontal="center"/>
    </xf>
    <xf numFmtId="0" fontId="8" fillId="0" borderId="29" xfId="0" applyFont="1" applyBorder="1" applyAlignment="1">
      <alignment horizontal="center"/>
    </xf>
    <xf numFmtId="0" fontId="8" fillId="0" borderId="0" xfId="0" applyFont="1" applyAlignment="1">
      <alignment horizontal="center"/>
    </xf>
    <xf numFmtId="0" fontId="8" fillId="0" borderId="28" xfId="0" applyFont="1" applyBorder="1" applyAlignment="1">
      <alignment horizontal="center"/>
    </xf>
    <xf numFmtId="0" fontId="8" fillId="0" borderId="31" xfId="0" applyFont="1" applyBorder="1" applyAlignment="1">
      <alignment horizontal="center"/>
    </xf>
    <xf numFmtId="0" fontId="8" fillId="0" borderId="24" xfId="0" applyFont="1" applyBorder="1" applyAlignment="1">
      <alignment horizontal="center"/>
    </xf>
    <xf numFmtId="0" fontId="8" fillId="0" borderId="30" xfId="0" applyFont="1" applyBorder="1" applyAlignment="1">
      <alignment horizontal="center"/>
    </xf>
    <xf numFmtId="0" fontId="9" fillId="0" borderId="62" xfId="0" applyFont="1" applyBorder="1" applyAlignment="1">
      <alignment horizontal="center" vertical="center" wrapText="1"/>
    </xf>
    <xf numFmtId="0" fontId="9" fillId="0" borderId="21" xfId="0" applyFont="1" applyBorder="1" applyAlignment="1">
      <alignment horizontal="center" vertical="center" wrapText="1"/>
    </xf>
    <xf numFmtId="0" fontId="9" fillId="0" borderId="27" xfId="0" applyFont="1" applyBorder="1" applyAlignment="1">
      <alignment horizontal="center" vertical="center" wrapText="1"/>
    </xf>
    <xf numFmtId="0" fontId="9" fillId="0" borderId="29" xfId="0" applyFont="1" applyBorder="1" applyAlignment="1">
      <alignment horizontal="center" vertical="center" wrapText="1"/>
    </xf>
    <xf numFmtId="0" fontId="9" fillId="0" borderId="0" xfId="0" applyFont="1" applyAlignment="1">
      <alignment horizontal="center" vertical="center" wrapText="1"/>
    </xf>
    <xf numFmtId="0" fontId="9" fillId="0" borderId="28" xfId="0" applyFont="1" applyBorder="1" applyAlignment="1">
      <alignment horizontal="center" vertical="center" wrapText="1"/>
    </xf>
    <xf numFmtId="0" fontId="9" fillId="0" borderId="31" xfId="0" applyFont="1" applyBorder="1" applyAlignment="1">
      <alignment horizontal="center" vertical="center" wrapText="1"/>
    </xf>
    <xf numFmtId="0" fontId="9" fillId="0" borderId="24" xfId="0" applyFont="1" applyBorder="1" applyAlignment="1">
      <alignment horizontal="center" vertical="center" wrapText="1"/>
    </xf>
    <xf numFmtId="0" fontId="9" fillId="0" borderId="30" xfId="0" applyFont="1" applyBorder="1" applyAlignment="1">
      <alignment horizontal="center" vertical="center" wrapText="1"/>
    </xf>
    <xf numFmtId="0" fontId="9" fillId="0" borderId="0" xfId="0" applyFont="1" applyAlignment="1" applyProtection="1">
      <alignment horizontal="center" vertical="center"/>
      <protection locked="0"/>
    </xf>
    <xf numFmtId="0" fontId="8" fillId="0" borderId="3" xfId="1" applyFont="1" applyBorder="1" applyAlignment="1">
      <alignment horizontal="center" vertical="center"/>
    </xf>
    <xf numFmtId="0" fontId="8" fillId="2" borderId="4" xfId="1" applyFont="1" applyFill="1" applyBorder="1" applyAlignment="1">
      <alignment horizontal="center" vertical="center"/>
    </xf>
    <xf numFmtId="0" fontId="8" fillId="2" borderId="12" xfId="1" applyFont="1" applyFill="1" applyBorder="1" applyAlignment="1">
      <alignment horizontal="center" vertical="center"/>
    </xf>
    <xf numFmtId="0" fontId="8" fillId="2" borderId="5" xfId="1" applyFont="1" applyFill="1" applyBorder="1" applyAlignment="1">
      <alignment horizontal="center" vertical="center"/>
    </xf>
    <xf numFmtId="0" fontId="8" fillId="0" borderId="29" xfId="0" applyFont="1" applyBorder="1" applyAlignment="1" applyProtection="1">
      <alignment horizontal="left" vertical="center" wrapText="1"/>
      <protection locked="0"/>
    </xf>
    <xf numFmtId="0" fontId="8" fillId="0" borderId="0" xfId="0" applyFont="1" applyAlignment="1" applyProtection="1">
      <alignment horizontal="left" vertical="center" wrapText="1"/>
      <protection locked="0"/>
    </xf>
    <xf numFmtId="0" fontId="9" fillId="7" borderId="3" xfId="1" applyFont="1" applyFill="1" applyBorder="1" applyAlignment="1">
      <alignment vertical="center"/>
    </xf>
    <xf numFmtId="14" fontId="8" fillId="0" borderId="3" xfId="1" applyNumberFormat="1" applyFont="1" applyBorder="1" applyAlignment="1">
      <alignment horizontal="center" vertical="center"/>
    </xf>
    <xf numFmtId="0" fontId="2" fillId="7" borderId="2" xfId="0" applyFont="1" applyFill="1" applyBorder="1" applyAlignment="1" applyProtection="1">
      <alignment horizontal="center" vertical="center"/>
      <protection locked="0"/>
    </xf>
    <xf numFmtId="0" fontId="11" fillId="7" borderId="17" xfId="0" applyFont="1" applyFill="1" applyBorder="1" applyAlignment="1" applyProtection="1">
      <alignment horizontal="center" vertical="center"/>
      <protection locked="0"/>
    </xf>
    <xf numFmtId="0" fontId="11" fillId="7" borderId="18" xfId="0" applyFont="1" applyFill="1" applyBorder="1" applyAlignment="1" applyProtection="1">
      <alignment horizontal="center" vertical="center"/>
      <protection locked="0"/>
    </xf>
    <xf numFmtId="0" fontId="2" fillId="7" borderId="4" xfId="0" applyFont="1" applyFill="1" applyBorder="1" applyAlignment="1">
      <alignment horizontal="center" vertical="center"/>
    </xf>
    <xf numFmtId="0" fontId="2" fillId="7" borderId="12" xfId="0" applyFont="1" applyFill="1" applyBorder="1" applyAlignment="1">
      <alignment horizontal="center" vertical="center"/>
    </xf>
    <xf numFmtId="0" fontId="2" fillId="7" borderId="5" xfId="0" applyFont="1" applyFill="1" applyBorder="1" applyAlignment="1">
      <alignment horizontal="center" vertical="center"/>
    </xf>
    <xf numFmtId="0" fontId="1" fillId="2" borderId="4" xfId="0" applyFont="1" applyFill="1" applyBorder="1" applyAlignment="1">
      <alignment horizontal="left" vertical="center" wrapText="1"/>
    </xf>
    <xf numFmtId="0" fontId="1" fillId="2" borderId="12" xfId="0" applyFont="1" applyFill="1" applyBorder="1" applyAlignment="1">
      <alignment horizontal="left" vertical="center" wrapText="1"/>
    </xf>
    <xf numFmtId="0" fontId="1" fillId="2" borderId="5" xfId="0" applyFont="1" applyFill="1" applyBorder="1" applyAlignment="1">
      <alignment horizontal="left" vertical="center" wrapText="1"/>
    </xf>
    <xf numFmtId="164" fontId="2" fillId="2" borderId="3" xfId="0" applyNumberFormat="1" applyFont="1" applyFill="1" applyBorder="1" applyAlignment="1" applyProtection="1">
      <alignment horizontal="center" vertical="center" wrapText="1"/>
      <protection locked="0"/>
    </xf>
    <xf numFmtId="0" fontId="11" fillId="7" borderId="12" xfId="0" applyFont="1" applyFill="1" applyBorder="1" applyAlignment="1">
      <alignment horizontal="center" vertical="center"/>
    </xf>
    <xf numFmtId="0" fontId="11" fillId="7" borderId="5" xfId="0" applyFont="1" applyFill="1" applyBorder="1" applyAlignment="1">
      <alignment horizontal="center" vertical="center"/>
    </xf>
    <xf numFmtId="0" fontId="2" fillId="0" borderId="29" xfId="1" applyFont="1" applyBorder="1" applyAlignment="1">
      <alignment horizontal="right" vertical="center" wrapText="1"/>
    </xf>
    <xf numFmtId="0" fontId="2" fillId="0" borderId="0" xfId="1" applyFont="1" applyAlignment="1">
      <alignment horizontal="right" vertical="center" wrapText="1"/>
    </xf>
    <xf numFmtId="2" fontId="1" fillId="0" borderId="4" xfId="1" applyNumberFormat="1" applyBorder="1" applyAlignment="1" applyProtection="1">
      <alignment horizontal="center" vertical="center" wrapText="1"/>
      <protection hidden="1"/>
    </xf>
    <xf numFmtId="2" fontId="1" fillId="0" borderId="12" xfId="1" applyNumberFormat="1" applyBorder="1" applyAlignment="1" applyProtection="1">
      <alignment horizontal="center" vertical="center" wrapText="1"/>
      <protection hidden="1"/>
    </xf>
    <xf numFmtId="2" fontId="1" fillId="0" borderId="5" xfId="1" applyNumberFormat="1" applyBorder="1" applyAlignment="1" applyProtection="1">
      <alignment horizontal="center" vertical="center" wrapText="1"/>
      <protection hidden="1"/>
    </xf>
    <xf numFmtId="164" fontId="9" fillId="2" borderId="4" xfId="0" applyNumberFormat="1" applyFont="1" applyFill="1" applyBorder="1" applyAlignment="1" applyProtection="1">
      <alignment horizontal="center" vertical="center" wrapText="1"/>
      <protection locked="0"/>
    </xf>
    <xf numFmtId="164" fontId="9" fillId="2" borderId="5" xfId="0" applyNumberFormat="1" applyFont="1" applyFill="1" applyBorder="1" applyAlignment="1" applyProtection="1">
      <alignment horizontal="center" vertical="center" wrapText="1"/>
      <protection locked="0"/>
    </xf>
    <xf numFmtId="164" fontId="9" fillId="2" borderId="12" xfId="0" applyNumberFormat="1" applyFont="1" applyFill="1" applyBorder="1" applyAlignment="1" applyProtection="1">
      <alignment horizontal="center" vertical="center" wrapText="1"/>
      <protection locked="0"/>
    </xf>
    <xf numFmtId="0" fontId="8" fillId="2" borderId="3" xfId="0" applyFont="1" applyFill="1" applyBorder="1" applyAlignment="1" applyProtection="1">
      <alignment horizontal="center" vertical="center" wrapText="1"/>
      <protection locked="0"/>
    </xf>
    <xf numFmtId="9" fontId="8" fillId="2" borderId="3" xfId="17" applyFont="1" applyFill="1" applyBorder="1" applyAlignment="1" applyProtection="1">
      <alignment horizontal="center" vertical="center" wrapText="1"/>
      <protection locked="0"/>
    </xf>
    <xf numFmtId="9" fontId="8" fillId="2" borderId="4" xfId="17" applyFont="1" applyFill="1" applyBorder="1" applyAlignment="1" applyProtection="1">
      <alignment horizontal="center" vertical="center" wrapText="1"/>
      <protection locked="0"/>
    </xf>
    <xf numFmtId="9" fontId="8" fillId="2" borderId="5" xfId="17" applyFont="1" applyFill="1" applyBorder="1" applyAlignment="1" applyProtection="1">
      <alignment horizontal="center" vertical="center" wrapText="1"/>
      <protection locked="0"/>
    </xf>
    <xf numFmtId="0" fontId="8" fillId="2" borderId="4" xfId="0" applyFont="1" applyFill="1" applyBorder="1" applyAlignment="1" applyProtection="1">
      <alignment horizontal="center" vertical="center" wrapText="1"/>
      <protection locked="0"/>
    </xf>
    <xf numFmtId="0" fontId="8" fillId="2" borderId="5" xfId="0" applyFont="1" applyFill="1" applyBorder="1" applyAlignment="1" applyProtection="1">
      <alignment horizontal="center" vertical="center" wrapText="1"/>
      <protection locked="0"/>
    </xf>
    <xf numFmtId="0" fontId="2" fillId="7" borderId="3" xfId="0" applyFont="1" applyFill="1" applyBorder="1" applyAlignment="1" applyProtection="1">
      <alignment horizontal="center" vertical="center"/>
      <protection locked="0"/>
    </xf>
    <xf numFmtId="0" fontId="27" fillId="9" borderId="4" xfId="0" applyFont="1" applyFill="1" applyBorder="1" applyAlignment="1">
      <alignment horizontal="left" vertical="center"/>
    </xf>
    <xf numFmtId="0" fontId="27" fillId="9" borderId="12" xfId="0" applyFont="1" applyFill="1" applyBorder="1" applyAlignment="1">
      <alignment horizontal="left" vertical="center"/>
    </xf>
    <xf numFmtId="0" fontId="27" fillId="9" borderId="5" xfId="0" applyFont="1" applyFill="1" applyBorder="1" applyAlignment="1">
      <alignment horizontal="left" vertical="center"/>
    </xf>
    <xf numFmtId="0" fontId="9" fillId="2" borderId="81" xfId="0" applyFont="1" applyFill="1" applyBorder="1" applyAlignment="1" applyProtection="1">
      <alignment wrapText="1"/>
      <protection locked="0"/>
    </xf>
    <xf numFmtId="0" fontId="9" fillId="2" borderId="38" xfId="0" applyFont="1" applyFill="1" applyBorder="1" applyAlignment="1" applyProtection="1">
      <alignment wrapText="1"/>
      <protection locked="0"/>
    </xf>
    <xf numFmtId="0" fontId="9" fillId="2" borderId="45" xfId="0" applyFont="1" applyFill="1" applyBorder="1" applyAlignment="1" applyProtection="1">
      <alignment wrapText="1"/>
      <protection locked="0"/>
    </xf>
    <xf numFmtId="0" fontId="8" fillId="2" borderId="12" xfId="0" applyFont="1" applyFill="1" applyBorder="1" applyAlignment="1" applyProtection="1">
      <alignment horizontal="center" wrapText="1"/>
      <protection locked="0"/>
    </xf>
    <xf numFmtId="0" fontId="8" fillId="2" borderId="81" xfId="0" applyFont="1" applyFill="1" applyBorder="1" applyAlignment="1" applyProtection="1">
      <alignment horizontal="center" wrapText="1"/>
      <protection locked="0"/>
    </xf>
    <xf numFmtId="0" fontId="8" fillId="2" borderId="38" xfId="0" applyFont="1" applyFill="1" applyBorder="1" applyAlignment="1" applyProtection="1">
      <alignment horizontal="center" wrapText="1"/>
      <protection locked="0"/>
    </xf>
    <xf numFmtId="0" fontId="8" fillId="2" borderId="45" xfId="0" applyFont="1" applyFill="1" applyBorder="1" applyAlignment="1" applyProtection="1">
      <alignment horizontal="center" wrapText="1"/>
      <protection locked="0"/>
    </xf>
    <xf numFmtId="0" fontId="2" fillId="7" borderId="40" xfId="0" applyFont="1" applyFill="1" applyBorder="1" applyAlignment="1" applyProtection="1">
      <alignment horizontal="center" vertical="center"/>
      <protection locked="0"/>
    </xf>
    <xf numFmtId="0" fontId="2" fillId="7" borderId="41" xfId="0" applyFont="1" applyFill="1" applyBorder="1" applyAlignment="1" applyProtection="1">
      <alignment horizontal="center" vertical="center"/>
      <protection locked="0"/>
    </xf>
    <xf numFmtId="0" fontId="2" fillId="2" borderId="64" xfId="0" applyFont="1" applyFill="1" applyBorder="1" applyAlignment="1" applyProtection="1">
      <alignment vertical="center"/>
      <protection locked="0"/>
    </xf>
    <xf numFmtId="0" fontId="2" fillId="2" borderId="19" xfId="0" applyFont="1" applyFill="1" applyBorder="1" applyAlignment="1" applyProtection="1">
      <alignment vertical="center"/>
      <protection locked="0"/>
    </xf>
    <xf numFmtId="0" fontId="2" fillId="2" borderId="65" xfId="0" applyFont="1" applyFill="1" applyBorder="1" applyAlignment="1" applyProtection="1">
      <alignment vertical="center"/>
      <protection locked="0"/>
    </xf>
    <xf numFmtId="0" fontId="1" fillId="2" borderId="19" xfId="0" applyFont="1" applyFill="1" applyBorder="1" applyAlignment="1" applyProtection="1">
      <alignment horizontal="center" vertical="center"/>
      <protection locked="0"/>
    </xf>
    <xf numFmtId="0" fontId="1" fillId="2" borderId="64" xfId="0" applyFont="1" applyFill="1" applyBorder="1" applyAlignment="1" applyProtection="1">
      <alignment horizontal="center" vertical="center"/>
      <protection locked="0"/>
    </xf>
    <xf numFmtId="0" fontId="1" fillId="2" borderId="65" xfId="0" applyFont="1" applyFill="1" applyBorder="1" applyAlignment="1" applyProtection="1">
      <alignment horizontal="center" vertical="center"/>
      <protection locked="0"/>
    </xf>
    <xf numFmtId="0" fontId="2" fillId="2" borderId="63" xfId="0" applyFont="1" applyFill="1" applyBorder="1" applyAlignment="1" applyProtection="1">
      <alignment vertical="center"/>
      <protection locked="0"/>
    </xf>
    <xf numFmtId="0" fontId="2" fillId="2" borderId="12" xfId="0" applyFont="1" applyFill="1" applyBorder="1" applyAlignment="1" applyProtection="1">
      <alignment vertical="center"/>
      <protection locked="0"/>
    </xf>
    <xf numFmtId="0" fontId="2" fillId="2" borderId="36" xfId="0" applyFont="1" applyFill="1" applyBorder="1" applyAlignment="1" applyProtection="1">
      <alignment vertical="center"/>
      <protection locked="0"/>
    </xf>
    <xf numFmtId="0" fontId="1" fillId="2" borderId="12" xfId="0" applyFont="1" applyFill="1" applyBorder="1" applyAlignment="1" applyProtection="1">
      <alignment horizontal="center" vertical="center"/>
      <protection locked="0"/>
    </xf>
    <xf numFmtId="0" fontId="1" fillId="2" borderId="63" xfId="0" applyFont="1" applyFill="1" applyBorder="1" applyAlignment="1" applyProtection="1">
      <alignment horizontal="center" vertical="center"/>
      <protection locked="0"/>
    </xf>
    <xf numFmtId="0" fontId="1" fillId="2" borderId="36" xfId="0" applyFont="1" applyFill="1" applyBorder="1" applyAlignment="1" applyProtection="1">
      <alignment horizontal="center" vertical="center"/>
      <protection locked="0"/>
    </xf>
    <xf numFmtId="0" fontId="8" fillId="0" borderId="3" xfId="0" applyFont="1" applyBorder="1" applyAlignment="1" applyProtection="1">
      <alignment vertical="top" wrapText="1"/>
      <protection locked="0"/>
    </xf>
    <xf numFmtId="0" fontId="8" fillId="0" borderId="3" xfId="0" applyFont="1" applyBorder="1" applyAlignment="1" applyProtection="1">
      <alignment vertical="top"/>
      <protection locked="0"/>
    </xf>
    <xf numFmtId="0" fontId="2" fillId="2" borderId="4" xfId="0" applyFont="1" applyFill="1" applyBorder="1" applyAlignment="1" applyProtection="1">
      <alignment horizontal="center" vertical="center"/>
      <protection locked="0"/>
    </xf>
    <xf numFmtId="0" fontId="2" fillId="2" borderId="12" xfId="0" applyFont="1" applyFill="1" applyBorder="1" applyAlignment="1" applyProtection="1">
      <alignment horizontal="center" vertical="center"/>
      <protection locked="0"/>
    </xf>
    <xf numFmtId="0" fontId="2" fillId="2" borderId="5" xfId="0" applyFont="1" applyFill="1" applyBorder="1" applyAlignment="1" applyProtection="1">
      <alignment horizontal="center" vertical="center"/>
      <protection locked="0"/>
    </xf>
    <xf numFmtId="0" fontId="2" fillId="2" borderId="2" xfId="0" applyFont="1" applyFill="1" applyBorder="1" applyAlignment="1" applyProtection="1">
      <alignment horizontal="center" vertical="center"/>
      <protection locked="0"/>
    </xf>
    <xf numFmtId="0" fontId="2" fillId="2" borderId="17" xfId="0" applyFont="1" applyFill="1" applyBorder="1" applyAlignment="1" applyProtection="1">
      <alignment horizontal="center" vertical="center"/>
      <protection locked="0"/>
    </xf>
    <xf numFmtId="0" fontId="2" fillId="2" borderId="18" xfId="0" applyFont="1" applyFill="1" applyBorder="1" applyAlignment="1" applyProtection="1">
      <alignment horizontal="center" vertical="center"/>
      <protection locked="0"/>
    </xf>
    <xf numFmtId="0" fontId="8" fillId="2" borderId="4" xfId="0" applyFont="1" applyFill="1" applyBorder="1" applyAlignment="1" applyProtection="1">
      <alignment horizontal="left" vertical="top" wrapText="1"/>
      <protection locked="0"/>
    </xf>
    <xf numFmtId="0" fontId="8" fillId="2" borderId="12" xfId="0" applyFont="1" applyFill="1" applyBorder="1" applyAlignment="1" applyProtection="1">
      <alignment horizontal="left" vertical="top" wrapText="1"/>
      <protection locked="0"/>
    </xf>
    <xf numFmtId="0" fontId="8" fillId="2" borderId="5" xfId="0" applyFont="1" applyFill="1" applyBorder="1" applyAlignment="1" applyProtection="1">
      <alignment horizontal="left" vertical="top" wrapText="1"/>
      <protection locked="0"/>
    </xf>
    <xf numFmtId="0" fontId="2" fillId="2" borderId="0" xfId="1" applyFont="1" applyFill="1" applyAlignment="1">
      <alignment horizontal="left" vertical="center" wrapText="1"/>
    </xf>
    <xf numFmtId="0" fontId="2" fillId="2" borderId="11" xfId="1" applyFont="1" applyFill="1" applyBorder="1" applyAlignment="1">
      <alignment horizontal="left" vertical="center" wrapText="1"/>
    </xf>
    <xf numFmtId="1" fontId="2" fillId="0" borderId="0" xfId="17" applyNumberFormat="1" applyFont="1" applyFill="1" applyBorder="1" applyAlignment="1" applyProtection="1">
      <alignment horizontal="right" vertical="center" wrapText="1"/>
      <protection locked="0" hidden="1"/>
    </xf>
    <xf numFmtId="0" fontId="2" fillId="0" borderId="0" xfId="1" applyFont="1" applyAlignment="1" applyProtection="1">
      <alignment horizontal="right" vertical="center" wrapText="1"/>
      <protection hidden="1"/>
    </xf>
    <xf numFmtId="1" fontId="1" fillId="0" borderId="0" xfId="1" applyNumberFormat="1" applyAlignment="1" applyProtection="1">
      <alignment horizontal="left" vertical="center"/>
      <protection hidden="1"/>
    </xf>
    <xf numFmtId="0" fontId="2" fillId="0" borderId="11" xfId="1" applyFont="1" applyBorder="1" applyAlignment="1" applyProtection="1">
      <alignment horizontal="right" vertical="center" wrapText="1"/>
      <protection hidden="1"/>
    </xf>
    <xf numFmtId="2" fontId="1" fillId="0" borderId="3" xfId="1" applyNumberFormat="1" applyBorder="1" applyAlignment="1" applyProtection="1">
      <alignment horizontal="center" vertical="center"/>
      <protection hidden="1"/>
    </xf>
    <xf numFmtId="1" fontId="8" fillId="2" borderId="4" xfId="0" applyNumberFormat="1" applyFont="1" applyFill="1" applyBorder="1" applyAlignment="1" applyProtection="1">
      <alignment horizontal="center" vertical="center"/>
      <protection locked="0"/>
    </xf>
    <xf numFmtId="1" fontId="8" fillId="2" borderId="12" xfId="0" applyNumberFormat="1" applyFont="1" applyFill="1" applyBorder="1" applyAlignment="1" applyProtection="1">
      <alignment horizontal="center" vertical="center"/>
      <protection locked="0"/>
    </xf>
    <xf numFmtId="1" fontId="8" fillId="2" borderId="5" xfId="0" applyNumberFormat="1" applyFont="1" applyFill="1" applyBorder="1" applyAlignment="1" applyProtection="1">
      <alignment horizontal="center" vertical="center"/>
      <protection locked="0"/>
    </xf>
    <xf numFmtId="171" fontId="1" fillId="0" borderId="3" xfId="1" applyNumberFormat="1" applyBorder="1" applyAlignment="1" applyProtection="1">
      <alignment horizontal="center" vertical="center"/>
      <protection hidden="1"/>
    </xf>
    <xf numFmtId="0" fontId="11" fillId="7" borderId="3" xfId="0" applyFont="1" applyFill="1" applyBorder="1" applyAlignment="1" applyProtection="1">
      <alignment horizontal="center" vertical="center"/>
      <protection locked="0"/>
    </xf>
    <xf numFmtId="1" fontId="8" fillId="2" borderId="4" xfId="0" applyNumberFormat="1" applyFont="1" applyFill="1" applyBorder="1" applyAlignment="1" applyProtection="1">
      <alignment horizontal="center" vertical="center" wrapText="1"/>
      <protection locked="0"/>
    </xf>
    <xf numFmtId="1" fontId="8" fillId="2" borderId="12" xfId="0" applyNumberFormat="1" applyFont="1" applyFill="1" applyBorder="1" applyAlignment="1" applyProtection="1">
      <alignment horizontal="center" vertical="center" wrapText="1"/>
      <protection locked="0"/>
    </xf>
    <xf numFmtId="1" fontId="8" fillId="2" borderId="5" xfId="0" applyNumberFormat="1" applyFont="1" applyFill="1" applyBorder="1" applyAlignment="1" applyProtection="1">
      <alignment horizontal="center" vertical="center" wrapText="1"/>
      <protection locked="0"/>
    </xf>
    <xf numFmtId="0" fontId="2" fillId="0" borderId="0" xfId="1" applyFont="1" applyAlignment="1" applyProtection="1">
      <alignment horizontal="right" vertical="center"/>
      <protection hidden="1"/>
    </xf>
    <xf numFmtId="0" fontId="2" fillId="0" borderId="11" xfId="1" applyFont="1" applyBorder="1" applyAlignment="1" applyProtection="1">
      <alignment horizontal="right" vertical="center"/>
      <protection hidden="1"/>
    </xf>
    <xf numFmtId="172" fontId="1" fillId="0" borderId="3" xfId="1" applyNumberFormat="1" applyBorder="1" applyAlignment="1" applyProtection="1">
      <alignment horizontal="center" vertical="center"/>
      <protection hidden="1"/>
    </xf>
    <xf numFmtId="0" fontId="9" fillId="2" borderId="0" xfId="0" applyFont="1" applyFill="1" applyAlignment="1" applyProtection="1">
      <alignment horizontal="center" vertical="center"/>
      <protection locked="0"/>
    </xf>
    <xf numFmtId="0" fontId="9" fillId="2" borderId="3" xfId="0" applyFont="1" applyFill="1" applyBorder="1" applyAlignment="1" applyProtection="1">
      <alignment horizontal="center" vertical="center" wrapText="1"/>
      <protection locked="0"/>
    </xf>
    <xf numFmtId="164" fontId="9" fillId="2" borderId="3" xfId="0" applyNumberFormat="1" applyFont="1" applyFill="1" applyBorder="1" applyAlignment="1" applyProtection="1">
      <alignment horizontal="center" vertical="center" wrapText="1"/>
      <protection locked="0"/>
    </xf>
    <xf numFmtId="0" fontId="9" fillId="2" borderId="3" xfId="0" applyFont="1" applyFill="1" applyBorder="1" applyAlignment="1" applyProtection="1">
      <alignment horizontal="center" vertical="center"/>
      <protection locked="0"/>
    </xf>
    <xf numFmtId="0" fontId="8" fillId="0" borderId="12" xfId="0" applyFont="1" applyBorder="1" applyAlignment="1" applyProtection="1">
      <alignment horizontal="center" vertical="center"/>
      <protection locked="0"/>
    </xf>
    <xf numFmtId="0" fontId="8" fillId="0" borderId="17" xfId="0" applyFont="1" applyBorder="1" applyAlignment="1" applyProtection="1">
      <alignment horizontal="center" vertical="center"/>
      <protection locked="0"/>
    </xf>
    <xf numFmtId="164" fontId="8" fillId="2" borderId="3" xfId="0" applyNumberFormat="1" applyFont="1" applyFill="1" applyBorder="1" applyAlignment="1" applyProtection="1">
      <alignment horizontal="center" vertical="center" wrapText="1"/>
      <protection locked="0"/>
    </xf>
    <xf numFmtId="164" fontId="8" fillId="2" borderId="4" xfId="0" applyNumberFormat="1" applyFont="1" applyFill="1" applyBorder="1" applyAlignment="1" applyProtection="1">
      <alignment horizontal="center" vertical="center" wrapText="1"/>
      <protection locked="0"/>
    </xf>
    <xf numFmtId="164" fontId="8" fillId="2" borderId="12" xfId="0" applyNumberFormat="1" applyFont="1" applyFill="1" applyBorder="1" applyAlignment="1" applyProtection="1">
      <alignment horizontal="center" vertical="center" wrapText="1"/>
      <protection locked="0"/>
    </xf>
    <xf numFmtId="164" fontId="8" fillId="2" borderId="5" xfId="0" applyNumberFormat="1" applyFont="1" applyFill="1" applyBorder="1" applyAlignment="1" applyProtection="1">
      <alignment horizontal="center" vertical="center" wrapText="1"/>
      <protection locked="0"/>
    </xf>
    <xf numFmtId="0" fontId="8" fillId="2" borderId="12" xfId="0" applyFont="1" applyFill="1" applyBorder="1" applyAlignment="1" applyProtection="1">
      <alignment horizontal="center" vertical="center" wrapText="1"/>
      <protection locked="0"/>
    </xf>
    <xf numFmtId="0" fontId="8" fillId="2" borderId="3" xfId="0" applyFont="1" applyFill="1" applyBorder="1" applyAlignment="1" applyProtection="1">
      <alignment horizontal="center" vertical="center"/>
      <protection locked="0"/>
    </xf>
    <xf numFmtId="0" fontId="9" fillId="2" borderId="2" xfId="0" applyFont="1" applyFill="1" applyBorder="1" applyAlignment="1" applyProtection="1">
      <alignment horizontal="center" vertical="center"/>
      <protection locked="0"/>
    </xf>
    <xf numFmtId="0" fontId="9" fillId="2" borderId="17" xfId="0" applyFont="1" applyFill="1" applyBorder="1" applyAlignment="1" applyProtection="1">
      <alignment horizontal="center" vertical="center"/>
      <protection locked="0"/>
    </xf>
    <xf numFmtId="0" fontId="9" fillId="2" borderId="18" xfId="0" applyFont="1" applyFill="1" applyBorder="1" applyAlignment="1" applyProtection="1">
      <alignment horizontal="center" vertical="center"/>
      <protection locked="0"/>
    </xf>
    <xf numFmtId="0" fontId="9" fillId="2" borderId="15" xfId="0" applyFont="1" applyFill="1" applyBorder="1" applyAlignment="1" applyProtection="1">
      <alignment horizontal="center" vertical="center"/>
      <protection locked="0"/>
    </xf>
    <xf numFmtId="0" fontId="9" fillId="2" borderId="19" xfId="0" applyFont="1" applyFill="1" applyBorder="1" applyAlignment="1" applyProtection="1">
      <alignment horizontal="center" vertical="center"/>
      <protection locked="0"/>
    </xf>
    <xf numFmtId="0" fontId="9" fillId="2" borderId="16" xfId="0" applyFont="1" applyFill="1" applyBorder="1" applyAlignment="1" applyProtection="1">
      <alignment horizontal="center" vertical="center"/>
      <protection locked="0"/>
    </xf>
    <xf numFmtId="0" fontId="2" fillId="2" borderId="0" xfId="1" applyFont="1" applyFill="1" applyAlignment="1">
      <alignment horizontal="left" vertical="center"/>
    </xf>
    <xf numFmtId="0" fontId="2" fillId="2" borderId="11" xfId="1" applyFont="1" applyFill="1" applyBorder="1" applyAlignment="1">
      <alignment horizontal="left" vertical="center"/>
    </xf>
    <xf numFmtId="170" fontId="1" fillId="2" borderId="4" xfId="1" applyNumberFormat="1" applyFill="1" applyBorder="1" applyAlignment="1" applyProtection="1">
      <alignment horizontal="center" vertical="center" wrapText="1"/>
      <protection hidden="1"/>
    </xf>
    <xf numFmtId="170" fontId="1" fillId="2" borderId="12" xfId="1" applyNumberFormat="1" applyFill="1" applyBorder="1" applyAlignment="1" applyProtection="1">
      <alignment horizontal="center" vertical="center" wrapText="1"/>
      <protection hidden="1"/>
    </xf>
    <xf numFmtId="170" fontId="1" fillId="2" borderId="5" xfId="1" applyNumberFormat="1" applyFill="1" applyBorder="1" applyAlignment="1" applyProtection="1">
      <alignment horizontal="center" vertical="center" wrapText="1"/>
      <protection hidden="1"/>
    </xf>
    <xf numFmtId="1" fontId="1" fillId="0" borderId="3" xfId="1" applyNumberFormat="1" applyBorder="1" applyAlignment="1" applyProtection="1">
      <alignment horizontal="center" vertical="center"/>
      <protection hidden="1"/>
    </xf>
    <xf numFmtId="1" fontId="1" fillId="0" borderId="3" xfId="1" applyNumberFormat="1" applyBorder="1" applyAlignment="1" applyProtection="1">
      <alignment horizontal="center" vertical="center" wrapText="1"/>
      <protection hidden="1"/>
    </xf>
    <xf numFmtId="1" fontId="1" fillId="0" borderId="0" xfId="1" applyNumberFormat="1" applyAlignment="1" applyProtection="1">
      <alignment horizontal="center" vertical="center"/>
      <protection hidden="1"/>
    </xf>
    <xf numFmtId="0" fontId="8" fillId="0" borderId="3" xfId="0" applyFont="1" applyBorder="1" applyAlignment="1" applyProtection="1">
      <alignment horizontal="center" vertical="center"/>
      <protection locked="0"/>
    </xf>
    <xf numFmtId="0" fontId="9" fillId="7" borderId="3" xfId="0" applyFont="1" applyFill="1" applyBorder="1" applyAlignment="1" applyProtection="1">
      <alignment horizontal="center" vertical="center"/>
      <protection locked="0"/>
    </xf>
    <xf numFmtId="1" fontId="8" fillId="2" borderId="3" xfId="0" applyNumberFormat="1" applyFont="1" applyFill="1" applyBorder="1" applyAlignment="1" applyProtection="1">
      <alignment horizontal="center" vertical="center"/>
      <protection locked="0"/>
    </xf>
    <xf numFmtId="0" fontId="8" fillId="2" borderId="3" xfId="0" quotePrefix="1" applyFont="1" applyFill="1" applyBorder="1" applyAlignment="1" applyProtection="1">
      <alignment vertical="center" wrapText="1"/>
      <protection locked="0"/>
    </xf>
    <xf numFmtId="0" fontId="9" fillId="2" borderId="1" xfId="0" applyFont="1" applyFill="1" applyBorder="1" applyAlignment="1" applyProtection="1">
      <alignment horizontal="center" vertical="center" wrapText="1"/>
      <protection locked="0"/>
    </xf>
    <xf numFmtId="0" fontId="9" fillId="2" borderId="20" xfId="0" applyFont="1" applyFill="1" applyBorder="1" applyAlignment="1" applyProtection="1">
      <alignment horizontal="center" vertical="center" wrapText="1"/>
      <protection locked="0"/>
    </xf>
    <xf numFmtId="164" fontId="9" fillId="2" borderId="15" xfId="0" applyNumberFormat="1" applyFont="1" applyFill="1" applyBorder="1" applyAlignment="1" applyProtection="1">
      <alignment horizontal="center" vertical="center" wrapText="1"/>
      <protection locked="0"/>
    </xf>
    <xf numFmtId="164" fontId="9" fillId="2" borderId="16" xfId="0" applyNumberFormat="1" applyFont="1" applyFill="1" applyBorder="1" applyAlignment="1" applyProtection="1">
      <alignment horizontal="center" vertical="center" wrapText="1"/>
      <protection locked="0"/>
    </xf>
    <xf numFmtId="1" fontId="8" fillId="7" borderId="3" xfId="0" applyNumberFormat="1" applyFont="1" applyFill="1" applyBorder="1" applyAlignment="1" applyProtection="1">
      <alignment horizontal="center" vertical="center" wrapText="1"/>
      <protection locked="0"/>
    </xf>
    <xf numFmtId="49" fontId="8" fillId="0" borderId="0" xfId="0" applyNumberFormat="1" applyFont="1" applyAlignment="1" applyProtection="1">
      <alignment horizontal="left" vertical="center" wrapText="1"/>
      <protection locked="0"/>
    </xf>
    <xf numFmtId="0" fontId="2" fillId="7" borderId="32" xfId="0" applyFont="1" applyFill="1" applyBorder="1" applyAlignment="1" applyProtection="1">
      <alignment horizontal="center" vertical="center"/>
      <protection locked="0"/>
    </xf>
    <xf numFmtId="0" fontId="11" fillId="7" borderId="33" xfId="0" applyFont="1" applyFill="1" applyBorder="1" applyAlignment="1" applyProtection="1">
      <alignment horizontal="center" vertical="center"/>
      <protection locked="0"/>
    </xf>
    <xf numFmtId="0" fontId="11" fillId="7" borderId="34" xfId="0" applyFont="1" applyFill="1" applyBorder="1" applyAlignment="1" applyProtection="1">
      <alignment horizontal="center" vertical="center"/>
      <protection locked="0"/>
    </xf>
    <xf numFmtId="0" fontId="2" fillId="2" borderId="21" xfId="1" applyFont="1" applyFill="1" applyBorder="1" applyAlignment="1">
      <alignment horizontal="left" vertical="center"/>
    </xf>
    <xf numFmtId="0" fontId="1" fillId="2" borderId="0" xfId="1" applyFill="1" applyAlignment="1" applyProtection="1">
      <alignment horizontal="center" vertical="center"/>
      <protection locked="0" hidden="1"/>
    </xf>
    <xf numFmtId="0" fontId="1" fillId="0" borderId="4" xfId="1" applyBorder="1" applyAlignment="1" applyProtection="1">
      <alignment horizontal="center" vertical="center" wrapText="1"/>
      <protection hidden="1"/>
    </xf>
    <xf numFmtId="0" fontId="1" fillId="0" borderId="12" xfId="1" applyBorder="1" applyAlignment="1" applyProtection="1">
      <alignment horizontal="center" vertical="center" wrapText="1"/>
      <protection hidden="1"/>
    </xf>
    <xf numFmtId="0" fontId="1" fillId="0" borderId="5" xfId="1" applyBorder="1" applyAlignment="1" applyProtection="1">
      <alignment horizontal="center" vertical="center" wrapText="1"/>
      <protection hidden="1"/>
    </xf>
    <xf numFmtId="14" fontId="2" fillId="7" borderId="4" xfId="5" applyNumberFormat="1" applyFont="1" applyFill="1" applyBorder="1" applyAlignment="1">
      <alignment horizontal="center" vertical="center"/>
    </xf>
    <xf numFmtId="14" fontId="2" fillId="7" borderId="5" xfId="5" applyNumberFormat="1" applyFont="1" applyFill="1" applyBorder="1" applyAlignment="1">
      <alignment horizontal="center" vertical="center"/>
    </xf>
    <xf numFmtId="14" fontId="2" fillId="0" borderId="4" xfId="5" applyNumberFormat="1" applyFont="1" applyBorder="1" applyAlignment="1">
      <alignment horizontal="left" vertical="center"/>
    </xf>
    <xf numFmtId="14" fontId="2" fillId="0" borderId="5" xfId="5" applyNumberFormat="1" applyFont="1" applyBorder="1" applyAlignment="1">
      <alignment horizontal="left" vertical="center"/>
    </xf>
    <xf numFmtId="0" fontId="2" fillId="7" borderId="4" xfId="5" applyFont="1" applyFill="1" applyBorder="1" applyAlignment="1">
      <alignment horizontal="center" vertical="center"/>
    </xf>
    <xf numFmtId="0" fontId="2" fillId="7" borderId="12" xfId="5" applyFont="1" applyFill="1" applyBorder="1" applyAlignment="1">
      <alignment horizontal="center" vertical="center"/>
    </xf>
    <xf numFmtId="0" fontId="2" fillId="7" borderId="5" xfId="5" applyFont="1" applyFill="1" applyBorder="1" applyAlignment="1">
      <alignment horizontal="center" vertical="center"/>
    </xf>
    <xf numFmtId="0" fontId="1" fillId="0" borderId="4" xfId="5" applyBorder="1" applyAlignment="1">
      <alignment horizontal="center" vertical="center"/>
    </xf>
    <xf numFmtId="0" fontId="1" fillId="0" borderId="12" xfId="5" applyBorder="1" applyAlignment="1">
      <alignment horizontal="center" vertical="center"/>
    </xf>
    <xf numFmtId="0" fontId="1" fillId="0" borderId="5" xfId="5" applyBorder="1" applyAlignment="1">
      <alignment horizontal="center" vertical="center"/>
    </xf>
    <xf numFmtId="0" fontId="2" fillId="7" borderId="3" xfId="5" applyFont="1" applyFill="1" applyBorder="1" applyAlignment="1">
      <alignment horizontal="center" vertical="center" wrapText="1"/>
    </xf>
    <xf numFmtId="165" fontId="2" fillId="7" borderId="3" xfId="6" applyNumberFormat="1" applyFont="1" applyFill="1" applyBorder="1" applyAlignment="1">
      <alignment horizontal="center" vertical="center" wrapText="1"/>
    </xf>
    <xf numFmtId="0" fontId="2" fillId="0" borderId="62" xfId="4" applyFont="1" applyBorder="1" applyAlignment="1">
      <alignment horizontal="center" vertical="center" wrapText="1"/>
    </xf>
    <xf numFmtId="0" fontId="2" fillId="0" borderId="21" xfId="4" applyFont="1" applyBorder="1" applyAlignment="1">
      <alignment horizontal="center" vertical="center" wrapText="1"/>
    </xf>
    <xf numFmtId="0" fontId="2" fillId="0" borderId="27" xfId="4" applyFont="1" applyBorder="1" applyAlignment="1">
      <alignment horizontal="center" vertical="center" wrapText="1"/>
    </xf>
    <xf numFmtId="0" fontId="2" fillId="0" borderId="29" xfId="4" applyFont="1" applyBorder="1" applyAlignment="1">
      <alignment horizontal="center" vertical="center" wrapText="1"/>
    </xf>
    <xf numFmtId="0" fontId="2" fillId="0" borderId="0" xfId="4" applyFont="1" applyAlignment="1">
      <alignment horizontal="center" vertical="center" wrapText="1"/>
    </xf>
    <xf numFmtId="0" fontId="2" fillId="0" borderId="28" xfId="4" applyFont="1" applyBorder="1" applyAlignment="1">
      <alignment horizontal="center" vertical="center" wrapText="1"/>
    </xf>
    <xf numFmtId="0" fontId="2" fillId="0" borderId="31" xfId="4" applyFont="1" applyBorder="1" applyAlignment="1">
      <alignment horizontal="center" vertical="center" wrapText="1"/>
    </xf>
    <xf numFmtId="0" fontId="2" fillId="0" borderId="24" xfId="4" applyFont="1" applyBorder="1" applyAlignment="1">
      <alignment horizontal="center" vertical="center" wrapText="1"/>
    </xf>
    <xf numFmtId="0" fontId="2" fillId="0" borderId="30" xfId="4" applyFont="1" applyBorder="1" applyAlignment="1">
      <alignment horizontal="center" vertical="center" wrapText="1"/>
    </xf>
    <xf numFmtId="0" fontId="2" fillId="7" borderId="1" xfId="7" applyFont="1" applyFill="1" applyBorder="1" applyAlignment="1">
      <alignment horizontal="center" vertical="center" wrapText="1"/>
    </xf>
    <xf numFmtId="0" fontId="2" fillId="7" borderId="20" xfId="7" applyFont="1" applyFill="1" applyBorder="1" applyAlignment="1">
      <alignment horizontal="center" vertical="center" wrapText="1"/>
    </xf>
    <xf numFmtId="43" fontId="2" fillId="7" borderId="3" xfId="5" applyNumberFormat="1" applyFont="1" applyFill="1" applyBorder="1" applyAlignment="1">
      <alignment horizontal="center" vertical="center" wrapText="1"/>
    </xf>
    <xf numFmtId="0" fontId="2" fillId="7" borderId="4" xfId="5" applyFont="1" applyFill="1" applyBorder="1" applyAlignment="1">
      <alignment horizontal="center" vertical="center" wrapText="1"/>
    </xf>
    <xf numFmtId="0" fontId="2" fillId="7" borderId="12" xfId="5" applyFont="1" applyFill="1" applyBorder="1" applyAlignment="1">
      <alignment horizontal="center" vertical="center" wrapText="1"/>
    </xf>
    <xf numFmtId="0" fontId="2" fillId="7" borderId="3" xfId="7" applyFont="1" applyFill="1" applyBorder="1" applyAlignment="1">
      <alignment horizontal="center" vertical="center" wrapText="1"/>
    </xf>
    <xf numFmtId="0" fontId="1" fillId="0" borderId="4" xfId="0" applyFont="1" applyBorder="1" applyAlignment="1">
      <alignment horizontal="center"/>
    </xf>
    <xf numFmtId="0" fontId="1" fillId="0" borderId="12" xfId="0" applyFont="1" applyBorder="1" applyAlignment="1">
      <alignment horizontal="center"/>
    </xf>
    <xf numFmtId="0" fontId="1" fillId="0" borderId="5" xfId="0" applyFont="1" applyBorder="1" applyAlignment="1">
      <alignment horizontal="center"/>
    </xf>
    <xf numFmtId="0" fontId="2" fillId="7" borderId="4" xfId="0" applyFont="1" applyFill="1" applyBorder="1" applyAlignment="1">
      <alignment horizontal="center"/>
    </xf>
    <xf numFmtId="0" fontId="2" fillId="7" borderId="12" xfId="0" applyFont="1" applyFill="1" applyBorder="1" applyAlignment="1">
      <alignment horizontal="center"/>
    </xf>
    <xf numFmtId="0" fontId="2" fillId="7" borderId="5" xfId="0" applyFont="1" applyFill="1" applyBorder="1" applyAlignment="1">
      <alignment horizontal="center"/>
    </xf>
    <xf numFmtId="0" fontId="1" fillId="0" borderId="4" xfId="0" applyFont="1" applyBorder="1" applyAlignment="1">
      <alignment horizontal="center" vertical="center"/>
    </xf>
    <xf numFmtId="0" fontId="1" fillId="0" borderId="12" xfId="0" applyFont="1" applyBorder="1" applyAlignment="1">
      <alignment horizontal="center" vertical="center"/>
    </xf>
    <xf numFmtId="0" fontId="1" fillId="0" borderId="5" xfId="0" applyFont="1" applyBorder="1" applyAlignment="1">
      <alignment horizontal="center" vertical="center"/>
    </xf>
    <xf numFmtId="0" fontId="0" fillId="0" borderId="46" xfId="0" applyBorder="1" applyAlignment="1">
      <alignment horizontal="center"/>
    </xf>
    <xf numFmtId="0" fontId="0" fillId="0" borderId="47" xfId="0" applyBorder="1" applyAlignment="1">
      <alignment horizontal="center"/>
    </xf>
    <xf numFmtId="0" fontId="0" fillId="0" borderId="48" xfId="0" applyBorder="1" applyAlignment="1">
      <alignment horizontal="center"/>
    </xf>
    <xf numFmtId="0" fontId="0" fillId="0" borderId="49" xfId="0" applyBorder="1" applyAlignment="1">
      <alignment horizontal="center"/>
    </xf>
    <xf numFmtId="0" fontId="0" fillId="0" borderId="59" xfId="0" applyBorder="1" applyAlignment="1">
      <alignment horizontal="center"/>
    </xf>
    <xf numFmtId="0" fontId="0" fillId="0" borderId="50" xfId="0" applyBorder="1" applyAlignment="1">
      <alignment horizontal="center"/>
    </xf>
    <xf numFmtId="0" fontId="0" fillId="0" borderId="61" xfId="0" applyBorder="1" applyAlignment="1">
      <alignment horizontal="center"/>
    </xf>
    <xf numFmtId="0" fontId="0" fillId="0" borderId="74" xfId="0" applyBorder="1" applyAlignment="1">
      <alignment horizontal="center"/>
    </xf>
    <xf numFmtId="0" fontId="0" fillId="0" borderId="60" xfId="0" applyBorder="1" applyAlignment="1">
      <alignment horizontal="center"/>
    </xf>
    <xf numFmtId="0" fontId="0" fillId="0" borderId="24" xfId="0" applyBorder="1" applyAlignment="1">
      <alignment horizontal="center"/>
    </xf>
    <xf numFmtId="0" fontId="9" fillId="0" borderId="62" xfId="0" applyFont="1" applyBorder="1" applyAlignment="1">
      <alignment horizontal="center"/>
    </xf>
    <xf numFmtId="0" fontId="9" fillId="0" borderId="21" xfId="0" applyFont="1" applyBorder="1" applyAlignment="1">
      <alignment horizontal="center"/>
    </xf>
    <xf numFmtId="0" fontId="9" fillId="0" borderId="27" xfId="0" applyFont="1" applyBorder="1" applyAlignment="1">
      <alignment horizontal="center"/>
    </xf>
    <xf numFmtId="0" fontId="8" fillId="2" borderId="62" xfId="0" applyFont="1" applyFill="1" applyBorder="1" applyAlignment="1">
      <alignment horizontal="left" vertical="center"/>
    </xf>
    <xf numFmtId="0" fontId="8" fillId="2" borderId="27" xfId="0" applyFont="1" applyFill="1" applyBorder="1" applyAlignment="1">
      <alignment horizontal="left" vertical="center"/>
    </xf>
    <xf numFmtId="0" fontId="8" fillId="2" borderId="29" xfId="0" applyFont="1" applyFill="1" applyBorder="1" applyAlignment="1">
      <alignment horizontal="left" vertical="center"/>
    </xf>
    <xf numFmtId="0" fontId="8" fillId="2" borderId="28" xfId="0" applyFont="1" applyFill="1" applyBorder="1" applyAlignment="1">
      <alignment horizontal="left" vertical="center"/>
    </xf>
    <xf numFmtId="14" fontId="8" fillId="0" borderId="52" xfId="0" applyNumberFormat="1" applyFont="1" applyBorder="1" applyAlignment="1">
      <alignment horizontal="center"/>
    </xf>
    <xf numFmtId="14" fontId="8" fillId="0" borderId="76" xfId="0" quotePrefix="1" applyNumberFormat="1" applyFont="1" applyBorder="1" applyAlignment="1">
      <alignment horizontal="center"/>
    </xf>
    <xf numFmtId="0" fontId="8" fillId="0" borderId="53" xfId="0" quotePrefix="1" applyFont="1" applyBorder="1" applyAlignment="1">
      <alignment horizontal="center" vertical="center" wrapText="1"/>
    </xf>
    <xf numFmtId="0" fontId="8" fillId="0" borderId="54" xfId="0" quotePrefix="1" applyFont="1" applyBorder="1" applyAlignment="1">
      <alignment horizontal="center" vertical="center" wrapText="1"/>
    </xf>
    <xf numFmtId="0" fontId="8" fillId="0" borderId="55" xfId="0" quotePrefix="1" applyFont="1" applyBorder="1" applyAlignment="1">
      <alignment horizontal="center" vertical="center" wrapText="1"/>
    </xf>
    <xf numFmtId="0" fontId="8" fillId="0" borderId="29" xfId="0" quotePrefix="1" applyFont="1" applyBorder="1" applyAlignment="1">
      <alignment horizontal="center" vertical="center" wrapText="1"/>
    </xf>
    <xf numFmtId="0" fontId="8" fillId="0" borderId="0" xfId="0" quotePrefix="1" applyFont="1" applyAlignment="1">
      <alignment horizontal="center" vertical="center" wrapText="1"/>
    </xf>
    <xf numFmtId="0" fontId="8" fillId="0" borderId="28" xfId="0" quotePrefix="1" applyFont="1" applyBorder="1" applyAlignment="1">
      <alignment horizontal="center" vertical="center" wrapText="1"/>
    </xf>
    <xf numFmtId="0" fontId="8" fillId="0" borderId="31" xfId="0" quotePrefix="1" applyFont="1" applyBorder="1" applyAlignment="1">
      <alignment horizontal="center" vertical="center" wrapText="1"/>
    </xf>
    <xf numFmtId="0" fontId="8" fillId="0" borderId="24" xfId="0" quotePrefix="1" applyFont="1" applyBorder="1" applyAlignment="1">
      <alignment horizontal="center" vertical="center" wrapText="1"/>
    </xf>
    <xf numFmtId="0" fontId="8" fillId="0" borderId="30" xfId="0" quotePrefix="1" applyFont="1" applyBorder="1" applyAlignment="1">
      <alignment horizontal="center" vertical="center" wrapText="1"/>
    </xf>
    <xf numFmtId="0" fontId="8" fillId="0" borderId="56" xfId="0" applyFont="1" applyBorder="1" applyAlignment="1">
      <alignment horizontal="center"/>
    </xf>
    <xf numFmtId="0" fontId="8" fillId="0" borderId="52" xfId="0" quotePrefix="1" applyFont="1" applyBorder="1" applyAlignment="1">
      <alignment horizontal="center"/>
    </xf>
    <xf numFmtId="0" fontId="8" fillId="2" borderId="31" xfId="0" applyFont="1" applyFill="1" applyBorder="1" applyAlignment="1">
      <alignment horizontal="left" vertical="center"/>
    </xf>
    <xf numFmtId="0" fontId="8" fillId="2" borderId="30" xfId="0" applyFont="1" applyFill="1" applyBorder="1" applyAlignment="1">
      <alignment horizontal="left" vertical="center"/>
    </xf>
    <xf numFmtId="0" fontId="8" fillId="0" borderId="58" xfId="0" applyFont="1" applyBorder="1" applyAlignment="1">
      <alignment horizontal="center" vertical="center"/>
    </xf>
    <xf numFmtId="0" fontId="8" fillId="0" borderId="75" xfId="0" quotePrefix="1" applyFont="1" applyBorder="1" applyAlignment="1">
      <alignment horizontal="center" vertical="center"/>
    </xf>
    <xf numFmtId="11" fontId="9" fillId="0" borderId="62" xfId="0" applyNumberFormat="1" applyFont="1" applyBorder="1" applyAlignment="1">
      <alignment horizontal="center" vertical="center" wrapText="1"/>
    </xf>
    <xf numFmtId="11" fontId="9" fillId="0" borderId="21" xfId="0" applyNumberFormat="1" applyFont="1" applyBorder="1" applyAlignment="1">
      <alignment horizontal="center" vertical="center" wrapText="1"/>
    </xf>
    <xf numFmtId="11" fontId="9" fillId="0" borderId="29" xfId="0" applyNumberFormat="1" applyFont="1" applyBorder="1" applyAlignment="1">
      <alignment horizontal="center" vertical="center" wrapText="1"/>
    </xf>
    <xf numFmtId="11" fontId="9" fillId="0" borderId="0" xfId="0" applyNumberFormat="1" applyFont="1" applyAlignment="1">
      <alignment horizontal="center" vertical="center" wrapText="1"/>
    </xf>
    <xf numFmtId="11" fontId="9" fillId="0" borderId="31" xfId="0" applyNumberFormat="1" applyFont="1" applyBorder="1" applyAlignment="1">
      <alignment horizontal="center" vertical="center" wrapText="1"/>
    </xf>
    <xf numFmtId="11" fontId="9" fillId="0" borderId="24" xfId="0" applyNumberFormat="1" applyFont="1" applyBorder="1" applyAlignment="1">
      <alignment horizontal="center" vertical="center" wrapText="1"/>
    </xf>
    <xf numFmtId="167" fontId="8" fillId="0" borderId="56" xfId="0" applyNumberFormat="1" applyFont="1" applyBorder="1" applyAlignment="1">
      <alignment horizontal="center"/>
    </xf>
    <xf numFmtId="167" fontId="8" fillId="0" borderId="52" xfId="0" quotePrefix="1" applyNumberFormat="1" applyFont="1" applyBorder="1" applyAlignment="1">
      <alignment horizontal="center"/>
    </xf>
    <xf numFmtId="0" fontId="8" fillId="0" borderId="3" xfId="0" applyFont="1" applyBorder="1" applyAlignment="1">
      <alignment horizontal="center"/>
    </xf>
    <xf numFmtId="0" fontId="8" fillId="0" borderId="23" xfId="0" applyFont="1" applyBorder="1" applyAlignment="1">
      <alignment horizontal="center"/>
    </xf>
    <xf numFmtId="0" fontId="8" fillId="0" borderId="44" xfId="0" applyFont="1" applyBorder="1" applyAlignment="1">
      <alignment horizontal="center"/>
    </xf>
    <xf numFmtId="0" fontId="8" fillId="0" borderId="39" xfId="0" applyFont="1" applyBorder="1" applyAlignment="1">
      <alignment horizontal="center"/>
    </xf>
    <xf numFmtId="0" fontId="0" fillId="0" borderId="0" xfId="0" applyAlignment="1">
      <alignment horizontal="center"/>
    </xf>
    <xf numFmtId="14" fontId="8" fillId="0" borderId="68" xfId="0" applyNumberFormat="1" applyFont="1" applyBorder="1" applyAlignment="1">
      <alignment horizontal="center"/>
    </xf>
    <xf numFmtId="14" fontId="8" fillId="0" borderId="70" xfId="0" applyNumberFormat="1" applyFont="1" applyBorder="1" applyAlignment="1">
      <alignment horizontal="center"/>
    </xf>
    <xf numFmtId="14" fontId="8" fillId="0" borderId="3" xfId="0" applyNumberFormat="1" applyFont="1" applyBorder="1" applyAlignment="1">
      <alignment horizontal="center"/>
    </xf>
    <xf numFmtId="14" fontId="8" fillId="0" borderId="23" xfId="0" applyNumberFormat="1" applyFont="1" applyBorder="1" applyAlignment="1">
      <alignment horizontal="center"/>
    </xf>
    <xf numFmtId="0" fontId="8" fillId="0" borderId="54" xfId="0" quotePrefix="1" applyFont="1" applyBorder="1" applyAlignment="1">
      <alignment horizontal="left" vertical="center" wrapText="1"/>
    </xf>
    <xf numFmtId="0" fontId="8" fillId="0" borderId="55" xfId="0" quotePrefix="1" applyFont="1" applyBorder="1" applyAlignment="1">
      <alignment horizontal="left" vertical="center" wrapText="1"/>
    </xf>
    <xf numFmtId="0" fontId="8" fillId="0" borderId="0" xfId="0" quotePrefix="1" applyFont="1" applyAlignment="1">
      <alignment horizontal="left" vertical="center" wrapText="1"/>
    </xf>
    <xf numFmtId="0" fontId="8" fillId="0" borderId="28" xfId="0" quotePrefix="1" applyFont="1" applyBorder="1" applyAlignment="1">
      <alignment horizontal="left" vertical="center" wrapText="1"/>
    </xf>
    <xf numFmtId="0" fontId="8" fillId="0" borderId="24" xfId="0" quotePrefix="1" applyFont="1" applyBorder="1" applyAlignment="1">
      <alignment horizontal="left" vertical="center" wrapText="1"/>
    </xf>
    <xf numFmtId="0" fontId="8" fillId="0" borderId="30" xfId="0" quotePrefix="1" applyFont="1" applyBorder="1" applyAlignment="1">
      <alignment horizontal="left" vertical="center" wrapText="1"/>
    </xf>
    <xf numFmtId="2" fontId="8" fillId="0" borderId="3" xfId="0" applyNumberFormat="1" applyFont="1" applyBorder="1" applyAlignment="1">
      <alignment horizontal="center"/>
    </xf>
    <xf numFmtId="2" fontId="8" fillId="0" borderId="23" xfId="0" quotePrefix="1" applyNumberFormat="1" applyFont="1" applyBorder="1" applyAlignment="1">
      <alignment horizontal="center"/>
    </xf>
    <xf numFmtId="0" fontId="2" fillId="0" borderId="43" xfId="16" applyFont="1" applyBorder="1" applyAlignment="1">
      <alignment horizontal="left" vertical="center"/>
    </xf>
    <xf numFmtId="0" fontId="2" fillId="0" borderId="37" xfId="16" applyFont="1" applyBorder="1" applyAlignment="1">
      <alignment horizontal="left" vertical="center"/>
    </xf>
    <xf numFmtId="0" fontId="1" fillId="0" borderId="43" xfId="16" applyFont="1" applyBorder="1" applyAlignment="1">
      <alignment horizontal="center" vertical="center"/>
    </xf>
    <xf numFmtId="0" fontId="1" fillId="0" borderId="44" xfId="16" applyFont="1" applyBorder="1" applyAlignment="1">
      <alignment horizontal="center" vertical="center"/>
    </xf>
    <xf numFmtId="0" fontId="1" fillId="0" borderId="37" xfId="16" applyFont="1" applyBorder="1" applyAlignment="1">
      <alignment horizontal="center" vertical="center"/>
    </xf>
    <xf numFmtId="0" fontId="1" fillId="0" borderId="39" xfId="16" applyFont="1" applyBorder="1" applyAlignment="1">
      <alignment horizontal="center" vertical="center"/>
    </xf>
    <xf numFmtId="0" fontId="16" fillId="0" borderId="0" xfId="16" applyFont="1" applyAlignment="1">
      <alignment horizontal="center" vertical="center"/>
    </xf>
    <xf numFmtId="0" fontId="2" fillId="0" borderId="35" xfId="16" applyFont="1" applyBorder="1" applyAlignment="1">
      <alignment horizontal="left" vertical="center"/>
    </xf>
    <xf numFmtId="0" fontId="2" fillId="0" borderId="15" xfId="16" applyFont="1" applyBorder="1" applyAlignment="1">
      <alignment horizontal="left" vertical="center"/>
    </xf>
    <xf numFmtId="0" fontId="1" fillId="0" borderId="69" xfId="16" applyFont="1" applyBorder="1" applyAlignment="1">
      <alignment horizontal="center" vertical="center"/>
    </xf>
    <xf numFmtId="0" fontId="1" fillId="0" borderId="68" xfId="16" applyFont="1" applyBorder="1" applyAlignment="1">
      <alignment horizontal="center" vertical="center"/>
    </xf>
    <xf numFmtId="0" fontId="1" fillId="0" borderId="25" xfId="16" applyFont="1" applyBorder="1" applyAlignment="1">
      <alignment horizontal="center" vertical="center"/>
    </xf>
    <xf numFmtId="0" fontId="1" fillId="0" borderId="70" xfId="16" applyFont="1" applyBorder="1" applyAlignment="1">
      <alignment horizontal="center" vertical="center"/>
    </xf>
    <xf numFmtId="0" fontId="15" fillId="0" borderId="0" xfId="16" applyFont="1" applyAlignment="1">
      <alignment horizontal="center" vertical="center"/>
    </xf>
    <xf numFmtId="0" fontId="2" fillId="0" borderId="22" xfId="16" applyFont="1" applyBorder="1" applyAlignment="1">
      <alignment horizontal="left" vertical="center"/>
    </xf>
    <xf numFmtId="0" fontId="2" fillId="0" borderId="4" xfId="16" applyFont="1" applyBorder="1" applyAlignment="1">
      <alignment horizontal="left" vertical="center"/>
    </xf>
    <xf numFmtId="0" fontId="1" fillId="0" borderId="22" xfId="16" applyFont="1" applyBorder="1" applyAlignment="1">
      <alignment horizontal="center" vertical="center"/>
    </xf>
    <xf numFmtId="0" fontId="1" fillId="0" borderId="3" xfId="16" applyFont="1" applyBorder="1" applyAlignment="1">
      <alignment horizontal="center" vertical="center"/>
    </xf>
    <xf numFmtId="0" fontId="1" fillId="0" borderId="4" xfId="16" applyFont="1" applyBorder="1" applyAlignment="1">
      <alignment horizontal="center" vertical="center"/>
    </xf>
    <xf numFmtId="0" fontId="1" fillId="0" borderId="23" xfId="16" applyFont="1" applyBorder="1" applyAlignment="1">
      <alignment horizontal="center" vertical="center"/>
    </xf>
    <xf numFmtId="0" fontId="9" fillId="7" borderId="26" xfId="1" applyFont="1" applyFill="1" applyBorder="1" applyAlignment="1">
      <alignment horizontal="left" vertical="center"/>
    </xf>
    <xf numFmtId="0" fontId="9" fillId="7" borderId="17" xfId="1" applyFont="1" applyFill="1" applyBorder="1" applyAlignment="1">
      <alignment horizontal="left" vertical="center"/>
    </xf>
    <xf numFmtId="0" fontId="9" fillId="7" borderId="18" xfId="1" applyFont="1" applyFill="1" applyBorder="1" applyAlignment="1">
      <alignment horizontal="left" vertical="center"/>
    </xf>
    <xf numFmtId="0" fontId="8" fillId="0" borderId="4" xfId="1" applyFont="1" applyBorder="1" applyAlignment="1">
      <alignment horizontal="center" vertical="center"/>
    </xf>
    <xf numFmtId="0" fontId="8" fillId="0" borderId="36" xfId="1" applyFont="1" applyBorder="1" applyAlignment="1">
      <alignment horizontal="center" vertical="center"/>
    </xf>
    <xf numFmtId="0" fontId="21" fillId="4" borderId="66" xfId="15" applyFont="1" applyFill="1" applyBorder="1" applyAlignment="1">
      <alignment horizontal="center" vertical="center"/>
    </xf>
    <xf numFmtId="0" fontId="21" fillId="4" borderId="40" xfId="15" applyFont="1" applyFill="1" applyBorder="1" applyAlignment="1">
      <alignment horizontal="center" vertical="center"/>
    </xf>
    <xf numFmtId="0" fontId="21" fillId="4" borderId="24" xfId="15" applyFont="1" applyFill="1" applyBorder="1" applyAlignment="1">
      <alignment horizontal="center" vertical="center"/>
    </xf>
    <xf numFmtId="0" fontId="21" fillId="4" borderId="41" xfId="15" applyFont="1" applyFill="1" applyBorder="1" applyAlignment="1">
      <alignment horizontal="center" vertical="center"/>
    </xf>
    <xf numFmtId="0" fontId="8" fillId="7" borderId="32" xfId="15" applyFont="1" applyFill="1" applyBorder="1" applyAlignment="1">
      <alignment horizontal="center" vertical="center"/>
    </xf>
    <xf numFmtId="0" fontId="8" fillId="7" borderId="34" xfId="15" applyFont="1" applyFill="1" applyBorder="1" applyAlignment="1">
      <alignment horizontal="center" vertical="center"/>
    </xf>
    <xf numFmtId="0" fontId="9" fillId="7" borderId="62" xfId="15" applyFont="1" applyFill="1" applyBorder="1" applyAlignment="1">
      <alignment horizontal="center" vertical="center"/>
    </xf>
    <xf numFmtId="0" fontId="9" fillId="7" borderId="21" xfId="15" applyFont="1" applyFill="1" applyBorder="1" applyAlignment="1">
      <alignment horizontal="center" vertical="center"/>
    </xf>
    <xf numFmtId="0" fontId="9" fillId="7" borderId="27" xfId="15" applyFont="1" applyFill="1" applyBorder="1" applyAlignment="1">
      <alignment horizontal="center" vertical="center"/>
    </xf>
    <xf numFmtId="0" fontId="8" fillId="0" borderId="43" xfId="1" applyFont="1" applyBorder="1" applyAlignment="1">
      <alignment horizontal="center" vertical="center"/>
    </xf>
    <xf numFmtId="0" fontId="8" fillId="0" borderId="44" xfId="1" applyFont="1" applyBorder="1" applyAlignment="1">
      <alignment horizontal="center" vertical="center"/>
    </xf>
    <xf numFmtId="0" fontId="8" fillId="0" borderId="39" xfId="1" applyFont="1" applyBorder="1" applyAlignment="1">
      <alignment horizontal="center" vertical="center"/>
    </xf>
    <xf numFmtId="0" fontId="9" fillId="7" borderId="63" xfId="1" applyFont="1" applyFill="1" applyBorder="1" applyAlignment="1">
      <alignment horizontal="left" vertical="center"/>
    </xf>
    <xf numFmtId="0" fontId="9" fillId="7" borderId="12" xfId="1" applyFont="1" applyFill="1" applyBorder="1" applyAlignment="1">
      <alignment horizontal="left" vertical="center"/>
    </xf>
    <xf numFmtId="0" fontId="8" fillId="0" borderId="22" xfId="1" applyFont="1" applyBorder="1" applyAlignment="1">
      <alignment horizontal="center" vertical="center"/>
    </xf>
    <xf numFmtId="0" fontId="8" fillId="0" borderId="23" xfId="1" applyFont="1" applyBorder="1" applyAlignment="1">
      <alignment horizontal="center" vertical="center"/>
    </xf>
    <xf numFmtId="0" fontId="1" fillId="0" borderId="62" xfId="1" applyBorder="1" applyAlignment="1">
      <alignment horizontal="center" vertical="center"/>
    </xf>
    <xf numFmtId="0" fontId="1" fillId="0" borderId="21" xfId="1" applyBorder="1" applyAlignment="1">
      <alignment horizontal="center" vertical="center"/>
    </xf>
    <xf numFmtId="0" fontId="1" fillId="0" borderId="27" xfId="1" applyBorder="1" applyAlignment="1">
      <alignment horizontal="center" vertical="center"/>
    </xf>
    <xf numFmtId="0" fontId="1" fillId="0" borderId="29" xfId="1" applyBorder="1" applyAlignment="1">
      <alignment horizontal="center" vertical="center"/>
    </xf>
    <xf numFmtId="0" fontId="1" fillId="0" borderId="0" xfId="1" applyAlignment="1">
      <alignment horizontal="center" vertical="center"/>
    </xf>
    <xf numFmtId="0" fontId="1" fillId="0" borderId="28" xfId="1" applyBorder="1" applyAlignment="1">
      <alignment horizontal="center" vertical="center"/>
    </xf>
    <xf numFmtId="0" fontId="1" fillId="0" borderId="31" xfId="1" applyBorder="1" applyAlignment="1">
      <alignment horizontal="center" vertical="center"/>
    </xf>
    <xf numFmtId="0" fontId="1" fillId="0" borderId="24" xfId="1" applyBorder="1" applyAlignment="1">
      <alignment horizontal="center" vertical="center"/>
    </xf>
    <xf numFmtId="0" fontId="1" fillId="0" borderId="30" xfId="1" applyBorder="1" applyAlignment="1">
      <alignment horizontal="center" vertical="center"/>
    </xf>
    <xf numFmtId="0" fontId="9" fillId="8" borderId="31" xfId="15" applyFont="1" applyBorder="1" applyAlignment="1">
      <alignment horizontal="center" vertical="center"/>
    </xf>
    <xf numFmtId="0" fontId="9" fillId="8" borderId="24" xfId="15" applyFont="1" applyBorder="1" applyAlignment="1">
      <alignment horizontal="center" vertical="center"/>
    </xf>
    <xf numFmtId="0" fontId="9" fillId="8" borderId="0" xfId="15" applyFont="1" applyBorder="1" applyAlignment="1">
      <alignment horizontal="center" vertical="center"/>
    </xf>
    <xf numFmtId="0" fontId="9" fillId="8" borderId="30" xfId="15" applyFont="1" applyBorder="1" applyAlignment="1">
      <alignment horizontal="center" vertical="center"/>
    </xf>
    <xf numFmtId="0" fontId="9" fillId="7" borderId="64" xfId="1" applyFont="1" applyFill="1" applyBorder="1" applyAlignment="1">
      <alignment horizontal="left" vertical="center"/>
    </xf>
    <xf numFmtId="0" fontId="9" fillId="7" borderId="19" xfId="1" applyFont="1" applyFill="1" applyBorder="1" applyAlignment="1">
      <alignment horizontal="left" vertical="center"/>
    </xf>
    <xf numFmtId="1" fontId="8" fillId="0" borderId="25" xfId="1" applyNumberFormat="1" applyFont="1" applyBorder="1" applyAlignment="1">
      <alignment horizontal="center" vertical="center"/>
    </xf>
    <xf numFmtId="0" fontId="8" fillId="0" borderId="78" xfId="1" applyFont="1" applyBorder="1" applyAlignment="1">
      <alignment horizontal="center" vertical="center"/>
    </xf>
    <xf numFmtId="0" fontId="2" fillId="0" borderId="62" xfId="1" applyFont="1" applyBorder="1" applyAlignment="1">
      <alignment horizontal="center" vertical="center" wrapText="1"/>
    </xf>
    <xf numFmtId="0" fontId="2" fillId="0" borderId="21" xfId="1" applyFont="1" applyBorder="1" applyAlignment="1">
      <alignment horizontal="center" vertical="center" wrapText="1"/>
    </xf>
    <xf numFmtId="0" fontId="2" fillId="0" borderId="27" xfId="1" applyFont="1" applyBorder="1" applyAlignment="1">
      <alignment horizontal="center" vertical="center" wrapText="1"/>
    </xf>
    <xf numFmtId="0" fontId="2" fillId="0" borderId="29" xfId="1" applyFont="1" applyBorder="1" applyAlignment="1">
      <alignment horizontal="center" vertical="center" wrapText="1"/>
    </xf>
    <xf numFmtId="0" fontId="2" fillId="0" borderId="0" xfId="1" applyFont="1" applyAlignment="1">
      <alignment horizontal="center" vertical="center" wrapText="1"/>
    </xf>
    <xf numFmtId="0" fontId="2" fillId="0" borderId="28" xfId="1" applyFont="1" applyBorder="1" applyAlignment="1">
      <alignment horizontal="center" vertical="center" wrapText="1"/>
    </xf>
    <xf numFmtId="0" fontId="2" fillId="0" borderId="31" xfId="1" applyFont="1" applyBorder="1" applyAlignment="1">
      <alignment horizontal="center" vertical="center" wrapText="1"/>
    </xf>
    <xf numFmtId="0" fontId="2" fillId="0" borderId="24" xfId="1" applyFont="1" applyBorder="1" applyAlignment="1">
      <alignment horizontal="center" vertical="center" wrapText="1"/>
    </xf>
    <xf numFmtId="0" fontId="2" fillId="0" borderId="30" xfId="1" applyFont="1" applyBorder="1" applyAlignment="1">
      <alignment horizontal="center" vertical="center" wrapText="1"/>
    </xf>
    <xf numFmtId="0" fontId="8" fillId="0" borderId="69" xfId="1" applyFont="1" applyBorder="1" applyAlignment="1">
      <alignment horizontal="center" vertical="center"/>
    </xf>
    <xf numFmtId="0" fontId="8" fillId="0" borderId="68" xfId="1" applyFont="1" applyBorder="1" applyAlignment="1">
      <alignment horizontal="center" vertical="center"/>
    </xf>
    <xf numFmtId="0" fontId="8" fillId="0" borderId="70" xfId="1" applyFont="1" applyBorder="1" applyAlignment="1">
      <alignment horizontal="center" vertical="center"/>
    </xf>
  </cellXfs>
  <cellStyles count="20">
    <cellStyle name="40% - Énfasis1 2" xfId="11" xr:uid="{00000000-0005-0000-0000-000000000000}"/>
    <cellStyle name="40% - Énfasis1 2 7" xfId="15" xr:uid="{00000000-0005-0000-0000-000001000000}"/>
    <cellStyle name="Normal" xfId="0" builtinId="0"/>
    <cellStyle name="Normal 19 3 2" xfId="5" xr:uid="{00000000-0005-0000-0000-000004000000}"/>
    <cellStyle name="Normal 2" xfId="1" xr:uid="{00000000-0005-0000-0000-000005000000}"/>
    <cellStyle name="Normal 2 2 2" xfId="14" xr:uid="{00000000-0005-0000-0000-000006000000}"/>
    <cellStyle name="Normal 2 3 3" xfId="4" xr:uid="{00000000-0005-0000-0000-000007000000}"/>
    <cellStyle name="Normal 3" xfId="10" xr:uid="{00000000-0005-0000-0000-000008000000}"/>
    <cellStyle name="Normal 3 2" xfId="13" xr:uid="{00000000-0005-0000-0000-000009000000}"/>
    <cellStyle name="Normal 3 2 2 2" xfId="19" xr:uid="{FCBB4797-DDA1-4B37-A15D-9BB7C816B971}"/>
    <cellStyle name="Normal 3 3" xfId="18" xr:uid="{D09F47F3-71D2-49D6-BDFD-1CD3AA03B0FF}"/>
    <cellStyle name="Normal 35 2" xfId="6" xr:uid="{00000000-0005-0000-0000-00000A000000}"/>
    <cellStyle name="Normal 4" xfId="2" xr:uid="{00000000-0005-0000-0000-00000B000000}"/>
    <cellStyle name="Normal 4 10 4" xfId="12" xr:uid="{00000000-0005-0000-0000-00000C000000}"/>
    <cellStyle name="Normal 4 10 4 4" xfId="16" xr:uid="{00000000-0005-0000-0000-00000D000000}"/>
    <cellStyle name="Normal 4 20" xfId="8" xr:uid="{00000000-0005-0000-0000-00000E000000}"/>
    <cellStyle name="Normal 50" xfId="7" xr:uid="{00000000-0005-0000-0000-00000F000000}"/>
    <cellStyle name="Porcentaje" xfId="17" builtinId="5"/>
    <cellStyle name="Porcentaje 2" xfId="9" xr:uid="{00000000-0005-0000-0000-000010000000}"/>
    <cellStyle name="Porcentual 2" xfId="3" xr:uid="{00000000-0005-0000-0000-000011000000}"/>
  </cellStyles>
  <dxfs count="0"/>
  <tableStyles count="0" defaultTableStyle="TableStyleMedium9" defaultPivotStyle="PivotStyleLight16"/>
  <colors>
    <mruColors>
      <color rgb="FFFF9400"/>
      <color rgb="FFFF941E"/>
      <color rgb="FFFFFF99"/>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customXml" Target="../customXml/item3.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2.xml"/></Relationships>
</file>

<file path=xl/charts/_rels/chart1.xml.rels><?xml version="1.0" encoding="UTF-8" standalone="yes"?>
<Relationships xmlns="http://schemas.openxmlformats.org/package/2006/relationships"><Relationship Id="rId1" Type="http://schemas.openxmlformats.org/officeDocument/2006/relationships/chartUserShapes" Target="../drawings/drawing4.xml"/></Relationships>
</file>

<file path=xl/charts/_rels/chart2.xml.rels><?xml version="1.0" encoding="UTF-8" standalone="yes"?>
<Relationships xmlns="http://schemas.openxmlformats.org/package/2006/relationships"><Relationship Id="rId1" Type="http://schemas.openxmlformats.org/officeDocument/2006/relationships/chartUserShapes" Target="../drawings/drawing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6.6299076336704954E-2"/>
          <c:y val="7.2367409877895028E-2"/>
          <c:w val="0.9112289632718783"/>
          <c:h val="0.6469581749049429"/>
        </c:manualLayout>
      </c:layout>
      <c:scatterChart>
        <c:scatterStyle val="smoothMarker"/>
        <c:varyColors val="0"/>
        <c:ser>
          <c:idx val="0"/>
          <c:order val="0"/>
          <c:tx>
            <c:v>Muy Pequeño</c:v>
          </c:tx>
          <c:spPr>
            <a:ln>
              <a:prstDash val="sysDash"/>
            </a:ln>
          </c:spPr>
          <c:marker>
            <c:symbol val="none"/>
          </c:marker>
          <c:dLbls>
            <c:delete val="1"/>
          </c:dLbls>
          <c:xVal>
            <c:numRef>
              <c:f>'GRAFICA DCVG'!$D$39:$D$40</c:f>
              <c:numCache>
                <c:formatCode>General</c:formatCode>
                <c:ptCount val="2"/>
                <c:pt idx="0">
                  <c:v>0</c:v>
                </c:pt>
                <c:pt idx="1">
                  <c:v>4000</c:v>
                </c:pt>
              </c:numCache>
            </c:numRef>
          </c:xVal>
          <c:yVal>
            <c:numRef>
              <c:f>'GRAFICA DCVG'!$E$39:$E$40</c:f>
              <c:numCache>
                <c:formatCode>General</c:formatCode>
                <c:ptCount val="2"/>
                <c:pt idx="0">
                  <c:v>15</c:v>
                </c:pt>
                <c:pt idx="1">
                  <c:v>15</c:v>
                </c:pt>
              </c:numCache>
            </c:numRef>
          </c:yVal>
          <c:smooth val="1"/>
          <c:extLst>
            <c:ext xmlns:c16="http://schemas.microsoft.com/office/drawing/2014/chart" uri="{C3380CC4-5D6E-409C-BE32-E72D297353CC}">
              <c16:uniqueId val="{00000000-9D53-4FE0-88C5-79D44C5B0433}"/>
            </c:ext>
          </c:extLst>
        </c:ser>
        <c:ser>
          <c:idx val="1"/>
          <c:order val="1"/>
          <c:tx>
            <c:v>Pequeño</c:v>
          </c:tx>
          <c:spPr>
            <a:ln>
              <a:prstDash val="sysDash"/>
            </a:ln>
          </c:spPr>
          <c:marker>
            <c:symbol val="none"/>
          </c:marker>
          <c:dLbls>
            <c:delete val="1"/>
          </c:dLbls>
          <c:xVal>
            <c:numRef>
              <c:f>'GRAFICA DCVG'!$D$39:$D$40</c:f>
              <c:numCache>
                <c:formatCode>General</c:formatCode>
                <c:ptCount val="2"/>
                <c:pt idx="0">
                  <c:v>0</c:v>
                </c:pt>
                <c:pt idx="1">
                  <c:v>4000</c:v>
                </c:pt>
              </c:numCache>
            </c:numRef>
          </c:xVal>
          <c:yVal>
            <c:numRef>
              <c:f>'GRAFICA DCVG'!$F$39:$F$40</c:f>
              <c:numCache>
                <c:formatCode>General</c:formatCode>
                <c:ptCount val="2"/>
                <c:pt idx="0">
                  <c:v>35</c:v>
                </c:pt>
                <c:pt idx="1">
                  <c:v>35</c:v>
                </c:pt>
              </c:numCache>
            </c:numRef>
          </c:yVal>
          <c:smooth val="1"/>
          <c:extLst>
            <c:ext xmlns:c16="http://schemas.microsoft.com/office/drawing/2014/chart" uri="{C3380CC4-5D6E-409C-BE32-E72D297353CC}">
              <c16:uniqueId val="{00000001-9D53-4FE0-88C5-79D44C5B0433}"/>
            </c:ext>
          </c:extLst>
        </c:ser>
        <c:ser>
          <c:idx val="2"/>
          <c:order val="2"/>
          <c:tx>
            <c:v>Mediano</c:v>
          </c:tx>
          <c:spPr>
            <a:ln>
              <a:prstDash val="sysDash"/>
            </a:ln>
          </c:spPr>
          <c:marker>
            <c:symbol val="none"/>
          </c:marker>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xVal>
            <c:numRef>
              <c:f>'GRAFICA DCVG'!$D$39:$D$40</c:f>
              <c:numCache>
                <c:formatCode>General</c:formatCode>
                <c:ptCount val="2"/>
                <c:pt idx="0">
                  <c:v>0</c:v>
                </c:pt>
                <c:pt idx="1">
                  <c:v>4000</c:v>
                </c:pt>
              </c:numCache>
            </c:numRef>
          </c:xVal>
          <c:yVal>
            <c:numRef>
              <c:f>'GRAFICA DCVG'!$G$39:$G$40</c:f>
              <c:numCache>
                <c:formatCode>General</c:formatCode>
                <c:ptCount val="2"/>
                <c:pt idx="0">
                  <c:v>60</c:v>
                </c:pt>
                <c:pt idx="1">
                  <c:v>60</c:v>
                </c:pt>
              </c:numCache>
            </c:numRef>
          </c:yVal>
          <c:smooth val="1"/>
          <c:extLst>
            <c:ext xmlns:c16="http://schemas.microsoft.com/office/drawing/2014/chart" uri="{C3380CC4-5D6E-409C-BE32-E72D297353CC}">
              <c16:uniqueId val="{00000002-9D53-4FE0-88C5-79D44C5B0433}"/>
            </c:ext>
          </c:extLst>
        </c:ser>
        <c:ser>
          <c:idx val="3"/>
          <c:order val="3"/>
          <c:tx>
            <c:v>AA</c:v>
          </c:tx>
          <c:spPr>
            <a:ln>
              <a:noFill/>
            </a:ln>
          </c:spPr>
          <c:marker>
            <c:symbol val="diamond"/>
            <c:size val="5"/>
            <c:spPr>
              <a:solidFill>
                <a:srgbClr val="FF0000"/>
              </a:solidFill>
              <a:ln>
                <a:noFill/>
              </a:ln>
            </c:spPr>
          </c:marker>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xVal>
            <c:numRef>
              <c:f>'Inspección DCVG'!$D$8:$D$234</c:f>
              <c:numCache>
                <c:formatCode>\K\ 000\+000</c:formatCode>
                <c:ptCount val="227"/>
              </c:numCache>
            </c:numRef>
          </c:xVal>
          <c:yVal>
            <c:numRef>
              <c:f>'Inspección DCVG'!$S$8:$S$237</c:f>
              <c:numCache>
                <c:formatCode>0%</c:formatCode>
                <c:ptCount val="230"/>
              </c:numCache>
            </c:numRef>
          </c:yVal>
          <c:smooth val="1"/>
          <c:extLst>
            <c:ext xmlns:c16="http://schemas.microsoft.com/office/drawing/2014/chart" uri="{C3380CC4-5D6E-409C-BE32-E72D297353CC}">
              <c16:uniqueId val="{00000000-C495-4BB4-9494-215F875A3085}"/>
            </c:ext>
          </c:extLst>
        </c:ser>
        <c:ser>
          <c:idx val="4"/>
          <c:order val="4"/>
          <c:tx>
            <c:v>CA</c:v>
          </c:tx>
          <c:spPr>
            <a:ln>
              <a:noFill/>
            </a:ln>
          </c:spPr>
          <c:marker>
            <c:symbol val="diamond"/>
            <c:size val="5"/>
            <c:spPr>
              <a:solidFill>
                <a:srgbClr val="FFFF00"/>
              </a:solidFill>
              <a:ln>
                <a:solidFill>
                  <a:srgbClr val="FFFF00"/>
                </a:solidFill>
              </a:ln>
            </c:spPr>
          </c:marker>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xVal>
            <c:numRef>
              <c:f>'Inspección DCVG'!$D$8:$D$234</c:f>
              <c:numCache>
                <c:formatCode>\K\ 000\+000</c:formatCode>
                <c:ptCount val="227"/>
              </c:numCache>
            </c:numRef>
          </c:xVal>
          <c:yVal>
            <c:numRef>
              <c:f>'Inspección DCVG'!$T$8:$T$237</c:f>
              <c:numCache>
                <c:formatCode>0%</c:formatCode>
                <c:ptCount val="230"/>
              </c:numCache>
            </c:numRef>
          </c:yVal>
          <c:smooth val="1"/>
          <c:extLst>
            <c:ext xmlns:c16="http://schemas.microsoft.com/office/drawing/2014/chart" uri="{C3380CC4-5D6E-409C-BE32-E72D297353CC}">
              <c16:uniqueId val="{00000001-C495-4BB4-9494-215F875A3085}"/>
            </c:ext>
          </c:extLst>
        </c:ser>
        <c:ser>
          <c:idx val="5"/>
          <c:order val="5"/>
          <c:tx>
            <c:v>CC</c:v>
          </c:tx>
          <c:spPr>
            <a:ln>
              <a:noFill/>
            </a:ln>
          </c:spPr>
          <c:marker>
            <c:symbol val="diamond"/>
            <c:size val="5"/>
            <c:spPr>
              <a:solidFill>
                <a:srgbClr val="0070C0"/>
              </a:solidFill>
              <a:ln>
                <a:solidFill>
                  <a:srgbClr val="0070C0"/>
                </a:solidFill>
              </a:ln>
            </c:spPr>
          </c:marker>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xVal>
            <c:numRef>
              <c:f>'Inspección DCVG'!$D$8:$D$234</c:f>
              <c:numCache>
                <c:formatCode>\K\ 000\+000</c:formatCode>
                <c:ptCount val="227"/>
              </c:numCache>
            </c:numRef>
          </c:xVal>
          <c:yVal>
            <c:numRef>
              <c:f>'Inspección DCVG'!$U$8:$U$237</c:f>
              <c:numCache>
                <c:formatCode>0%</c:formatCode>
                <c:ptCount val="230"/>
              </c:numCache>
            </c:numRef>
          </c:yVal>
          <c:smooth val="1"/>
          <c:extLst>
            <c:ext xmlns:c16="http://schemas.microsoft.com/office/drawing/2014/chart" uri="{C3380CC4-5D6E-409C-BE32-E72D297353CC}">
              <c16:uniqueId val="{00000002-C495-4BB4-9494-215F875A3085}"/>
            </c:ext>
          </c:extLst>
        </c:ser>
        <c:ser>
          <c:idx val="6"/>
          <c:order val="6"/>
          <c:tx>
            <c:v>Comentarios</c:v>
          </c:tx>
          <c:spPr>
            <a:ln>
              <a:noFill/>
            </a:ln>
          </c:spPr>
          <c:marker>
            <c:symbol val="none"/>
          </c:marker>
          <c:dLbls>
            <c:dLbl>
              <c:idx val="0"/>
              <c:tx>
                <c:rich>
                  <a:bodyPr/>
                  <a:lstStyle/>
                  <a:p>
                    <a:fld id="{42B936F6-E3E1-447A-8658-77B299114043}" type="CELLRANGE">
                      <a:rPr lang="en-US"/>
                      <a:pPr/>
                      <a:t>[CELLRANGE]</a:t>
                    </a:fld>
                    <a:endParaRPr lang="es-CO"/>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3-DF1C-4642-A8E5-EF647650C538}"/>
                </c:ext>
              </c:extLst>
            </c:dLbl>
            <c:dLbl>
              <c:idx val="1"/>
              <c:tx>
                <c:rich>
                  <a:bodyPr/>
                  <a:lstStyle/>
                  <a:p>
                    <a:fld id="{5B8B52E4-8242-4C6A-8FEB-775507E541FC}" type="CELLRANGE">
                      <a:rPr lang="en-US"/>
                      <a:pPr/>
                      <a:t>[CELLRANGE]</a:t>
                    </a:fld>
                    <a:endParaRPr lang="es-CO"/>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4-DF1C-4642-A8E5-EF647650C538}"/>
                </c:ext>
              </c:extLst>
            </c:dLbl>
            <c:dLbl>
              <c:idx val="2"/>
              <c:tx>
                <c:rich>
                  <a:bodyPr/>
                  <a:lstStyle/>
                  <a:p>
                    <a:fld id="{1B28B5CE-5E66-4C4C-B86B-AD1317351A52}" type="CELLRANGE">
                      <a:rPr lang="en-US"/>
                      <a:pPr/>
                      <a:t>[CELLRANGE]</a:t>
                    </a:fld>
                    <a:endParaRPr lang="es-CO"/>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5-DF1C-4642-A8E5-EF647650C538}"/>
                </c:ext>
              </c:extLst>
            </c:dLbl>
            <c:dLbl>
              <c:idx val="3"/>
              <c:tx>
                <c:rich>
                  <a:bodyPr/>
                  <a:lstStyle/>
                  <a:p>
                    <a:fld id="{4AC4B8FA-CDB7-45AC-A138-0AF0D0FA35B3}" type="CELLRANGE">
                      <a:rPr lang="en-US"/>
                      <a:pPr/>
                      <a:t>[CELLRANGE]</a:t>
                    </a:fld>
                    <a:endParaRPr lang="es-CO"/>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6-DF1C-4642-A8E5-EF647650C538}"/>
                </c:ext>
              </c:extLst>
            </c:dLbl>
            <c:dLbl>
              <c:idx val="4"/>
              <c:tx>
                <c:rich>
                  <a:bodyPr/>
                  <a:lstStyle/>
                  <a:p>
                    <a:fld id="{0EAF83E0-AB3D-4E6F-B232-3660573BEDC8}" type="CELLRANGE">
                      <a:rPr lang="en-US"/>
                      <a:pPr/>
                      <a:t>[CELLRANGE]</a:t>
                    </a:fld>
                    <a:endParaRPr lang="es-CO"/>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7-DF1C-4642-A8E5-EF647650C538}"/>
                </c:ext>
              </c:extLst>
            </c:dLbl>
            <c:dLbl>
              <c:idx val="5"/>
              <c:tx>
                <c:rich>
                  <a:bodyPr/>
                  <a:lstStyle/>
                  <a:p>
                    <a:fld id="{E9E9B663-47C9-4C2C-9A6A-70CAF611D98E}" type="CELLRANGE">
                      <a:rPr lang="en-US"/>
                      <a:pPr/>
                      <a:t>[CELLRANGE]</a:t>
                    </a:fld>
                    <a:endParaRPr lang="es-CO"/>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8-DF1C-4642-A8E5-EF647650C538}"/>
                </c:ext>
              </c:extLst>
            </c:dLbl>
            <c:spPr>
              <a:noFill/>
              <a:ln>
                <a:noFill/>
              </a:ln>
              <a:effectLst/>
            </c:spPr>
            <c:txPr>
              <a:bodyPr rot="-5400000" vert="horz" wrap="square" lIns="38100" tIns="19050" rIns="38100" bIns="19050" anchor="ctr">
                <a:spAutoFit/>
              </a:bodyPr>
              <a:lstStyle/>
              <a:p>
                <a:pPr>
                  <a:defRPr/>
                </a:pPr>
                <a:endParaRPr lang="es-CO"/>
              </a:p>
            </c:txPr>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0"/>
              </c:ext>
            </c:extLst>
          </c:dLbls>
          <c:xVal>
            <c:numRef>
              <c:f>'GRAFICA DCVG'!$E$49:$E$54</c:f>
              <c:numCache>
                <c:formatCode>General</c:formatCode>
                <c:ptCount val="6"/>
              </c:numCache>
            </c:numRef>
          </c:xVal>
          <c:yVal>
            <c:numRef>
              <c:f>'GRAFICA DCVG'!$F$49:$F$54</c:f>
              <c:numCache>
                <c:formatCode>General</c:formatCode>
                <c:ptCount val="6"/>
              </c:numCache>
            </c:numRef>
          </c:yVal>
          <c:smooth val="1"/>
          <c:extLst>
            <c:ext xmlns:c15="http://schemas.microsoft.com/office/drawing/2012/chart" uri="{02D57815-91ED-43cb-92C2-25804820EDAC}">
              <c15:datalabelsRange>
                <c15:f>'GRAFICA DCVG'!$G$49:$G$55</c15:f>
                <c15:dlblRangeCache>
                  <c:ptCount val="7"/>
                </c15:dlblRangeCache>
              </c15:datalabelsRange>
            </c:ext>
            <c:ext xmlns:c16="http://schemas.microsoft.com/office/drawing/2014/chart" uri="{C3380CC4-5D6E-409C-BE32-E72D297353CC}">
              <c16:uniqueId val="{00000000-DF1C-4642-A8E5-EF647650C538}"/>
            </c:ext>
          </c:extLst>
        </c:ser>
        <c:dLbls>
          <c:showLegendKey val="0"/>
          <c:showVal val="1"/>
          <c:showCatName val="0"/>
          <c:showSerName val="0"/>
          <c:showPercent val="0"/>
          <c:showBubbleSize val="0"/>
        </c:dLbls>
        <c:axId val="191984640"/>
        <c:axId val="170136064"/>
      </c:scatterChart>
      <c:valAx>
        <c:axId val="191984640"/>
        <c:scaling>
          <c:orientation val="minMax"/>
          <c:max val="4000"/>
          <c:min val="0"/>
        </c:scaling>
        <c:delete val="0"/>
        <c:axPos val="b"/>
        <c:majorGridlines>
          <c:spPr>
            <a:ln w="12700" cmpd="sng">
              <a:prstDash val="sysDot"/>
            </a:ln>
          </c:spPr>
        </c:majorGridlines>
        <c:minorGridlines>
          <c:spPr>
            <a:ln w="6350">
              <a:noFill/>
              <a:prstDash val="dashDot"/>
            </a:ln>
          </c:spPr>
        </c:minorGridlines>
        <c:title>
          <c:tx>
            <c:rich>
              <a:bodyPr/>
              <a:lstStyle/>
              <a:p>
                <a:pPr>
                  <a:defRPr lang="es-CO" sz="1500" kern="100" spc="10" baseline="0">
                    <a:latin typeface="Arial" pitchFamily="34" charset="0"/>
                    <a:cs typeface="Arial" pitchFamily="34" charset="0"/>
                  </a:defRPr>
                </a:pPr>
                <a:r>
                  <a:rPr lang="es-CO" sz="1500" kern="100" spc="10" baseline="0">
                    <a:latin typeface="Arial" pitchFamily="34" charset="0"/>
                    <a:cs typeface="Arial" pitchFamily="34" charset="0"/>
                  </a:rPr>
                  <a:t>Distancia [m]</a:t>
                </a:r>
              </a:p>
            </c:rich>
          </c:tx>
          <c:layout>
            <c:manualLayout>
              <c:xMode val="edge"/>
              <c:yMode val="edge"/>
              <c:x val="0.44771915700181414"/>
              <c:y val="0.93924110080315026"/>
            </c:manualLayout>
          </c:layout>
          <c:overlay val="0"/>
        </c:title>
        <c:numFmt formatCode="\K\ 000\+000" sourceLinked="0"/>
        <c:majorTickMark val="out"/>
        <c:minorTickMark val="none"/>
        <c:tickLblPos val="low"/>
        <c:txPr>
          <a:bodyPr rot="-5400000" vert="horz"/>
          <a:lstStyle/>
          <a:p>
            <a:pPr>
              <a:defRPr lang="es-CO" sz="1000" b="1" kern="100" spc="10" baseline="0">
                <a:latin typeface="Arial" pitchFamily="34" charset="0"/>
              </a:defRPr>
            </a:pPr>
            <a:endParaRPr lang="es-CO"/>
          </a:p>
        </c:txPr>
        <c:crossAx val="170136064"/>
        <c:crosses val="autoZero"/>
        <c:crossBetween val="midCat"/>
        <c:majorUnit val="1000"/>
        <c:minorUnit val="500"/>
      </c:valAx>
      <c:valAx>
        <c:axId val="170136064"/>
        <c:scaling>
          <c:orientation val="minMax"/>
          <c:max val="100"/>
          <c:min val="0"/>
        </c:scaling>
        <c:delete val="0"/>
        <c:axPos val="l"/>
        <c:majorGridlines>
          <c:spPr>
            <a:ln w="12700">
              <a:prstDash val="sysDot"/>
            </a:ln>
          </c:spPr>
        </c:majorGridlines>
        <c:minorGridlines>
          <c:spPr>
            <a:ln>
              <a:noFill/>
            </a:ln>
          </c:spPr>
        </c:minorGridlines>
        <c:title>
          <c:tx>
            <c:rich>
              <a:bodyPr/>
              <a:lstStyle/>
              <a:p>
                <a:pPr>
                  <a:defRPr lang="es-CO" sz="1500" kern="100" spc="10">
                    <a:latin typeface="Arial" pitchFamily="34" charset="0"/>
                    <a:cs typeface="Arial" pitchFamily="34" charset="0"/>
                  </a:defRPr>
                </a:pPr>
                <a:r>
                  <a:rPr lang="es-CO" sz="1500" kern="100" spc="10">
                    <a:latin typeface="Arial" pitchFamily="34" charset="0"/>
                    <a:cs typeface="Arial" pitchFamily="34" charset="0"/>
                  </a:rPr>
                  <a:t>SEVERIDAD [%IR]</a:t>
                </a:r>
              </a:p>
            </c:rich>
          </c:tx>
          <c:layout>
            <c:manualLayout>
              <c:xMode val="edge"/>
              <c:yMode val="edge"/>
              <c:x val="9.3171800001866107E-4"/>
              <c:y val="0.2179282338227243"/>
            </c:manualLayout>
          </c:layout>
          <c:overlay val="0"/>
        </c:title>
        <c:numFmt formatCode="General" sourceLinked="0"/>
        <c:majorTickMark val="out"/>
        <c:minorTickMark val="none"/>
        <c:tickLblPos val="nextTo"/>
        <c:spPr>
          <a:ln>
            <a:prstDash val="solid"/>
          </a:ln>
        </c:spPr>
        <c:txPr>
          <a:bodyPr anchor="t" anchorCtr="0"/>
          <a:lstStyle/>
          <a:p>
            <a:pPr>
              <a:defRPr lang="es-CO" sz="1000" b="1" kern="100" spc="-10" baseline="0">
                <a:latin typeface="Arial" panose="020B0604020202020204" pitchFamily="34" charset="0"/>
                <a:cs typeface="Arial" panose="020B0604020202020204" pitchFamily="34" charset="0"/>
              </a:defRPr>
            </a:pPr>
            <a:endParaRPr lang="es-CO"/>
          </a:p>
        </c:txPr>
        <c:crossAx val="191984640"/>
        <c:crosses val="autoZero"/>
        <c:crossBetween val="midCat"/>
        <c:majorUnit val="10"/>
        <c:minorUnit val="10"/>
      </c:valAx>
      <c:spPr>
        <a:noFill/>
        <a:ln>
          <a:solidFill>
            <a:schemeClr val="bg1">
              <a:lumMod val="75000"/>
            </a:schemeClr>
          </a:solidFill>
        </a:ln>
      </c:spPr>
    </c:plotArea>
    <c:legend>
      <c:legendPos val="b"/>
      <c:layout>
        <c:manualLayout>
          <c:xMode val="edge"/>
          <c:yMode val="edge"/>
          <c:x val="0.11330741990662255"/>
          <c:y val="0.89386662380519466"/>
          <c:w val="0.83281726730709504"/>
          <c:h val="7.2058003626482361E-2"/>
        </c:manualLayout>
      </c:layout>
      <c:overlay val="0"/>
      <c:spPr>
        <a:noFill/>
      </c:spPr>
      <c:txPr>
        <a:bodyPr/>
        <a:lstStyle/>
        <a:p>
          <a:pPr>
            <a:defRPr lang="es-CO" sz="1500" kern="100" spc="-10" baseline="0">
              <a:latin typeface="Arial" pitchFamily="34" charset="0"/>
              <a:cs typeface="Arial" pitchFamily="34" charset="0"/>
            </a:defRPr>
          </a:pPr>
          <a:endParaRPr lang="es-CO"/>
        </a:p>
      </c:txPr>
    </c:legend>
    <c:plotVisOnly val="1"/>
    <c:dispBlanksAs val="gap"/>
    <c:showDLblsOverMax val="0"/>
  </c:chart>
  <c:spPr>
    <a:solidFill>
      <a:schemeClr val="lt1"/>
    </a:solidFill>
    <a:ln w="25400" cap="flat" cmpd="sng" algn="ctr">
      <a:solidFill>
        <a:schemeClr val="dk1"/>
      </a:solidFill>
      <a:prstDash val="solid"/>
    </a:ln>
    <a:effectLst/>
  </c:spPr>
  <c:txPr>
    <a:bodyPr/>
    <a:lstStyle/>
    <a:p>
      <a:pPr>
        <a:defRPr>
          <a:solidFill>
            <a:schemeClr val="dk1"/>
          </a:solidFill>
          <a:latin typeface="+mn-lt"/>
          <a:ea typeface="+mn-ea"/>
          <a:cs typeface="+mn-cs"/>
        </a:defRPr>
      </a:pPr>
      <a:endParaRPr lang="es-CO"/>
    </a:p>
  </c:txPr>
  <c:printSettings>
    <c:headerFooter/>
    <c:pageMargins b="0.75000000000000588" l="0.70000000000000062" r="0.70000000000000062" t="0.75000000000000588" header="0.30000000000000032" footer="0.30000000000000032"/>
    <c:pageSetup/>
  </c:printSettings>
  <c:userShapes r:id="rId1"/>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7.1133707440432112E-2"/>
          <c:y val="6.5185269251264347E-2"/>
          <c:w val="0.86956917897512787"/>
          <c:h val="0.65414032677375744"/>
        </c:manualLayout>
      </c:layout>
      <c:scatterChart>
        <c:scatterStyle val="lineMarker"/>
        <c:varyColors val="0"/>
        <c:ser>
          <c:idx val="0"/>
          <c:order val="0"/>
          <c:tx>
            <c:v>Muy Corrosivo</c:v>
          </c:tx>
          <c:spPr>
            <a:ln w="19050">
              <a:solidFill>
                <a:srgbClr val="FF0000"/>
              </a:solidFill>
              <a:prstDash val="dash"/>
            </a:ln>
          </c:spPr>
          <c:marker>
            <c:symbol val="none"/>
          </c:marker>
          <c:xVal>
            <c:numRef>
              <c:f>'Gráfica Resistividad'!$T$10:$T$11</c:f>
              <c:numCache>
                <c:formatCode>General</c:formatCode>
                <c:ptCount val="2"/>
                <c:pt idx="0">
                  <c:v>0</c:v>
                </c:pt>
                <c:pt idx="1">
                  <c:v>4000</c:v>
                </c:pt>
              </c:numCache>
            </c:numRef>
          </c:xVal>
          <c:yVal>
            <c:numRef>
              <c:f>'Gráfica Resistividad'!$U$10:$U$11</c:f>
              <c:numCache>
                <c:formatCode>General</c:formatCode>
                <c:ptCount val="2"/>
                <c:pt idx="0">
                  <c:v>500</c:v>
                </c:pt>
                <c:pt idx="1">
                  <c:v>500</c:v>
                </c:pt>
              </c:numCache>
            </c:numRef>
          </c:yVal>
          <c:smooth val="0"/>
          <c:extLst>
            <c:ext xmlns:c16="http://schemas.microsoft.com/office/drawing/2014/chart" uri="{C3380CC4-5D6E-409C-BE32-E72D297353CC}">
              <c16:uniqueId val="{00000000-D711-4887-B797-B7D47484FFB5}"/>
            </c:ext>
          </c:extLst>
        </c:ser>
        <c:ser>
          <c:idx val="1"/>
          <c:order val="1"/>
          <c:tx>
            <c:v>Corrosivo</c:v>
          </c:tx>
          <c:spPr>
            <a:ln w="19050">
              <a:solidFill>
                <a:schemeClr val="accent6"/>
              </a:solidFill>
              <a:prstDash val="dash"/>
              <a:miter lim="800000"/>
            </a:ln>
          </c:spPr>
          <c:marker>
            <c:symbol val="none"/>
          </c:marker>
          <c:xVal>
            <c:numRef>
              <c:f>'Gráfica Resistividad'!$T$10:$T$11</c:f>
              <c:numCache>
                <c:formatCode>General</c:formatCode>
                <c:ptCount val="2"/>
                <c:pt idx="0">
                  <c:v>0</c:v>
                </c:pt>
                <c:pt idx="1">
                  <c:v>4000</c:v>
                </c:pt>
              </c:numCache>
            </c:numRef>
          </c:xVal>
          <c:yVal>
            <c:numRef>
              <c:f>'Gráfica Resistividad'!$V$10:$V$11</c:f>
              <c:numCache>
                <c:formatCode>General</c:formatCode>
                <c:ptCount val="2"/>
                <c:pt idx="0">
                  <c:v>1000</c:v>
                </c:pt>
                <c:pt idx="1">
                  <c:v>1000</c:v>
                </c:pt>
              </c:numCache>
            </c:numRef>
          </c:yVal>
          <c:smooth val="0"/>
          <c:extLst>
            <c:ext xmlns:c16="http://schemas.microsoft.com/office/drawing/2014/chart" uri="{C3380CC4-5D6E-409C-BE32-E72D297353CC}">
              <c16:uniqueId val="{00000001-D711-4887-B797-B7D47484FFB5}"/>
            </c:ext>
          </c:extLst>
        </c:ser>
        <c:ser>
          <c:idx val="2"/>
          <c:order val="2"/>
          <c:tx>
            <c:v>Moderadamente Corrosivo</c:v>
          </c:tx>
          <c:spPr>
            <a:ln w="15875">
              <a:solidFill>
                <a:schemeClr val="bg1">
                  <a:lumMod val="50000"/>
                </a:schemeClr>
              </a:solidFill>
              <a:prstDash val="dash"/>
            </a:ln>
          </c:spPr>
          <c:marker>
            <c:symbol val="none"/>
          </c:marker>
          <c:xVal>
            <c:numRef>
              <c:f>'Gráfica Resistividad'!$T$10:$T$11</c:f>
              <c:numCache>
                <c:formatCode>General</c:formatCode>
                <c:ptCount val="2"/>
                <c:pt idx="0">
                  <c:v>0</c:v>
                </c:pt>
                <c:pt idx="1">
                  <c:v>4000</c:v>
                </c:pt>
              </c:numCache>
            </c:numRef>
          </c:xVal>
          <c:yVal>
            <c:numRef>
              <c:f>'Gráfica Resistividad'!$W$10:$W$11</c:f>
              <c:numCache>
                <c:formatCode>General</c:formatCode>
                <c:ptCount val="2"/>
                <c:pt idx="0">
                  <c:v>2000</c:v>
                </c:pt>
                <c:pt idx="1">
                  <c:v>2000</c:v>
                </c:pt>
              </c:numCache>
            </c:numRef>
          </c:yVal>
          <c:smooth val="0"/>
          <c:extLst>
            <c:ext xmlns:c16="http://schemas.microsoft.com/office/drawing/2014/chart" uri="{C3380CC4-5D6E-409C-BE32-E72D297353CC}">
              <c16:uniqueId val="{00000002-D711-4887-B797-B7D47484FFB5}"/>
            </c:ext>
          </c:extLst>
        </c:ser>
        <c:ser>
          <c:idx val="3"/>
          <c:order val="3"/>
          <c:tx>
            <c:v>Levemente Corrosivo</c:v>
          </c:tx>
          <c:spPr>
            <a:ln w="19050">
              <a:solidFill>
                <a:srgbClr val="FFFF00"/>
              </a:solidFill>
              <a:prstDash val="dash"/>
            </a:ln>
          </c:spPr>
          <c:marker>
            <c:symbol val="none"/>
          </c:marker>
          <c:xVal>
            <c:numRef>
              <c:f>'Gráfica Resistividad'!$T$10:$T$11</c:f>
              <c:numCache>
                <c:formatCode>General</c:formatCode>
                <c:ptCount val="2"/>
                <c:pt idx="0">
                  <c:v>0</c:v>
                </c:pt>
                <c:pt idx="1">
                  <c:v>4000</c:v>
                </c:pt>
              </c:numCache>
            </c:numRef>
          </c:xVal>
          <c:yVal>
            <c:numRef>
              <c:f>'Gráfica Resistividad'!$X$10:$X$11</c:f>
              <c:numCache>
                <c:formatCode>General</c:formatCode>
                <c:ptCount val="2"/>
                <c:pt idx="0">
                  <c:v>10000</c:v>
                </c:pt>
                <c:pt idx="1">
                  <c:v>10000</c:v>
                </c:pt>
              </c:numCache>
            </c:numRef>
          </c:yVal>
          <c:smooth val="0"/>
          <c:extLst>
            <c:ext xmlns:c16="http://schemas.microsoft.com/office/drawing/2014/chart" uri="{C3380CC4-5D6E-409C-BE32-E72D297353CC}">
              <c16:uniqueId val="{00000003-D711-4887-B797-B7D47484FFB5}"/>
            </c:ext>
          </c:extLst>
        </c:ser>
        <c:ser>
          <c:idx val="4"/>
          <c:order val="4"/>
          <c:tx>
            <c:v>0-1 metro</c:v>
          </c:tx>
          <c:spPr>
            <a:ln w="19050">
              <a:solidFill>
                <a:srgbClr val="002060"/>
              </a:solidFill>
            </a:ln>
          </c:spPr>
          <c:marker>
            <c:symbol val="diamond"/>
            <c:size val="5"/>
            <c:spPr>
              <a:solidFill>
                <a:srgbClr val="002060"/>
              </a:solidFill>
              <a:ln>
                <a:solidFill>
                  <a:srgbClr val="002060"/>
                </a:solidFill>
              </a:ln>
            </c:spPr>
          </c:marker>
          <c:xVal>
            <c:numRef>
              <c:f>Resistividad!$A$9:$A$244</c:f>
              <c:numCache>
                <c:formatCode>\K\ 000\+000</c:formatCode>
                <c:ptCount val="17"/>
              </c:numCache>
            </c:numRef>
          </c:xVal>
          <c:yVal>
            <c:numRef>
              <c:f>Resistividad!$R$9:$R$244</c:f>
              <c:numCache>
                <c:formatCode>0</c:formatCode>
                <c:ptCount val="17"/>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numCache>
            </c:numRef>
          </c:yVal>
          <c:smooth val="0"/>
          <c:extLst>
            <c:ext xmlns:c16="http://schemas.microsoft.com/office/drawing/2014/chart" uri="{C3380CC4-5D6E-409C-BE32-E72D297353CC}">
              <c16:uniqueId val="{00000004-D711-4887-B797-B7D47484FFB5}"/>
            </c:ext>
          </c:extLst>
        </c:ser>
        <c:ser>
          <c:idx val="5"/>
          <c:order val="5"/>
          <c:tx>
            <c:v>1-2 metros</c:v>
          </c:tx>
          <c:spPr>
            <a:ln w="19050">
              <a:solidFill>
                <a:srgbClr val="00B050"/>
              </a:solidFill>
            </a:ln>
          </c:spPr>
          <c:marker>
            <c:symbol val="diamond"/>
            <c:size val="5"/>
            <c:spPr>
              <a:solidFill>
                <a:srgbClr val="00B050"/>
              </a:solidFill>
              <a:ln>
                <a:solidFill>
                  <a:srgbClr val="00B050"/>
                </a:solidFill>
              </a:ln>
            </c:spPr>
          </c:marker>
          <c:xVal>
            <c:numRef>
              <c:f>Resistividad!$A$9:$A$244</c:f>
              <c:numCache>
                <c:formatCode>\K\ 000\+000</c:formatCode>
                <c:ptCount val="17"/>
              </c:numCache>
            </c:numRef>
          </c:xVal>
          <c:yVal>
            <c:numRef>
              <c:f>Resistividad!$S$9:$S$244</c:f>
              <c:numCache>
                <c:formatCode>0</c:formatCode>
                <c:ptCount val="17"/>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numCache>
            </c:numRef>
          </c:yVal>
          <c:smooth val="0"/>
          <c:extLst>
            <c:ext xmlns:c16="http://schemas.microsoft.com/office/drawing/2014/chart" uri="{C3380CC4-5D6E-409C-BE32-E72D297353CC}">
              <c16:uniqueId val="{00000005-D711-4887-B797-B7D47484FFB5}"/>
            </c:ext>
          </c:extLst>
        </c:ser>
        <c:ser>
          <c:idx val="6"/>
          <c:order val="6"/>
          <c:tx>
            <c:v>2-3 metros</c:v>
          </c:tx>
          <c:spPr>
            <a:ln w="19050">
              <a:solidFill>
                <a:schemeClr val="accent6"/>
              </a:solidFill>
            </a:ln>
          </c:spPr>
          <c:marker>
            <c:symbol val="diamond"/>
            <c:size val="5"/>
            <c:spPr>
              <a:solidFill>
                <a:srgbClr val="FF9400"/>
              </a:solidFill>
              <a:ln>
                <a:solidFill>
                  <a:srgbClr val="FF941E"/>
                </a:solidFill>
              </a:ln>
            </c:spPr>
          </c:marker>
          <c:xVal>
            <c:numRef>
              <c:f>Resistividad!$A$9:$A$244</c:f>
              <c:numCache>
                <c:formatCode>\K\ 000\+000</c:formatCode>
                <c:ptCount val="17"/>
              </c:numCache>
            </c:numRef>
          </c:xVal>
          <c:yVal>
            <c:numRef>
              <c:f>Resistividad!$T$9:$T$244</c:f>
              <c:numCache>
                <c:formatCode>0</c:formatCode>
                <c:ptCount val="17"/>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numCache>
            </c:numRef>
          </c:yVal>
          <c:smooth val="0"/>
          <c:extLst>
            <c:ext xmlns:c16="http://schemas.microsoft.com/office/drawing/2014/chart" uri="{C3380CC4-5D6E-409C-BE32-E72D297353CC}">
              <c16:uniqueId val="{00000006-D711-4887-B797-B7D47484FFB5}"/>
            </c:ext>
          </c:extLst>
        </c:ser>
        <c:dLbls>
          <c:showLegendKey val="0"/>
          <c:showVal val="0"/>
          <c:showCatName val="0"/>
          <c:showSerName val="0"/>
          <c:showPercent val="0"/>
          <c:showBubbleSize val="0"/>
        </c:dLbls>
        <c:axId val="191984640"/>
        <c:axId val="170136064"/>
      </c:scatterChart>
      <c:scatterChart>
        <c:scatterStyle val="lineMarker"/>
        <c:varyColors val="0"/>
        <c:ser>
          <c:idx val="7"/>
          <c:order val="7"/>
          <c:tx>
            <c:v>Profundidad</c:v>
          </c:tx>
          <c:marker>
            <c:symbol val="none"/>
          </c:marker>
          <c:xVal>
            <c:numRef>
              <c:f>Resistividad!$A$9:$A$244</c:f>
              <c:numCache>
                <c:formatCode>\K\ 000\+000</c:formatCode>
                <c:ptCount val="17"/>
              </c:numCache>
            </c:numRef>
          </c:xVal>
          <c:yVal>
            <c:numRef>
              <c:f>Resistividad!$E$9:$E$244</c:f>
              <c:numCache>
                <c:formatCode>General</c:formatCode>
                <c:ptCount val="17"/>
              </c:numCache>
            </c:numRef>
          </c:yVal>
          <c:smooth val="0"/>
          <c:extLst>
            <c:ext xmlns:c16="http://schemas.microsoft.com/office/drawing/2014/chart" uri="{C3380CC4-5D6E-409C-BE32-E72D297353CC}">
              <c16:uniqueId val="{00000000-733A-4D17-8923-B218322F82F5}"/>
            </c:ext>
          </c:extLst>
        </c:ser>
        <c:dLbls>
          <c:showLegendKey val="0"/>
          <c:showVal val="0"/>
          <c:showCatName val="0"/>
          <c:showSerName val="0"/>
          <c:showPercent val="0"/>
          <c:showBubbleSize val="0"/>
        </c:dLbls>
        <c:axId val="1118211184"/>
        <c:axId val="1118212144"/>
      </c:scatterChart>
      <c:valAx>
        <c:axId val="191984640"/>
        <c:scaling>
          <c:orientation val="minMax"/>
          <c:max val="4000"/>
          <c:min val="0"/>
        </c:scaling>
        <c:delete val="0"/>
        <c:axPos val="b"/>
        <c:majorGridlines>
          <c:spPr>
            <a:ln w="12700" cmpd="sng">
              <a:prstDash val="sysDot"/>
            </a:ln>
          </c:spPr>
        </c:majorGridlines>
        <c:minorGridlines>
          <c:spPr>
            <a:ln w="6350">
              <a:noFill/>
              <a:prstDash val="dashDot"/>
            </a:ln>
          </c:spPr>
        </c:minorGridlines>
        <c:title>
          <c:tx>
            <c:rich>
              <a:bodyPr/>
              <a:lstStyle/>
              <a:p>
                <a:pPr>
                  <a:defRPr lang="es-CO" sz="1500" kern="100" spc="10" baseline="0">
                    <a:latin typeface="Arial" pitchFamily="34" charset="0"/>
                    <a:cs typeface="Arial" pitchFamily="34" charset="0"/>
                  </a:defRPr>
                </a:pPr>
                <a:r>
                  <a:rPr lang="es-CO" sz="1500" kern="100" spc="10" baseline="0">
                    <a:latin typeface="Arial" pitchFamily="34" charset="0"/>
                    <a:cs typeface="Arial" pitchFamily="34" charset="0"/>
                  </a:rPr>
                  <a:t>Distancia [m]</a:t>
                </a:r>
              </a:p>
            </c:rich>
          </c:tx>
          <c:layout>
            <c:manualLayout>
              <c:xMode val="edge"/>
              <c:yMode val="edge"/>
              <c:x val="0.45134881569215046"/>
              <c:y val="0.9287215319231007"/>
            </c:manualLayout>
          </c:layout>
          <c:overlay val="0"/>
        </c:title>
        <c:numFmt formatCode="\K\ 000\+000" sourceLinked="0"/>
        <c:majorTickMark val="out"/>
        <c:minorTickMark val="none"/>
        <c:tickLblPos val="low"/>
        <c:txPr>
          <a:bodyPr rot="-5400000" vert="horz"/>
          <a:lstStyle/>
          <a:p>
            <a:pPr>
              <a:defRPr lang="es-CO" sz="1000" b="1" kern="100" spc="10" baseline="0">
                <a:latin typeface="Arial" pitchFamily="34" charset="0"/>
              </a:defRPr>
            </a:pPr>
            <a:endParaRPr lang="es-CO"/>
          </a:p>
        </c:txPr>
        <c:crossAx val="170136064"/>
        <c:crosses val="autoZero"/>
        <c:crossBetween val="midCat"/>
      </c:valAx>
      <c:valAx>
        <c:axId val="170136064"/>
        <c:scaling>
          <c:logBase val="10"/>
          <c:orientation val="minMax"/>
          <c:max val="10000000"/>
          <c:min val="100"/>
        </c:scaling>
        <c:delete val="0"/>
        <c:axPos val="l"/>
        <c:majorGridlines>
          <c:spPr>
            <a:ln w="12700">
              <a:prstDash val="sysDot"/>
            </a:ln>
          </c:spPr>
        </c:majorGridlines>
        <c:minorGridlines>
          <c:spPr>
            <a:ln>
              <a:noFill/>
            </a:ln>
          </c:spPr>
        </c:minorGridlines>
        <c:title>
          <c:tx>
            <c:rich>
              <a:bodyPr/>
              <a:lstStyle/>
              <a:p>
                <a:pPr>
                  <a:defRPr lang="es-CO" sz="1200" kern="100" spc="10">
                    <a:latin typeface="Arial" pitchFamily="34" charset="0"/>
                    <a:cs typeface="Arial" pitchFamily="34" charset="0"/>
                  </a:defRPr>
                </a:pPr>
                <a:r>
                  <a:rPr lang="es-CO" sz="1200" kern="100" spc="10">
                    <a:latin typeface="Arial" pitchFamily="34" charset="0"/>
                    <a:cs typeface="Arial" pitchFamily="34" charset="0"/>
                  </a:rPr>
                  <a:t>RESISTIVIDAD [Ohm-cm]</a:t>
                </a:r>
              </a:p>
            </c:rich>
          </c:tx>
          <c:layout>
            <c:manualLayout>
              <c:xMode val="edge"/>
              <c:yMode val="edge"/>
              <c:x val="9.7203561578253792E-4"/>
              <c:y val="0.2246229318308329"/>
            </c:manualLayout>
          </c:layout>
          <c:overlay val="0"/>
        </c:title>
        <c:numFmt formatCode="General" sourceLinked="0"/>
        <c:majorTickMark val="out"/>
        <c:minorTickMark val="none"/>
        <c:tickLblPos val="nextTo"/>
        <c:spPr>
          <a:ln>
            <a:prstDash val="solid"/>
          </a:ln>
        </c:spPr>
        <c:txPr>
          <a:bodyPr anchor="t" anchorCtr="0"/>
          <a:lstStyle/>
          <a:p>
            <a:pPr>
              <a:defRPr lang="es-CO" sz="1000" b="1" kern="100" spc="-10" baseline="0">
                <a:latin typeface="Arial" panose="020B0604020202020204" pitchFamily="34" charset="0"/>
                <a:cs typeface="Arial" panose="020B0604020202020204" pitchFamily="34" charset="0"/>
              </a:defRPr>
            </a:pPr>
            <a:endParaRPr lang="es-CO"/>
          </a:p>
        </c:txPr>
        <c:crossAx val="191984640"/>
        <c:crosses val="autoZero"/>
        <c:crossBetween val="midCat"/>
        <c:majorUnit val="10"/>
        <c:minorUnit val="10"/>
      </c:valAx>
      <c:valAx>
        <c:axId val="1118212144"/>
        <c:scaling>
          <c:orientation val="minMax"/>
          <c:max val="1000"/>
          <c:min val="100"/>
        </c:scaling>
        <c:delete val="0"/>
        <c:axPos val="r"/>
        <c:title>
          <c:tx>
            <c:rich>
              <a:bodyPr/>
              <a:lstStyle/>
              <a:p>
                <a:pPr algn="ctr" rtl="0">
                  <a:defRPr lang="es-CO" sz="1200" b="1" i="0" u="none" strike="noStrike" kern="100" spc="10" baseline="0">
                    <a:solidFill>
                      <a:sysClr val="windowText" lastClr="000000"/>
                    </a:solidFill>
                    <a:latin typeface="Arial" pitchFamily="34" charset="0"/>
                    <a:ea typeface="+mn-ea"/>
                    <a:cs typeface="Arial" pitchFamily="34" charset="0"/>
                  </a:defRPr>
                </a:pPr>
                <a:r>
                  <a:rPr lang="es-CO" sz="1200" b="1" i="0" u="none" strike="noStrike" kern="100" spc="10" baseline="0">
                    <a:solidFill>
                      <a:sysClr val="windowText" lastClr="000000"/>
                    </a:solidFill>
                    <a:latin typeface="Arial" pitchFamily="34" charset="0"/>
                    <a:ea typeface="+mn-ea"/>
                    <a:cs typeface="Arial" pitchFamily="34" charset="0"/>
                  </a:rPr>
                  <a:t>Profundidaad (cm)</a:t>
                </a:r>
              </a:p>
            </c:rich>
          </c:tx>
          <c:overlay val="0"/>
        </c:title>
        <c:numFmt formatCode="General" sourceLinked="1"/>
        <c:majorTickMark val="out"/>
        <c:minorTickMark val="none"/>
        <c:tickLblPos val="nextTo"/>
        <c:crossAx val="1118211184"/>
        <c:crosses val="max"/>
        <c:crossBetween val="midCat"/>
        <c:majorUnit val="100"/>
      </c:valAx>
      <c:valAx>
        <c:axId val="1118211184"/>
        <c:scaling>
          <c:orientation val="minMax"/>
        </c:scaling>
        <c:delete val="1"/>
        <c:axPos val="b"/>
        <c:numFmt formatCode="\K\ 000\+000" sourceLinked="1"/>
        <c:majorTickMark val="out"/>
        <c:minorTickMark val="none"/>
        <c:tickLblPos val="nextTo"/>
        <c:crossAx val="1118212144"/>
        <c:crosses val="autoZero"/>
        <c:crossBetween val="midCat"/>
      </c:valAx>
      <c:spPr>
        <a:ln>
          <a:solidFill>
            <a:schemeClr val="bg1">
              <a:lumMod val="75000"/>
            </a:schemeClr>
          </a:solidFill>
        </a:ln>
      </c:spPr>
    </c:plotArea>
    <c:legend>
      <c:legendPos val="b"/>
      <c:layout>
        <c:manualLayout>
          <c:xMode val="edge"/>
          <c:yMode val="edge"/>
          <c:x val="0"/>
          <c:y val="0.84887836841717201"/>
          <c:w val="1"/>
          <c:h val="8.0617440039533694E-2"/>
        </c:manualLayout>
      </c:layout>
      <c:overlay val="0"/>
      <c:txPr>
        <a:bodyPr/>
        <a:lstStyle/>
        <a:p>
          <a:pPr>
            <a:defRPr lang="es-CO" sz="1050" kern="100" spc="-10" baseline="0">
              <a:latin typeface="Arial" pitchFamily="34" charset="0"/>
              <a:cs typeface="Arial" pitchFamily="34" charset="0"/>
            </a:defRPr>
          </a:pPr>
          <a:endParaRPr lang="es-CO"/>
        </a:p>
      </c:txPr>
    </c:legend>
    <c:plotVisOnly val="1"/>
    <c:dispBlanksAs val="gap"/>
    <c:showDLblsOverMax val="0"/>
  </c:chart>
  <c:spPr>
    <a:solidFill>
      <a:schemeClr val="lt1"/>
    </a:solidFill>
    <a:ln w="25400" cap="flat" cmpd="sng" algn="ctr">
      <a:solidFill>
        <a:schemeClr val="dk1"/>
      </a:solidFill>
      <a:prstDash val="solid"/>
    </a:ln>
    <a:effectLst/>
  </c:spPr>
  <c:txPr>
    <a:bodyPr/>
    <a:lstStyle/>
    <a:p>
      <a:pPr>
        <a:defRPr>
          <a:solidFill>
            <a:schemeClr val="dk1"/>
          </a:solidFill>
          <a:latin typeface="+mn-lt"/>
          <a:ea typeface="+mn-ea"/>
          <a:cs typeface="+mn-cs"/>
        </a:defRPr>
      </a:pPr>
      <a:endParaRPr lang="es-CO"/>
    </a:p>
  </c:txPr>
  <c:printSettings>
    <c:headerFooter/>
    <c:pageMargins b="0.75000000000000588" l="0.70000000000000062" r="0.70000000000000062" t="0.75000000000000588" header="0.30000000000000032" footer="0.30000000000000032"/>
    <c:pageSetup/>
  </c:printSettings>
  <c:userShapes r:id="rId1"/>
</c:chartSpace>
</file>

<file path=xl/drawings/_rels/drawing1.xml.rels><?xml version="1.0" encoding="UTF-8" standalone="yes"?>
<Relationships xmlns="http://schemas.openxmlformats.org/package/2006/relationships"><Relationship Id="rId1" Type="http://schemas.openxmlformats.org/officeDocument/2006/relationships/image" Target="../media/image2.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chart" Target="../charts/chart1.xml"/></Relationships>
</file>

<file path=xl/drawings/_rels/drawing5.xml.rels><?xml version="1.0" encoding="UTF-8" standalone="yes"?>
<Relationships xmlns="http://schemas.openxmlformats.org/package/2006/relationships"><Relationship Id="rId2" Type="http://schemas.openxmlformats.org/officeDocument/2006/relationships/image" Target="../media/image3.emf"/><Relationship Id="rId1" Type="http://schemas.openxmlformats.org/officeDocument/2006/relationships/image" Target="../media/image2.png"/></Relationships>
</file>

<file path=xl/drawings/_rels/drawing6.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chart" Target="../charts/chart2.xml"/></Relationships>
</file>

<file path=xl/drawings/_rels/drawing8.xml.rels><?xml version="1.0" encoding="UTF-8" standalone="yes"?>
<Relationships xmlns="http://schemas.openxmlformats.org/package/2006/relationships"><Relationship Id="rId1" Type="http://schemas.openxmlformats.org/officeDocument/2006/relationships/image" Target="../media/image2.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1.emf"/></Relationships>
</file>

<file path=xl/drawings/_rels/vmlDrawing2.vml.rels><?xml version="1.0" encoding="UTF-8" standalone="yes"?>
<Relationships xmlns="http://schemas.openxmlformats.org/package/2006/relationships"><Relationship Id="rId1" Type="http://schemas.openxmlformats.org/officeDocument/2006/relationships/image" Target="../media/image1.emf"/></Relationships>
</file>

<file path=xl/drawings/_rels/vmlDrawing3.vml.rels><?xml version="1.0" encoding="UTF-8" standalone="yes"?>
<Relationships xmlns="http://schemas.openxmlformats.org/package/2006/relationships"><Relationship Id="rId1" Type="http://schemas.openxmlformats.org/officeDocument/2006/relationships/image" Target="../media/image1.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1.emf"/></Relationships>
</file>

<file path=xl/drawings/_rels/vmlDrawing5.vml.rels><?xml version="1.0" encoding="UTF-8" standalone="yes"?>
<Relationships xmlns="http://schemas.openxmlformats.org/package/2006/relationships"><Relationship Id="rId1" Type="http://schemas.openxmlformats.org/officeDocument/2006/relationships/image" Target="../media/image1.emf"/></Relationships>
</file>

<file path=xl/drawings/_rels/vmlDrawing6.vml.rels><?xml version="1.0" encoding="UTF-8" standalone="yes"?>
<Relationships xmlns="http://schemas.openxmlformats.org/package/2006/relationships"><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xdr:twoCellAnchor>
    <xdr:from>
      <xdr:col>0</xdr:col>
      <xdr:colOff>31748</xdr:colOff>
      <xdr:row>0</xdr:row>
      <xdr:rowOff>52917</xdr:rowOff>
    </xdr:from>
    <xdr:to>
      <xdr:col>6</xdr:col>
      <xdr:colOff>157581</xdr:colOff>
      <xdr:row>4</xdr:row>
      <xdr:rowOff>82384</xdr:rowOff>
    </xdr:to>
    <xdr:pic>
      <xdr:nvPicPr>
        <xdr:cNvPr id="4" name="Imagen 3" descr="image007">
          <a:extLst>
            <a:ext uri="{FF2B5EF4-FFF2-40B4-BE49-F238E27FC236}">
              <a16:creationId xmlns:a16="http://schemas.microsoft.com/office/drawing/2014/main" id="{00000000-0008-0000-0100-000004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1748" y="52917"/>
          <a:ext cx="2052000" cy="6433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mc:AlternateContent xmlns:mc="http://schemas.openxmlformats.org/markup-compatibility/2006">
    <mc:Choice xmlns:a14="http://schemas.microsoft.com/office/drawing/2010/main" Requires="a14">
      <xdr:twoCellAnchor>
        <xdr:from>
          <xdr:col>31</xdr:col>
          <xdr:colOff>236220</xdr:colOff>
          <xdr:row>0</xdr:row>
          <xdr:rowOff>0</xdr:rowOff>
        </xdr:from>
        <xdr:to>
          <xdr:col>32</xdr:col>
          <xdr:colOff>381000</xdr:colOff>
          <xdr:row>4</xdr:row>
          <xdr:rowOff>144780</xdr:rowOff>
        </xdr:to>
        <xdr:sp macro="" textlink="">
          <xdr:nvSpPr>
            <xdr:cNvPr id="1027" name="Object 3" hidden="1">
              <a:extLst>
                <a:ext uri="{63B3BB69-23CF-44E3-9099-C40C66FF867C}">
                  <a14:compatExt spid="_x0000_s1027"/>
                </a:ext>
                <a:ext uri="{FF2B5EF4-FFF2-40B4-BE49-F238E27FC236}">
                  <a16:creationId xmlns:a16="http://schemas.microsoft.com/office/drawing/2014/main" id="{00000000-0008-0000-0100-000003040000}"/>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xdr:twoCellAnchor editAs="oneCell">
    <xdr:from>
      <xdr:col>36</xdr:col>
      <xdr:colOff>0</xdr:colOff>
      <xdr:row>75</xdr:row>
      <xdr:rowOff>0</xdr:rowOff>
    </xdr:from>
    <xdr:to>
      <xdr:col>36</xdr:col>
      <xdr:colOff>304800</xdr:colOff>
      <xdr:row>75</xdr:row>
      <xdr:rowOff>304800</xdr:rowOff>
    </xdr:to>
    <xdr:sp macro="" textlink="">
      <xdr:nvSpPr>
        <xdr:cNvPr id="1028" name="AutoShape 4">
          <a:extLst>
            <a:ext uri="{FF2B5EF4-FFF2-40B4-BE49-F238E27FC236}">
              <a16:creationId xmlns:a16="http://schemas.microsoft.com/office/drawing/2014/main" id="{00000000-0008-0000-0100-000004040000}"/>
            </a:ext>
          </a:extLst>
        </xdr:cNvPr>
        <xdr:cNvSpPr>
          <a:spLocks noChangeAspect="1" noChangeArrowheads="1"/>
        </xdr:cNvSpPr>
      </xdr:nvSpPr>
      <xdr:spPr bwMode="auto">
        <a:xfrm>
          <a:off x="16535400" y="236696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wsDr>
</file>

<file path=xl/drawings/drawing2.xml><?xml version="1.0" encoding="utf-8"?>
<xdr:wsDr xmlns:xdr="http://schemas.openxmlformats.org/drawingml/2006/spreadsheetDrawing" xmlns:a="http://schemas.openxmlformats.org/drawingml/2006/main">
  <xdr:twoCellAnchor>
    <xdr:from>
      <xdr:col>1</xdr:col>
      <xdr:colOff>0</xdr:colOff>
      <xdr:row>0</xdr:row>
      <xdr:rowOff>93133</xdr:rowOff>
    </xdr:from>
    <xdr:to>
      <xdr:col>2</xdr:col>
      <xdr:colOff>356550</xdr:colOff>
      <xdr:row>3</xdr:row>
      <xdr:rowOff>133183</xdr:rowOff>
    </xdr:to>
    <xdr:pic>
      <xdr:nvPicPr>
        <xdr:cNvPr id="4" name="Imagen 3" descr="image007">
          <a:extLst>
            <a:ext uri="{FF2B5EF4-FFF2-40B4-BE49-F238E27FC236}">
              <a16:creationId xmlns:a16="http://schemas.microsoft.com/office/drawing/2014/main" id="{00000000-0008-0000-0200-000004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05342" y="93133"/>
          <a:ext cx="1179933" cy="640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mc:AlternateContent xmlns:mc="http://schemas.openxmlformats.org/markup-compatibility/2006">
    <mc:Choice xmlns:a14="http://schemas.microsoft.com/office/drawing/2010/main" Requires="a14">
      <xdr:twoCellAnchor>
        <xdr:from>
          <xdr:col>23</xdr:col>
          <xdr:colOff>1874520</xdr:colOff>
          <xdr:row>0</xdr:row>
          <xdr:rowOff>0</xdr:rowOff>
        </xdr:from>
        <xdr:to>
          <xdr:col>23</xdr:col>
          <xdr:colOff>2430780</xdr:colOff>
          <xdr:row>4</xdr:row>
          <xdr:rowOff>7620</xdr:rowOff>
        </xdr:to>
        <xdr:sp macro="" textlink="">
          <xdr:nvSpPr>
            <xdr:cNvPr id="2058" name="Object 10" hidden="1">
              <a:extLst>
                <a:ext uri="{63B3BB69-23CF-44E3-9099-C40C66FF867C}">
                  <a14:compatExt spid="_x0000_s2058"/>
                </a:ext>
                <a:ext uri="{FF2B5EF4-FFF2-40B4-BE49-F238E27FC236}">
                  <a16:creationId xmlns:a16="http://schemas.microsoft.com/office/drawing/2014/main" id="{00000000-0008-0000-0200-00000A080000}"/>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xdr:wsDr>
</file>

<file path=xl/drawings/drawing3.xml><?xml version="1.0" encoding="utf-8"?>
<xdr:wsDr xmlns:xdr="http://schemas.openxmlformats.org/drawingml/2006/spreadsheetDrawing" xmlns:a="http://schemas.openxmlformats.org/drawingml/2006/main">
  <xdr:twoCellAnchor>
    <xdr:from>
      <xdr:col>2</xdr:col>
      <xdr:colOff>5492</xdr:colOff>
      <xdr:row>8</xdr:row>
      <xdr:rowOff>3862</xdr:rowOff>
    </xdr:from>
    <xdr:to>
      <xdr:col>10</xdr:col>
      <xdr:colOff>1031295</xdr:colOff>
      <xdr:row>28</xdr:row>
      <xdr:rowOff>175682</xdr:rowOff>
    </xdr:to>
    <xdr:graphicFrame macro="">
      <xdr:nvGraphicFramePr>
        <xdr:cNvPr id="2" name="1 Gráfico">
          <a:extLst>
            <a:ext uri="{FF2B5EF4-FFF2-40B4-BE49-F238E27FC236}">
              <a16:creationId xmlns:a16="http://schemas.microsoft.com/office/drawing/2014/main" id="{00000000-0008-0000-04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200024</xdr:colOff>
      <xdr:row>2</xdr:row>
      <xdr:rowOff>19049</xdr:rowOff>
    </xdr:from>
    <xdr:to>
      <xdr:col>3</xdr:col>
      <xdr:colOff>880424</xdr:colOff>
      <xdr:row>6</xdr:row>
      <xdr:rowOff>226885</xdr:rowOff>
    </xdr:to>
    <xdr:pic>
      <xdr:nvPicPr>
        <xdr:cNvPr id="3" name="Imagen 3" descr="image007">
          <a:extLst>
            <a:ext uri="{FF2B5EF4-FFF2-40B4-BE49-F238E27FC236}">
              <a16:creationId xmlns:a16="http://schemas.microsoft.com/office/drawing/2014/main" id="{00000000-0008-0000-0400-000003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737359" y="403859"/>
          <a:ext cx="1345245" cy="92792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mc:AlternateContent xmlns:mc="http://schemas.openxmlformats.org/markup-compatibility/2006">
    <mc:Choice xmlns:a14="http://schemas.microsoft.com/office/drawing/2010/main" Requires="a14">
      <xdr:twoCellAnchor>
        <xdr:from>
          <xdr:col>10</xdr:col>
          <xdr:colOff>228600</xdr:colOff>
          <xdr:row>2</xdr:row>
          <xdr:rowOff>22860</xdr:rowOff>
        </xdr:from>
        <xdr:to>
          <xdr:col>10</xdr:col>
          <xdr:colOff>746760</xdr:colOff>
          <xdr:row>6</xdr:row>
          <xdr:rowOff>190500</xdr:rowOff>
        </xdr:to>
        <xdr:sp macro="" textlink="">
          <xdr:nvSpPr>
            <xdr:cNvPr id="3073" name="Object 1" hidden="1">
              <a:extLst>
                <a:ext uri="{63B3BB69-23CF-44E3-9099-C40C66FF867C}">
                  <a14:compatExt spid="_x0000_s3073"/>
                </a:ext>
                <a:ext uri="{FF2B5EF4-FFF2-40B4-BE49-F238E27FC236}">
                  <a16:creationId xmlns:a16="http://schemas.microsoft.com/office/drawing/2014/main" id="{00000000-0008-0000-0400-0000010C0000}"/>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xdr:wsDr>
</file>

<file path=xl/drawings/drawing4.xml><?xml version="1.0" encoding="utf-8"?>
<c:userShapes xmlns:c="http://schemas.openxmlformats.org/drawingml/2006/chart">
  <cdr:relSizeAnchor xmlns:cdr="http://schemas.openxmlformats.org/drawingml/2006/chartDrawing">
    <cdr:from>
      <cdr:x>0.04864</cdr:x>
      <cdr:y>0.86472</cdr:y>
    </cdr:from>
    <cdr:to>
      <cdr:x>0.1021</cdr:x>
      <cdr:y>0.92056</cdr:y>
    </cdr:to>
    <cdr:sp macro="" textlink="">
      <cdr:nvSpPr>
        <cdr:cNvPr id="6" name="2 CuadroTexto"/>
        <cdr:cNvSpPr txBox="1"/>
      </cdr:nvSpPr>
      <cdr:spPr>
        <a:xfrm xmlns:a="http://schemas.openxmlformats.org/drawingml/2006/main">
          <a:off x="471880" y="3264033"/>
          <a:ext cx="518732" cy="210778"/>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tx1"/>
        </a:fontRef>
      </cdr:style>
      <cdr:txBody>
        <a:bodyPr xmlns:a="http://schemas.openxmlformats.org/drawingml/2006/main" wrap="square" rtlCol="0" anchor="ctr">
          <a:noAutofit/>
        </a:bodyPr>
        <a:lstStyle xmlns:a="http://schemas.openxmlformats.org/drawingml/2006/main">
          <a:lvl1pPr marL="0" indent="0">
            <a:defRPr sz="1100">
              <a:solidFill>
                <a:sysClr val="windowText" lastClr="000000"/>
              </a:solidFill>
              <a:latin typeface="Calibri"/>
            </a:defRPr>
          </a:lvl1pPr>
          <a:lvl2pPr marL="457200" indent="0">
            <a:defRPr sz="1100">
              <a:solidFill>
                <a:sysClr val="windowText" lastClr="000000"/>
              </a:solidFill>
              <a:latin typeface="Calibri"/>
            </a:defRPr>
          </a:lvl2pPr>
          <a:lvl3pPr marL="914400" indent="0">
            <a:defRPr sz="1100">
              <a:solidFill>
                <a:sysClr val="windowText" lastClr="000000"/>
              </a:solidFill>
              <a:latin typeface="Calibri"/>
            </a:defRPr>
          </a:lvl3pPr>
          <a:lvl4pPr marL="1371600" indent="0">
            <a:defRPr sz="1100">
              <a:solidFill>
                <a:sysClr val="windowText" lastClr="000000"/>
              </a:solidFill>
              <a:latin typeface="Calibri"/>
            </a:defRPr>
          </a:lvl4pPr>
          <a:lvl5pPr marL="1828800" indent="0">
            <a:defRPr sz="1100">
              <a:solidFill>
                <a:sysClr val="windowText" lastClr="000000"/>
              </a:solidFill>
              <a:latin typeface="Calibri"/>
            </a:defRPr>
          </a:lvl5pPr>
          <a:lvl6pPr marL="2286000" indent="0">
            <a:defRPr sz="1100">
              <a:solidFill>
                <a:sysClr val="windowText" lastClr="000000"/>
              </a:solidFill>
              <a:latin typeface="Calibri"/>
            </a:defRPr>
          </a:lvl6pPr>
          <a:lvl7pPr marL="2743200" indent="0">
            <a:defRPr sz="1100">
              <a:solidFill>
                <a:sysClr val="windowText" lastClr="000000"/>
              </a:solidFill>
              <a:latin typeface="Calibri"/>
            </a:defRPr>
          </a:lvl7pPr>
          <a:lvl8pPr marL="3200400" indent="0">
            <a:defRPr sz="1100">
              <a:solidFill>
                <a:sysClr val="windowText" lastClr="000000"/>
              </a:solidFill>
              <a:latin typeface="Calibri"/>
            </a:defRPr>
          </a:lvl8pPr>
          <a:lvl9pPr marL="3657600" indent="0">
            <a:defRPr sz="1100">
              <a:solidFill>
                <a:sysClr val="windowText" lastClr="000000"/>
              </a:solidFill>
              <a:latin typeface="Calibri"/>
            </a:defRPr>
          </a:lvl9pPr>
        </a:lstStyle>
        <a:p xmlns:a="http://schemas.openxmlformats.org/drawingml/2006/main">
          <a:pPr algn="ctr"/>
          <a:endParaRPr lang="es-CO" sz="800" b="0" i="0">
            <a:solidFill>
              <a:srgbClr val="0070C0"/>
            </a:solidFill>
            <a:latin typeface="Cambria"/>
          </a:endParaRPr>
        </a:p>
      </cdr:txBody>
    </cdr:sp>
  </cdr:relSizeAnchor>
  <cdr:relSizeAnchor xmlns:cdr="http://schemas.openxmlformats.org/drawingml/2006/chartDrawing">
    <cdr:from>
      <cdr:x>0.48364</cdr:x>
      <cdr:y>0.86056</cdr:y>
    </cdr:from>
    <cdr:to>
      <cdr:x>0.55218</cdr:x>
      <cdr:y>0.91641</cdr:y>
    </cdr:to>
    <cdr:sp macro="" textlink="">
      <cdr:nvSpPr>
        <cdr:cNvPr id="12" name="2 CuadroTexto"/>
        <cdr:cNvSpPr txBox="1"/>
      </cdr:nvSpPr>
      <cdr:spPr>
        <a:xfrm xmlns:a="http://schemas.openxmlformats.org/drawingml/2006/main">
          <a:off x="4692264" y="3248341"/>
          <a:ext cx="665026" cy="210815"/>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tx1"/>
        </a:fontRef>
      </cdr:style>
      <cdr:txBody>
        <a:bodyPr xmlns:a="http://schemas.openxmlformats.org/drawingml/2006/main" wrap="square" rtlCol="0" anchor="ctr">
          <a:noAutofit/>
        </a:bodyPr>
        <a:lstStyle xmlns:a="http://schemas.openxmlformats.org/drawingml/2006/main">
          <a:lvl1pPr marL="0" indent="0">
            <a:defRPr sz="1100">
              <a:solidFill>
                <a:sysClr val="windowText" lastClr="000000"/>
              </a:solidFill>
              <a:latin typeface="Calibri"/>
            </a:defRPr>
          </a:lvl1pPr>
          <a:lvl2pPr marL="457200" indent="0">
            <a:defRPr sz="1100">
              <a:solidFill>
                <a:sysClr val="windowText" lastClr="000000"/>
              </a:solidFill>
              <a:latin typeface="Calibri"/>
            </a:defRPr>
          </a:lvl2pPr>
          <a:lvl3pPr marL="914400" indent="0">
            <a:defRPr sz="1100">
              <a:solidFill>
                <a:sysClr val="windowText" lastClr="000000"/>
              </a:solidFill>
              <a:latin typeface="Calibri"/>
            </a:defRPr>
          </a:lvl3pPr>
          <a:lvl4pPr marL="1371600" indent="0">
            <a:defRPr sz="1100">
              <a:solidFill>
                <a:sysClr val="windowText" lastClr="000000"/>
              </a:solidFill>
              <a:latin typeface="Calibri"/>
            </a:defRPr>
          </a:lvl4pPr>
          <a:lvl5pPr marL="1828800" indent="0">
            <a:defRPr sz="1100">
              <a:solidFill>
                <a:sysClr val="windowText" lastClr="000000"/>
              </a:solidFill>
              <a:latin typeface="Calibri"/>
            </a:defRPr>
          </a:lvl5pPr>
          <a:lvl6pPr marL="2286000" indent="0">
            <a:defRPr sz="1100">
              <a:solidFill>
                <a:sysClr val="windowText" lastClr="000000"/>
              </a:solidFill>
              <a:latin typeface="Calibri"/>
            </a:defRPr>
          </a:lvl6pPr>
          <a:lvl7pPr marL="2743200" indent="0">
            <a:defRPr sz="1100">
              <a:solidFill>
                <a:sysClr val="windowText" lastClr="000000"/>
              </a:solidFill>
              <a:latin typeface="Calibri"/>
            </a:defRPr>
          </a:lvl7pPr>
          <a:lvl8pPr marL="3200400" indent="0">
            <a:defRPr sz="1100">
              <a:solidFill>
                <a:sysClr val="windowText" lastClr="000000"/>
              </a:solidFill>
              <a:latin typeface="Calibri"/>
            </a:defRPr>
          </a:lvl8pPr>
          <a:lvl9pPr marL="3657600" indent="0">
            <a:defRPr sz="1100">
              <a:solidFill>
                <a:sysClr val="windowText" lastClr="000000"/>
              </a:solidFill>
              <a:latin typeface="Calibri"/>
            </a:defRPr>
          </a:lvl9pPr>
        </a:lstStyle>
        <a:p xmlns:a="http://schemas.openxmlformats.org/drawingml/2006/main">
          <a:pPr algn="ctr"/>
          <a:endParaRPr lang="es-CO" sz="800" b="0" i="0">
            <a:solidFill>
              <a:srgbClr val="0070C0"/>
            </a:solidFill>
            <a:latin typeface="Cambria"/>
          </a:endParaRPr>
        </a:p>
      </cdr:txBody>
    </cdr:sp>
  </cdr:relSizeAnchor>
  <cdr:relSizeAnchor xmlns:cdr="http://schemas.openxmlformats.org/drawingml/2006/chartDrawing">
    <cdr:from>
      <cdr:x>0.92832</cdr:x>
      <cdr:y>0.8586</cdr:y>
    </cdr:from>
    <cdr:to>
      <cdr:x>0.99045</cdr:x>
      <cdr:y>0.91445</cdr:y>
    </cdr:to>
    <cdr:sp macro="" textlink="">
      <cdr:nvSpPr>
        <cdr:cNvPr id="16" name="2 CuadroTexto"/>
        <cdr:cNvSpPr txBox="1"/>
      </cdr:nvSpPr>
      <cdr:spPr>
        <a:xfrm xmlns:a="http://schemas.openxmlformats.org/drawingml/2006/main">
          <a:off x="9006512" y="3240949"/>
          <a:ext cx="602812" cy="210816"/>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tx1"/>
        </a:fontRef>
      </cdr:style>
      <cdr:txBody>
        <a:bodyPr xmlns:a="http://schemas.openxmlformats.org/drawingml/2006/main" wrap="square" rtlCol="0" anchor="ctr">
          <a:noAutofit/>
        </a:bodyPr>
        <a:lstStyle xmlns:a="http://schemas.openxmlformats.org/drawingml/2006/main">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xmlns:a="http://schemas.openxmlformats.org/drawingml/2006/main">
          <a:pPr algn="ctr"/>
          <a:endParaRPr lang="es-CO" sz="800" b="0" i="0">
            <a:solidFill>
              <a:srgbClr val="0070C0"/>
            </a:solidFill>
            <a:latin typeface="Cambria"/>
          </a:endParaRPr>
        </a:p>
      </cdr:txBody>
    </cdr:sp>
  </cdr:relSizeAnchor>
  <cdr:relSizeAnchor xmlns:cdr="http://schemas.openxmlformats.org/drawingml/2006/chartDrawing">
    <cdr:from>
      <cdr:x>0.87816</cdr:x>
      <cdr:y>0.01652</cdr:y>
    </cdr:from>
    <cdr:to>
      <cdr:x>0.90674</cdr:x>
      <cdr:y>0.30284</cdr:y>
    </cdr:to>
    <cdr:sp macro="" textlink="">
      <cdr:nvSpPr>
        <cdr:cNvPr id="19" name="2 CuadroTexto"/>
        <cdr:cNvSpPr txBox="1"/>
      </cdr:nvSpPr>
      <cdr:spPr>
        <a:xfrm xmlns:a="http://schemas.openxmlformats.org/drawingml/2006/main" rot="16200000">
          <a:off x="8062497" y="464976"/>
          <a:ext cx="1080764" cy="275501"/>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tx1"/>
        </a:fontRef>
      </cdr:style>
      <cdr:txBody>
        <a:bodyPr xmlns:a="http://schemas.openxmlformats.org/drawingml/2006/main" wrap="square" rtlCol="0" anchor="ctr">
          <a:noAutofit/>
        </a:bodyPr>
        <a:lstStyle xmlns:a="http://schemas.openxmlformats.org/drawingml/2006/main">
          <a:lvl1pPr marL="0" indent="0">
            <a:defRPr sz="1100">
              <a:solidFill>
                <a:sysClr val="windowText" lastClr="000000"/>
              </a:solidFill>
              <a:latin typeface="Calibri"/>
            </a:defRPr>
          </a:lvl1pPr>
          <a:lvl2pPr marL="457200" indent="0">
            <a:defRPr sz="1100">
              <a:solidFill>
                <a:sysClr val="windowText" lastClr="000000"/>
              </a:solidFill>
              <a:latin typeface="Calibri"/>
            </a:defRPr>
          </a:lvl2pPr>
          <a:lvl3pPr marL="914400" indent="0">
            <a:defRPr sz="1100">
              <a:solidFill>
                <a:sysClr val="windowText" lastClr="000000"/>
              </a:solidFill>
              <a:latin typeface="Calibri"/>
            </a:defRPr>
          </a:lvl3pPr>
          <a:lvl4pPr marL="1371600" indent="0">
            <a:defRPr sz="1100">
              <a:solidFill>
                <a:sysClr val="windowText" lastClr="000000"/>
              </a:solidFill>
              <a:latin typeface="Calibri"/>
            </a:defRPr>
          </a:lvl4pPr>
          <a:lvl5pPr marL="1828800" indent="0">
            <a:defRPr sz="1100">
              <a:solidFill>
                <a:sysClr val="windowText" lastClr="000000"/>
              </a:solidFill>
              <a:latin typeface="Calibri"/>
            </a:defRPr>
          </a:lvl5pPr>
          <a:lvl6pPr marL="2286000" indent="0">
            <a:defRPr sz="1100">
              <a:solidFill>
                <a:sysClr val="windowText" lastClr="000000"/>
              </a:solidFill>
              <a:latin typeface="Calibri"/>
            </a:defRPr>
          </a:lvl6pPr>
          <a:lvl7pPr marL="2743200" indent="0">
            <a:defRPr sz="1100">
              <a:solidFill>
                <a:sysClr val="windowText" lastClr="000000"/>
              </a:solidFill>
              <a:latin typeface="Calibri"/>
            </a:defRPr>
          </a:lvl7pPr>
          <a:lvl8pPr marL="3200400" indent="0">
            <a:defRPr sz="1100">
              <a:solidFill>
                <a:sysClr val="windowText" lastClr="000000"/>
              </a:solidFill>
              <a:latin typeface="Calibri"/>
            </a:defRPr>
          </a:lvl8pPr>
          <a:lvl9pPr marL="3657600" indent="0">
            <a:defRPr sz="1100">
              <a:solidFill>
                <a:sysClr val="windowText" lastClr="000000"/>
              </a:solidFill>
              <a:latin typeface="Calibri"/>
            </a:defRPr>
          </a:lvl9pPr>
        </a:lstStyle>
        <a:p xmlns:a="http://schemas.openxmlformats.org/drawingml/2006/main">
          <a:pPr algn="l"/>
          <a:endParaRPr lang="es-CO" sz="800" b="0" i="0">
            <a:latin typeface="Cambria"/>
          </a:endParaRPr>
        </a:p>
      </cdr:txBody>
    </cdr:sp>
  </cdr:relSizeAnchor>
  <cdr:relSizeAnchor xmlns:cdr="http://schemas.openxmlformats.org/drawingml/2006/chartDrawing">
    <cdr:from>
      <cdr:x>0.07475</cdr:x>
      <cdr:y>0.19396</cdr:y>
    </cdr:from>
    <cdr:to>
      <cdr:x>0.0985</cdr:x>
      <cdr:y>0.42297</cdr:y>
    </cdr:to>
    <cdr:sp macro="" textlink="">
      <cdr:nvSpPr>
        <cdr:cNvPr id="23" name="22 CuadroTexto"/>
        <cdr:cNvSpPr txBox="1"/>
      </cdr:nvSpPr>
      <cdr:spPr>
        <a:xfrm xmlns:a="http://schemas.openxmlformats.org/drawingml/2006/main" rot="16200000">
          <a:off x="364034" y="1119100"/>
          <a:ext cx="914400" cy="225136"/>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endParaRPr lang="es-ES" sz="800">
            <a:latin typeface="Cambria" pitchFamily="18" charset="0"/>
          </a:endParaRPr>
        </a:p>
      </cdr:txBody>
    </cdr:sp>
  </cdr:relSizeAnchor>
  <cdr:relSizeAnchor xmlns:cdr="http://schemas.openxmlformats.org/drawingml/2006/chartDrawing">
    <cdr:from>
      <cdr:x>0.1396</cdr:x>
      <cdr:y>0.20264</cdr:y>
    </cdr:from>
    <cdr:to>
      <cdr:x>0.16152</cdr:x>
      <cdr:y>0.43164</cdr:y>
    </cdr:to>
    <cdr:sp macro="" textlink="">
      <cdr:nvSpPr>
        <cdr:cNvPr id="24" name="23 CuadroTexto"/>
        <cdr:cNvSpPr txBox="1"/>
      </cdr:nvSpPr>
      <cdr:spPr>
        <a:xfrm xmlns:a="http://schemas.openxmlformats.org/drawingml/2006/main" rot="16200000">
          <a:off x="970171" y="1162396"/>
          <a:ext cx="914400" cy="207818"/>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endParaRPr lang="es-ES" sz="800">
            <a:latin typeface="Cambria" pitchFamily="18" charset="0"/>
          </a:endParaRPr>
        </a:p>
      </cdr:txBody>
    </cdr:sp>
  </cdr:relSizeAnchor>
  <cdr:relSizeAnchor xmlns:cdr="http://schemas.openxmlformats.org/drawingml/2006/chartDrawing">
    <cdr:from>
      <cdr:x>0.35698</cdr:x>
      <cdr:y>0.17445</cdr:y>
    </cdr:from>
    <cdr:to>
      <cdr:x>0.3789</cdr:x>
      <cdr:y>0.40346</cdr:y>
    </cdr:to>
    <cdr:sp macro="" textlink="">
      <cdr:nvSpPr>
        <cdr:cNvPr id="25" name="24 CuadroTexto"/>
        <cdr:cNvSpPr txBox="1"/>
      </cdr:nvSpPr>
      <cdr:spPr>
        <a:xfrm xmlns:a="http://schemas.openxmlformats.org/drawingml/2006/main" rot="16200000">
          <a:off x="3030991" y="1049843"/>
          <a:ext cx="914409" cy="207808"/>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endParaRPr lang="es-ES" sz="800">
            <a:latin typeface="Cambria" pitchFamily="18" charset="0"/>
          </a:endParaRPr>
        </a:p>
      </cdr:txBody>
    </cdr:sp>
  </cdr:relSizeAnchor>
  <cdr:relSizeAnchor xmlns:cdr="http://schemas.openxmlformats.org/drawingml/2006/chartDrawing">
    <cdr:from>
      <cdr:x>0.9385</cdr:x>
      <cdr:y>0.18221</cdr:y>
    </cdr:from>
    <cdr:to>
      <cdr:x>0.95768</cdr:x>
      <cdr:y>0.41121</cdr:y>
    </cdr:to>
    <cdr:sp macro="" textlink="">
      <cdr:nvSpPr>
        <cdr:cNvPr id="32" name="31 CuadroTexto"/>
        <cdr:cNvSpPr txBox="1"/>
      </cdr:nvSpPr>
      <cdr:spPr>
        <a:xfrm xmlns:a="http://schemas.openxmlformats.org/drawingml/2006/main" rot="16200000">
          <a:off x="9529024" y="1082804"/>
          <a:ext cx="913670" cy="202016"/>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endParaRPr lang="es-ES" sz="800">
            <a:latin typeface="Cambria" pitchFamily="18" charset="0"/>
          </a:endParaRPr>
        </a:p>
      </cdr:txBody>
    </cdr:sp>
  </cdr:relSizeAnchor>
  <cdr:relSizeAnchor xmlns:cdr="http://schemas.openxmlformats.org/drawingml/2006/chartDrawing">
    <cdr:from>
      <cdr:x>0.7796</cdr:x>
      <cdr:y>0.15442</cdr:y>
    </cdr:from>
    <cdr:to>
      <cdr:x>0.79176</cdr:x>
      <cdr:y>0.36758</cdr:y>
    </cdr:to>
    <cdr:sp macro="" textlink="">
      <cdr:nvSpPr>
        <cdr:cNvPr id="3" name="2 CuadroTexto"/>
        <cdr:cNvSpPr txBox="1"/>
      </cdr:nvSpPr>
      <cdr:spPr>
        <a:xfrm xmlns:a="http://schemas.openxmlformats.org/drawingml/2006/main">
          <a:off x="7893113" y="616124"/>
          <a:ext cx="123149" cy="850447"/>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s-MX" sz="800"/>
        </a:p>
      </cdr:txBody>
    </cdr:sp>
  </cdr:relSizeAnchor>
  <cdr:relSizeAnchor xmlns:cdr="http://schemas.openxmlformats.org/drawingml/2006/chartDrawing">
    <cdr:from>
      <cdr:x>0.78807</cdr:x>
      <cdr:y>0.15715</cdr:y>
    </cdr:from>
    <cdr:to>
      <cdr:x>0.80308</cdr:x>
      <cdr:y>0.32324</cdr:y>
    </cdr:to>
    <cdr:sp macro="" textlink="">
      <cdr:nvSpPr>
        <cdr:cNvPr id="27" name="2 CuadroTexto"/>
        <cdr:cNvSpPr txBox="1"/>
      </cdr:nvSpPr>
      <cdr:spPr>
        <a:xfrm xmlns:a="http://schemas.openxmlformats.org/drawingml/2006/main" rot="16200000">
          <a:off x="7723484" y="882363"/>
          <a:ext cx="662667" cy="151959"/>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tx1"/>
        </a:fontRef>
      </cdr:style>
      <cdr:txBody>
        <a:bodyPr xmlns:a="http://schemas.openxmlformats.org/drawingml/2006/main" wrap="square" rtlCol="0" anchor="ctr">
          <a:noAutofit/>
        </a:bodyPr>
        <a:lstStyle xmlns:a="http://schemas.openxmlformats.org/drawingml/2006/main">
          <a:lvl1pPr marL="0" indent="0">
            <a:defRPr sz="1100">
              <a:solidFill>
                <a:sysClr val="windowText" lastClr="000000"/>
              </a:solidFill>
              <a:latin typeface="Calibri"/>
            </a:defRPr>
          </a:lvl1pPr>
          <a:lvl2pPr marL="457200" indent="0">
            <a:defRPr sz="1100">
              <a:solidFill>
                <a:sysClr val="windowText" lastClr="000000"/>
              </a:solidFill>
              <a:latin typeface="Calibri"/>
            </a:defRPr>
          </a:lvl2pPr>
          <a:lvl3pPr marL="914400" indent="0">
            <a:defRPr sz="1100">
              <a:solidFill>
                <a:sysClr val="windowText" lastClr="000000"/>
              </a:solidFill>
              <a:latin typeface="Calibri"/>
            </a:defRPr>
          </a:lvl3pPr>
          <a:lvl4pPr marL="1371600" indent="0">
            <a:defRPr sz="1100">
              <a:solidFill>
                <a:sysClr val="windowText" lastClr="000000"/>
              </a:solidFill>
              <a:latin typeface="Calibri"/>
            </a:defRPr>
          </a:lvl4pPr>
          <a:lvl5pPr marL="1828800" indent="0">
            <a:defRPr sz="1100">
              <a:solidFill>
                <a:sysClr val="windowText" lastClr="000000"/>
              </a:solidFill>
              <a:latin typeface="Calibri"/>
            </a:defRPr>
          </a:lvl5pPr>
          <a:lvl6pPr marL="2286000" indent="0">
            <a:defRPr sz="1100">
              <a:solidFill>
                <a:sysClr val="windowText" lastClr="000000"/>
              </a:solidFill>
              <a:latin typeface="Calibri"/>
            </a:defRPr>
          </a:lvl6pPr>
          <a:lvl7pPr marL="2743200" indent="0">
            <a:defRPr sz="1100">
              <a:solidFill>
                <a:sysClr val="windowText" lastClr="000000"/>
              </a:solidFill>
              <a:latin typeface="Calibri"/>
            </a:defRPr>
          </a:lvl7pPr>
          <a:lvl8pPr marL="3200400" indent="0">
            <a:defRPr sz="1100">
              <a:solidFill>
                <a:sysClr val="windowText" lastClr="000000"/>
              </a:solidFill>
              <a:latin typeface="Calibri"/>
            </a:defRPr>
          </a:lvl8pPr>
          <a:lvl9pPr marL="3657600" indent="0">
            <a:defRPr sz="1100">
              <a:solidFill>
                <a:sysClr val="windowText" lastClr="000000"/>
              </a:solidFill>
              <a:latin typeface="Calibri"/>
            </a:defRPr>
          </a:lvl9pPr>
        </a:lstStyle>
        <a:p xmlns:a="http://schemas.openxmlformats.org/drawingml/2006/main">
          <a:pPr algn="l"/>
          <a:endParaRPr lang="es-CO" sz="600" b="0" i="0" baseline="0">
            <a:latin typeface="Arial" pitchFamily="34" charset="0"/>
          </a:endParaRPr>
        </a:p>
      </cdr:txBody>
    </cdr:sp>
  </cdr:relSizeAnchor>
  <cdr:relSizeAnchor xmlns:cdr="http://schemas.openxmlformats.org/drawingml/2006/chartDrawing">
    <cdr:from>
      <cdr:x>0.22305</cdr:x>
      <cdr:y>0.39743</cdr:y>
    </cdr:from>
    <cdr:to>
      <cdr:x>0.24992</cdr:x>
      <cdr:y>0.52382</cdr:y>
    </cdr:to>
    <cdr:sp macro="" textlink="">
      <cdr:nvSpPr>
        <cdr:cNvPr id="42" name="41 CuadroTexto"/>
        <cdr:cNvSpPr txBox="1"/>
      </cdr:nvSpPr>
      <cdr:spPr>
        <a:xfrm xmlns:a="http://schemas.openxmlformats.org/drawingml/2006/main">
          <a:off x="2326026" y="1585670"/>
          <a:ext cx="280151" cy="504267"/>
        </a:xfrm>
        <a:prstGeom xmlns:a="http://schemas.openxmlformats.org/drawingml/2006/main" prst="rect">
          <a:avLst/>
        </a:prstGeom>
      </cdr:spPr>
      <cdr:txBody>
        <a:bodyPr xmlns:a="http://schemas.openxmlformats.org/drawingml/2006/main" vertOverflow="clip" vert="vert270" wrap="square" rtlCol="0" anchor="ctr"/>
        <a:lstStyle xmlns:a="http://schemas.openxmlformats.org/drawingml/2006/main"/>
        <a:p xmlns:a="http://schemas.openxmlformats.org/drawingml/2006/main">
          <a:pPr algn="ctr"/>
          <a:endParaRPr lang="es-MX" sz="800">
            <a:latin typeface="Arial" pitchFamily="34" charset="0"/>
            <a:cs typeface="Arial" pitchFamily="34" charset="0"/>
          </a:endParaRPr>
        </a:p>
      </cdr:txBody>
    </cdr:sp>
  </cdr:relSizeAnchor>
  <cdr:relSizeAnchor xmlns:cdr="http://schemas.openxmlformats.org/drawingml/2006/chartDrawing">
    <cdr:from>
      <cdr:x>0.94596</cdr:x>
      <cdr:y>0.38932</cdr:y>
    </cdr:from>
    <cdr:to>
      <cdr:x>0.97073</cdr:x>
      <cdr:y>0.58508</cdr:y>
    </cdr:to>
    <cdr:sp macro="" textlink="">
      <cdr:nvSpPr>
        <cdr:cNvPr id="49" name="48 CuadroTexto"/>
        <cdr:cNvSpPr txBox="1"/>
      </cdr:nvSpPr>
      <cdr:spPr>
        <a:xfrm xmlns:a="http://schemas.openxmlformats.org/drawingml/2006/main">
          <a:off x="9856757" y="1553308"/>
          <a:ext cx="258061" cy="781059"/>
        </a:xfrm>
        <a:prstGeom xmlns:a="http://schemas.openxmlformats.org/drawingml/2006/main" prst="rect">
          <a:avLst/>
        </a:prstGeom>
      </cdr:spPr>
      <cdr:txBody>
        <a:bodyPr xmlns:a="http://schemas.openxmlformats.org/drawingml/2006/main" vertOverflow="clip" vert="vert270" wrap="square" rtlCol="0" anchor="ctr"/>
        <a:lstStyle xmlns:a="http://schemas.openxmlformats.org/drawingml/2006/main"/>
        <a:p xmlns:a="http://schemas.openxmlformats.org/drawingml/2006/main">
          <a:pPr algn="ctr"/>
          <a:endParaRPr lang="es-MX" sz="800">
            <a:latin typeface="Arial" pitchFamily="34" charset="0"/>
            <a:cs typeface="Arial" pitchFamily="34" charset="0"/>
          </a:endParaRPr>
        </a:p>
      </cdr:txBody>
    </cdr:sp>
  </cdr:relSizeAnchor>
  <cdr:relSizeAnchor xmlns:cdr="http://schemas.openxmlformats.org/drawingml/2006/chartDrawing">
    <cdr:from>
      <cdr:x>0.69339</cdr:x>
      <cdr:y>0.51167</cdr:y>
    </cdr:from>
    <cdr:to>
      <cdr:x>0.72502</cdr:x>
      <cdr:y>0.83575</cdr:y>
    </cdr:to>
    <cdr:sp macro="" textlink="">
      <cdr:nvSpPr>
        <cdr:cNvPr id="57" name="56 CuadroTexto"/>
        <cdr:cNvSpPr txBox="1"/>
      </cdr:nvSpPr>
      <cdr:spPr>
        <a:xfrm xmlns:a="http://schemas.openxmlformats.org/drawingml/2006/main">
          <a:off x="7291046" y="2041471"/>
          <a:ext cx="332593" cy="1293023"/>
        </a:xfrm>
        <a:prstGeom xmlns:a="http://schemas.openxmlformats.org/drawingml/2006/main" prst="rect">
          <a:avLst/>
        </a:prstGeom>
      </cdr:spPr>
      <cdr:txBody>
        <a:bodyPr xmlns:a="http://schemas.openxmlformats.org/drawingml/2006/main" vertOverflow="clip" vert="vert270" wrap="square" rtlCol="0" anchor="ctr"/>
        <a:lstStyle xmlns:a="http://schemas.openxmlformats.org/drawingml/2006/main"/>
        <a:p xmlns:a="http://schemas.openxmlformats.org/drawingml/2006/main">
          <a:pPr algn="ctr"/>
          <a:endParaRPr lang="es-MX" sz="800">
            <a:latin typeface="Arial" pitchFamily="34" charset="0"/>
            <a:cs typeface="Arial" pitchFamily="34" charset="0"/>
          </a:endParaRPr>
        </a:p>
      </cdr:txBody>
    </cdr:sp>
  </cdr:relSizeAnchor>
  <cdr:relSizeAnchor xmlns:cdr="http://schemas.openxmlformats.org/drawingml/2006/chartDrawing">
    <cdr:from>
      <cdr:x>0.95186</cdr:x>
      <cdr:y>0.40283</cdr:y>
    </cdr:from>
    <cdr:to>
      <cdr:x>0.97552</cdr:x>
      <cdr:y>0.59403</cdr:y>
    </cdr:to>
    <cdr:sp macro="" textlink="">
      <cdr:nvSpPr>
        <cdr:cNvPr id="62" name="61 CuadroTexto"/>
        <cdr:cNvSpPr txBox="1"/>
      </cdr:nvSpPr>
      <cdr:spPr>
        <a:xfrm xmlns:a="http://schemas.openxmlformats.org/drawingml/2006/main">
          <a:off x="10008857" y="1607236"/>
          <a:ext cx="248837" cy="762851"/>
        </a:xfrm>
        <a:prstGeom xmlns:a="http://schemas.openxmlformats.org/drawingml/2006/main" prst="rect">
          <a:avLst/>
        </a:prstGeom>
      </cdr:spPr>
      <cdr:txBody>
        <a:bodyPr xmlns:a="http://schemas.openxmlformats.org/drawingml/2006/main" vertOverflow="clip" vert="vert270" wrap="square" rtlCol="0" anchor="ctr"/>
        <a:lstStyle xmlns:a="http://schemas.openxmlformats.org/drawingml/2006/main"/>
        <a:p xmlns:a="http://schemas.openxmlformats.org/drawingml/2006/main">
          <a:pPr algn="ctr"/>
          <a:endParaRPr lang="es-MX" sz="800">
            <a:latin typeface="Arial" pitchFamily="34" charset="0"/>
            <a:cs typeface="Arial" pitchFamily="34" charset="0"/>
          </a:endParaRPr>
        </a:p>
      </cdr:txBody>
    </cdr:sp>
  </cdr:relSizeAnchor>
  <cdr:relSizeAnchor xmlns:cdr="http://schemas.openxmlformats.org/drawingml/2006/chartDrawing">
    <cdr:from>
      <cdr:x>0.94619</cdr:x>
      <cdr:y>0.38791</cdr:y>
    </cdr:from>
    <cdr:to>
      <cdr:x>0.96986</cdr:x>
      <cdr:y>0.57911</cdr:y>
    </cdr:to>
    <cdr:sp macro="" textlink="">
      <cdr:nvSpPr>
        <cdr:cNvPr id="68" name="67 CuadroTexto"/>
        <cdr:cNvSpPr txBox="1"/>
      </cdr:nvSpPr>
      <cdr:spPr>
        <a:xfrm xmlns:a="http://schemas.openxmlformats.org/drawingml/2006/main">
          <a:off x="9949319" y="1547687"/>
          <a:ext cx="248892" cy="762854"/>
        </a:xfrm>
        <a:prstGeom xmlns:a="http://schemas.openxmlformats.org/drawingml/2006/main" prst="rect">
          <a:avLst/>
        </a:prstGeom>
      </cdr:spPr>
      <cdr:txBody>
        <a:bodyPr xmlns:a="http://schemas.openxmlformats.org/drawingml/2006/main" vertOverflow="clip" vert="vert270" wrap="square" rtlCol="0" anchor="ctr"/>
        <a:lstStyle xmlns:a="http://schemas.openxmlformats.org/drawingml/2006/main"/>
        <a:p xmlns:a="http://schemas.openxmlformats.org/drawingml/2006/main">
          <a:pPr algn="ctr"/>
          <a:endParaRPr lang="es-MX" sz="800">
            <a:latin typeface="Arial" pitchFamily="34" charset="0"/>
            <a:cs typeface="Arial" pitchFamily="34" charset="0"/>
          </a:endParaRPr>
        </a:p>
      </cdr:txBody>
    </cdr:sp>
  </cdr:relSizeAnchor>
  <cdr:relSizeAnchor xmlns:cdr="http://schemas.openxmlformats.org/drawingml/2006/chartDrawing">
    <cdr:from>
      <cdr:x>0.20789</cdr:x>
      <cdr:y>0.25682</cdr:y>
    </cdr:from>
    <cdr:to>
      <cdr:x>0.23951</cdr:x>
      <cdr:y>0.58091</cdr:y>
    </cdr:to>
    <cdr:sp macro="" textlink="">
      <cdr:nvSpPr>
        <cdr:cNvPr id="70" name="69 CuadroTexto"/>
        <cdr:cNvSpPr txBox="1"/>
      </cdr:nvSpPr>
      <cdr:spPr>
        <a:xfrm xmlns:a="http://schemas.openxmlformats.org/drawingml/2006/main">
          <a:off x="2203755" y="1024659"/>
          <a:ext cx="335198" cy="1293062"/>
        </a:xfrm>
        <a:prstGeom xmlns:a="http://schemas.openxmlformats.org/drawingml/2006/main" prst="rect">
          <a:avLst/>
        </a:prstGeom>
      </cdr:spPr>
      <cdr:txBody>
        <a:bodyPr xmlns:a="http://schemas.openxmlformats.org/drawingml/2006/main" vertOverflow="clip" vert="vert270" wrap="square" rtlCol="0" anchor="ctr"/>
        <a:lstStyle xmlns:a="http://schemas.openxmlformats.org/drawingml/2006/main"/>
        <a:p xmlns:a="http://schemas.openxmlformats.org/drawingml/2006/main">
          <a:pPr algn="ctr"/>
          <a:endParaRPr lang="es-MX" sz="800">
            <a:latin typeface="Arial" pitchFamily="34" charset="0"/>
            <a:cs typeface="Arial" pitchFamily="34" charset="0"/>
          </a:endParaRPr>
        </a:p>
      </cdr:txBody>
    </cdr:sp>
  </cdr:relSizeAnchor>
  <cdr:relSizeAnchor xmlns:cdr="http://schemas.openxmlformats.org/drawingml/2006/chartDrawing">
    <cdr:from>
      <cdr:x>0.94553</cdr:x>
      <cdr:y>0.31172</cdr:y>
    </cdr:from>
    <cdr:to>
      <cdr:x>0.97715</cdr:x>
      <cdr:y>0.63581</cdr:y>
    </cdr:to>
    <cdr:sp macro="" textlink="">
      <cdr:nvSpPr>
        <cdr:cNvPr id="71" name="70 CuadroTexto"/>
        <cdr:cNvSpPr txBox="1"/>
      </cdr:nvSpPr>
      <cdr:spPr>
        <a:xfrm xmlns:a="http://schemas.openxmlformats.org/drawingml/2006/main">
          <a:off x="9973535" y="1243725"/>
          <a:ext cx="333530" cy="1293063"/>
        </a:xfrm>
        <a:prstGeom xmlns:a="http://schemas.openxmlformats.org/drawingml/2006/main" prst="rect">
          <a:avLst/>
        </a:prstGeom>
      </cdr:spPr>
      <cdr:txBody>
        <a:bodyPr xmlns:a="http://schemas.openxmlformats.org/drawingml/2006/main" vertOverflow="clip" vert="vert270" wrap="square" rtlCol="0" anchor="ctr"/>
        <a:lstStyle xmlns:a="http://schemas.openxmlformats.org/drawingml/2006/main"/>
        <a:p xmlns:a="http://schemas.openxmlformats.org/drawingml/2006/main">
          <a:pPr algn="ctr"/>
          <a:endParaRPr lang="es-MX" sz="800">
            <a:latin typeface="Arial" pitchFamily="34" charset="0"/>
            <a:cs typeface="Arial" pitchFamily="34" charset="0"/>
          </a:endParaRPr>
        </a:p>
      </cdr:txBody>
    </cdr:sp>
  </cdr:relSizeAnchor>
  <cdr:relSizeAnchor xmlns:cdr="http://schemas.openxmlformats.org/drawingml/2006/chartDrawing">
    <cdr:from>
      <cdr:x>0.85986</cdr:x>
      <cdr:y>0.36295</cdr:y>
    </cdr:from>
    <cdr:to>
      <cdr:x>0.87305</cdr:x>
      <cdr:y>0.56098</cdr:y>
    </cdr:to>
    <cdr:sp macro="" textlink="">
      <cdr:nvSpPr>
        <cdr:cNvPr id="73" name="72 CuadroTexto"/>
        <cdr:cNvSpPr txBox="1"/>
      </cdr:nvSpPr>
      <cdr:spPr>
        <a:xfrm xmlns:a="http://schemas.openxmlformats.org/drawingml/2006/main">
          <a:off x="9069816" y="1448087"/>
          <a:ext cx="139213" cy="790114"/>
        </a:xfrm>
        <a:prstGeom xmlns:a="http://schemas.openxmlformats.org/drawingml/2006/main" prst="rect">
          <a:avLst/>
        </a:prstGeom>
      </cdr:spPr>
      <cdr:txBody>
        <a:bodyPr xmlns:a="http://schemas.openxmlformats.org/drawingml/2006/main" vertOverflow="clip" vert="vert270" wrap="square" rtlCol="0" anchor="ctr"/>
        <a:lstStyle xmlns:a="http://schemas.openxmlformats.org/drawingml/2006/main"/>
        <a:p xmlns:a="http://schemas.openxmlformats.org/drawingml/2006/main">
          <a:pPr algn="ctr"/>
          <a:endParaRPr lang="es-MX" sz="800">
            <a:latin typeface="Arial" pitchFamily="34" charset="0"/>
            <a:cs typeface="Arial" pitchFamily="34" charset="0"/>
          </a:endParaRPr>
        </a:p>
      </cdr:txBody>
    </cdr:sp>
  </cdr:relSizeAnchor>
  <cdr:relSizeAnchor xmlns:cdr="http://schemas.openxmlformats.org/drawingml/2006/chartDrawing">
    <cdr:from>
      <cdr:x>0.92446</cdr:x>
      <cdr:y>0.38607</cdr:y>
    </cdr:from>
    <cdr:to>
      <cdr:x>0.94346</cdr:x>
      <cdr:y>0.53894</cdr:y>
    </cdr:to>
    <cdr:sp macro="" textlink="">
      <cdr:nvSpPr>
        <cdr:cNvPr id="75" name="74 CuadroTexto"/>
        <cdr:cNvSpPr txBox="1"/>
      </cdr:nvSpPr>
      <cdr:spPr>
        <a:xfrm xmlns:a="http://schemas.openxmlformats.org/drawingml/2006/main">
          <a:off x="9751222" y="1540366"/>
          <a:ext cx="200492" cy="609911"/>
        </a:xfrm>
        <a:prstGeom xmlns:a="http://schemas.openxmlformats.org/drawingml/2006/main" prst="rect">
          <a:avLst/>
        </a:prstGeom>
      </cdr:spPr>
      <cdr:txBody>
        <a:bodyPr xmlns:a="http://schemas.openxmlformats.org/drawingml/2006/main" vertOverflow="clip" vert="vert270" wrap="square" rtlCol="0" anchor="ctr"/>
        <a:lstStyle xmlns:a="http://schemas.openxmlformats.org/drawingml/2006/main"/>
        <a:p xmlns:a="http://schemas.openxmlformats.org/drawingml/2006/main">
          <a:pPr algn="ctr"/>
          <a:endParaRPr lang="es-MX" sz="800">
            <a:latin typeface="Arial" pitchFamily="34" charset="0"/>
            <a:cs typeface="Arial" pitchFamily="34" charset="0"/>
          </a:endParaRPr>
        </a:p>
      </cdr:txBody>
    </cdr:sp>
  </cdr:relSizeAnchor>
  <cdr:relSizeAnchor xmlns:cdr="http://schemas.openxmlformats.org/drawingml/2006/chartDrawing">
    <cdr:from>
      <cdr:x>0.90552</cdr:x>
      <cdr:y>0.44043</cdr:y>
    </cdr:from>
    <cdr:to>
      <cdr:x>0.91802</cdr:x>
      <cdr:y>0.60248</cdr:y>
    </cdr:to>
    <cdr:sp macro="" textlink="">
      <cdr:nvSpPr>
        <cdr:cNvPr id="77" name="76 CuadroTexto"/>
        <cdr:cNvSpPr txBox="1"/>
      </cdr:nvSpPr>
      <cdr:spPr>
        <a:xfrm xmlns:a="http://schemas.openxmlformats.org/drawingml/2006/main">
          <a:off x="9538818" y="1757243"/>
          <a:ext cx="131677" cy="646551"/>
        </a:xfrm>
        <a:prstGeom xmlns:a="http://schemas.openxmlformats.org/drawingml/2006/main" prst="rect">
          <a:avLst/>
        </a:prstGeom>
      </cdr:spPr>
      <cdr:txBody>
        <a:bodyPr xmlns:a="http://schemas.openxmlformats.org/drawingml/2006/main" vertOverflow="clip" vert="vert270" wrap="square" rtlCol="0" anchor="ctr"/>
        <a:lstStyle xmlns:a="http://schemas.openxmlformats.org/drawingml/2006/main"/>
        <a:p xmlns:a="http://schemas.openxmlformats.org/drawingml/2006/main">
          <a:pPr algn="ctr"/>
          <a:endParaRPr lang="es-MX" sz="800">
            <a:latin typeface="Arial" pitchFamily="34" charset="0"/>
            <a:cs typeface="Arial" pitchFamily="34" charset="0"/>
          </a:endParaRPr>
        </a:p>
      </cdr:txBody>
    </cdr:sp>
  </cdr:relSizeAnchor>
  <cdr:relSizeAnchor xmlns:cdr="http://schemas.openxmlformats.org/drawingml/2006/chartDrawing">
    <cdr:from>
      <cdr:x>0.24656</cdr:x>
      <cdr:y>0.45497</cdr:y>
    </cdr:from>
    <cdr:to>
      <cdr:x>0.26904</cdr:x>
      <cdr:y>0.62686</cdr:y>
    </cdr:to>
    <cdr:sp macro="" textlink="">
      <cdr:nvSpPr>
        <cdr:cNvPr id="82" name="81 CuadroTexto"/>
        <cdr:cNvSpPr txBox="1"/>
      </cdr:nvSpPr>
      <cdr:spPr>
        <a:xfrm xmlns:a="http://schemas.openxmlformats.org/drawingml/2006/main">
          <a:off x="2613711" y="1815263"/>
          <a:ext cx="238307" cy="685810"/>
        </a:xfrm>
        <a:prstGeom xmlns:a="http://schemas.openxmlformats.org/drawingml/2006/main" prst="rect">
          <a:avLst/>
        </a:prstGeom>
      </cdr:spPr>
      <cdr:txBody>
        <a:bodyPr xmlns:a="http://schemas.openxmlformats.org/drawingml/2006/main" vertOverflow="clip" vert="vert270" wrap="square" rtlCol="0" anchor="ctr"/>
        <a:lstStyle xmlns:a="http://schemas.openxmlformats.org/drawingml/2006/main"/>
        <a:p xmlns:a="http://schemas.openxmlformats.org/drawingml/2006/main">
          <a:pPr algn="ctr"/>
          <a:endParaRPr lang="es-MX" sz="800">
            <a:latin typeface="Arial" pitchFamily="34" charset="0"/>
            <a:cs typeface="Arial" pitchFamily="34" charset="0"/>
          </a:endParaRPr>
        </a:p>
      </cdr:txBody>
    </cdr:sp>
  </cdr:relSizeAnchor>
  <cdr:relSizeAnchor xmlns:cdr="http://schemas.openxmlformats.org/drawingml/2006/chartDrawing">
    <cdr:from>
      <cdr:x>0.22858</cdr:x>
      <cdr:y>0.38574</cdr:y>
    </cdr:from>
    <cdr:to>
      <cdr:x>0.25106</cdr:x>
      <cdr:y>0.60119</cdr:y>
    </cdr:to>
    <cdr:sp macro="" textlink="">
      <cdr:nvSpPr>
        <cdr:cNvPr id="96" name="95 CuadroTexto"/>
        <cdr:cNvSpPr txBox="1"/>
      </cdr:nvSpPr>
      <cdr:spPr>
        <a:xfrm xmlns:a="http://schemas.openxmlformats.org/drawingml/2006/main">
          <a:off x="2423166" y="1539046"/>
          <a:ext cx="238306" cy="859614"/>
        </a:xfrm>
        <a:prstGeom xmlns:a="http://schemas.openxmlformats.org/drawingml/2006/main" prst="rect">
          <a:avLst/>
        </a:prstGeom>
      </cdr:spPr>
      <cdr:txBody>
        <a:bodyPr xmlns:a="http://schemas.openxmlformats.org/drawingml/2006/main" vertOverflow="clip" vert="vert270" wrap="square" rtlCol="0" anchor="ctr"/>
        <a:lstStyle xmlns:a="http://schemas.openxmlformats.org/drawingml/2006/main"/>
        <a:p xmlns:a="http://schemas.openxmlformats.org/drawingml/2006/main">
          <a:pPr algn="ctr"/>
          <a:endParaRPr lang="es-MX" sz="800">
            <a:latin typeface="Arial" pitchFamily="34" charset="0"/>
            <a:cs typeface="Arial" pitchFamily="34" charset="0"/>
          </a:endParaRPr>
        </a:p>
      </cdr:txBody>
    </cdr:sp>
  </cdr:relSizeAnchor>
  <cdr:relSizeAnchor xmlns:cdr="http://schemas.openxmlformats.org/drawingml/2006/chartDrawing">
    <cdr:from>
      <cdr:x>0.23757</cdr:x>
      <cdr:y>0.40245</cdr:y>
    </cdr:from>
    <cdr:to>
      <cdr:x>0.26005</cdr:x>
      <cdr:y>0.70146</cdr:y>
    </cdr:to>
    <cdr:sp macro="" textlink="">
      <cdr:nvSpPr>
        <cdr:cNvPr id="97" name="96 CuadroTexto"/>
        <cdr:cNvSpPr txBox="1"/>
      </cdr:nvSpPr>
      <cdr:spPr>
        <a:xfrm xmlns:a="http://schemas.openxmlformats.org/drawingml/2006/main">
          <a:off x="2518416" y="1605720"/>
          <a:ext cx="238306" cy="1192990"/>
        </a:xfrm>
        <a:prstGeom xmlns:a="http://schemas.openxmlformats.org/drawingml/2006/main" prst="rect">
          <a:avLst/>
        </a:prstGeom>
      </cdr:spPr>
      <cdr:txBody>
        <a:bodyPr xmlns:a="http://schemas.openxmlformats.org/drawingml/2006/main" vertOverflow="clip" vert="vert270" wrap="square" rtlCol="0" anchor="ctr"/>
        <a:lstStyle xmlns:a="http://schemas.openxmlformats.org/drawingml/2006/main"/>
        <a:p xmlns:a="http://schemas.openxmlformats.org/drawingml/2006/main">
          <a:pPr algn="ctr"/>
          <a:endParaRPr lang="es-MX" sz="800">
            <a:latin typeface="Arial" pitchFamily="34" charset="0"/>
            <a:cs typeface="Arial" pitchFamily="34" charset="0"/>
          </a:endParaRPr>
        </a:p>
      </cdr:txBody>
    </cdr:sp>
  </cdr:relSizeAnchor>
  <cdr:relSizeAnchor xmlns:cdr="http://schemas.openxmlformats.org/drawingml/2006/chartDrawing">
    <cdr:from>
      <cdr:x>0.16031</cdr:x>
      <cdr:y>0.37142</cdr:y>
    </cdr:from>
    <cdr:to>
      <cdr:x>0.18278</cdr:x>
      <cdr:y>0.67997</cdr:y>
    </cdr:to>
    <cdr:sp macro="" textlink="">
      <cdr:nvSpPr>
        <cdr:cNvPr id="103" name="102 CuadroTexto"/>
        <cdr:cNvSpPr txBox="1"/>
      </cdr:nvSpPr>
      <cdr:spPr>
        <a:xfrm xmlns:a="http://schemas.openxmlformats.org/drawingml/2006/main">
          <a:off x="1699363" y="1481920"/>
          <a:ext cx="238306" cy="1231060"/>
        </a:xfrm>
        <a:prstGeom xmlns:a="http://schemas.openxmlformats.org/drawingml/2006/main" prst="rect">
          <a:avLst/>
        </a:prstGeom>
      </cdr:spPr>
      <cdr:txBody>
        <a:bodyPr xmlns:a="http://schemas.openxmlformats.org/drawingml/2006/main" vertOverflow="clip" vert="vert270" wrap="square" rtlCol="0" anchor="ctr"/>
        <a:lstStyle xmlns:a="http://schemas.openxmlformats.org/drawingml/2006/main"/>
        <a:p xmlns:a="http://schemas.openxmlformats.org/drawingml/2006/main">
          <a:pPr algn="ctr"/>
          <a:endParaRPr lang="es-MX" sz="800">
            <a:latin typeface="Arial" pitchFamily="34" charset="0"/>
            <a:cs typeface="Arial" pitchFamily="34" charset="0"/>
          </a:endParaRPr>
        </a:p>
      </cdr:txBody>
    </cdr:sp>
  </cdr:relSizeAnchor>
  <cdr:relSizeAnchor xmlns:cdr="http://schemas.openxmlformats.org/drawingml/2006/chartDrawing">
    <cdr:from>
      <cdr:x>0.14951</cdr:x>
      <cdr:y>0.39291</cdr:y>
    </cdr:from>
    <cdr:to>
      <cdr:x>0.17199</cdr:x>
      <cdr:y>0.67043</cdr:y>
    </cdr:to>
    <cdr:sp macro="" textlink="">
      <cdr:nvSpPr>
        <cdr:cNvPr id="108" name="107 CuadroTexto"/>
        <cdr:cNvSpPr txBox="1"/>
      </cdr:nvSpPr>
      <cdr:spPr>
        <a:xfrm xmlns:a="http://schemas.openxmlformats.org/drawingml/2006/main">
          <a:off x="1584928" y="1567629"/>
          <a:ext cx="238307" cy="1107256"/>
        </a:xfrm>
        <a:prstGeom xmlns:a="http://schemas.openxmlformats.org/drawingml/2006/main" prst="rect">
          <a:avLst/>
        </a:prstGeom>
      </cdr:spPr>
      <cdr:txBody>
        <a:bodyPr xmlns:a="http://schemas.openxmlformats.org/drawingml/2006/main" vertOverflow="clip" vert="vert270" wrap="square" rtlCol="0" anchor="ctr"/>
        <a:lstStyle xmlns:a="http://schemas.openxmlformats.org/drawingml/2006/main"/>
        <a:p xmlns:a="http://schemas.openxmlformats.org/drawingml/2006/main">
          <a:pPr algn="ctr"/>
          <a:endParaRPr lang="es-MX" sz="800">
            <a:latin typeface="Arial" pitchFamily="34" charset="0"/>
            <a:cs typeface="Arial" pitchFamily="34" charset="0"/>
          </a:endParaRPr>
        </a:p>
      </cdr:txBody>
    </cdr:sp>
  </cdr:relSizeAnchor>
  <cdr:relSizeAnchor xmlns:cdr="http://schemas.openxmlformats.org/drawingml/2006/chartDrawing">
    <cdr:from>
      <cdr:x>0.20971</cdr:x>
      <cdr:y>0.37142</cdr:y>
    </cdr:from>
    <cdr:to>
      <cdr:x>0.23219</cdr:x>
      <cdr:y>0.56061</cdr:y>
    </cdr:to>
    <cdr:sp macro="" textlink="">
      <cdr:nvSpPr>
        <cdr:cNvPr id="109" name="108 CuadroTexto"/>
        <cdr:cNvSpPr txBox="1"/>
      </cdr:nvSpPr>
      <cdr:spPr>
        <a:xfrm xmlns:a="http://schemas.openxmlformats.org/drawingml/2006/main">
          <a:off x="2223141" y="1481896"/>
          <a:ext cx="238306" cy="754839"/>
        </a:xfrm>
        <a:prstGeom xmlns:a="http://schemas.openxmlformats.org/drawingml/2006/main" prst="rect">
          <a:avLst/>
        </a:prstGeom>
      </cdr:spPr>
      <cdr:txBody>
        <a:bodyPr xmlns:a="http://schemas.openxmlformats.org/drawingml/2006/main" vertOverflow="clip" vert="vert270" wrap="square" rtlCol="0" anchor="ctr"/>
        <a:lstStyle xmlns:a="http://schemas.openxmlformats.org/drawingml/2006/main"/>
        <a:p xmlns:a="http://schemas.openxmlformats.org/drawingml/2006/main">
          <a:pPr algn="ctr"/>
          <a:endParaRPr lang="es-MX" sz="800">
            <a:latin typeface="Arial" pitchFamily="34" charset="0"/>
            <a:cs typeface="Arial" pitchFamily="34" charset="0"/>
          </a:endParaRPr>
        </a:p>
      </cdr:txBody>
    </cdr:sp>
  </cdr:relSizeAnchor>
  <cdr:relSizeAnchor xmlns:cdr="http://schemas.openxmlformats.org/drawingml/2006/chartDrawing">
    <cdr:from>
      <cdr:x>0.57581</cdr:x>
      <cdr:y>0.00104</cdr:y>
    </cdr:from>
    <cdr:to>
      <cdr:x>0.95354</cdr:x>
      <cdr:y>0.11699</cdr:y>
    </cdr:to>
    <cdr:sp macro="" textlink="">
      <cdr:nvSpPr>
        <cdr:cNvPr id="2" name="1 CuadroTexto"/>
        <cdr:cNvSpPr txBox="1"/>
      </cdr:nvSpPr>
      <cdr:spPr>
        <a:xfrm xmlns:a="http://schemas.openxmlformats.org/drawingml/2006/main">
          <a:off x="6036080" y="4142"/>
          <a:ext cx="3959678" cy="462643"/>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s-CO" sz="1100"/>
        </a:p>
      </cdr:txBody>
    </cdr:sp>
  </cdr:relSizeAnchor>
  <cdr:relSizeAnchor xmlns:cdr="http://schemas.openxmlformats.org/drawingml/2006/chartDrawing">
    <cdr:from>
      <cdr:x>0.04864</cdr:x>
      <cdr:y>0.86472</cdr:y>
    </cdr:from>
    <cdr:to>
      <cdr:x>0.1021</cdr:x>
      <cdr:y>0.92056</cdr:y>
    </cdr:to>
    <cdr:sp macro="" textlink="">
      <cdr:nvSpPr>
        <cdr:cNvPr id="4" name="2 CuadroTexto"/>
        <cdr:cNvSpPr txBox="1"/>
      </cdr:nvSpPr>
      <cdr:spPr>
        <a:xfrm xmlns:a="http://schemas.openxmlformats.org/drawingml/2006/main">
          <a:off x="471880" y="3264033"/>
          <a:ext cx="518732" cy="210778"/>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tx1"/>
        </a:fontRef>
      </cdr:style>
      <cdr:txBody>
        <a:bodyPr xmlns:a="http://schemas.openxmlformats.org/drawingml/2006/main" wrap="square" rtlCol="0" anchor="ctr">
          <a:noAutofit/>
        </a:bodyPr>
        <a:lstStyle xmlns:a="http://schemas.openxmlformats.org/drawingml/2006/main">
          <a:lvl1pPr marL="0" indent="0">
            <a:defRPr sz="1100">
              <a:solidFill>
                <a:sysClr val="windowText" lastClr="000000"/>
              </a:solidFill>
              <a:latin typeface="Calibri"/>
            </a:defRPr>
          </a:lvl1pPr>
          <a:lvl2pPr marL="457200" indent="0">
            <a:defRPr sz="1100">
              <a:solidFill>
                <a:sysClr val="windowText" lastClr="000000"/>
              </a:solidFill>
              <a:latin typeface="Calibri"/>
            </a:defRPr>
          </a:lvl2pPr>
          <a:lvl3pPr marL="914400" indent="0">
            <a:defRPr sz="1100">
              <a:solidFill>
                <a:sysClr val="windowText" lastClr="000000"/>
              </a:solidFill>
              <a:latin typeface="Calibri"/>
            </a:defRPr>
          </a:lvl3pPr>
          <a:lvl4pPr marL="1371600" indent="0">
            <a:defRPr sz="1100">
              <a:solidFill>
                <a:sysClr val="windowText" lastClr="000000"/>
              </a:solidFill>
              <a:latin typeface="Calibri"/>
            </a:defRPr>
          </a:lvl4pPr>
          <a:lvl5pPr marL="1828800" indent="0">
            <a:defRPr sz="1100">
              <a:solidFill>
                <a:sysClr val="windowText" lastClr="000000"/>
              </a:solidFill>
              <a:latin typeface="Calibri"/>
            </a:defRPr>
          </a:lvl5pPr>
          <a:lvl6pPr marL="2286000" indent="0">
            <a:defRPr sz="1100">
              <a:solidFill>
                <a:sysClr val="windowText" lastClr="000000"/>
              </a:solidFill>
              <a:latin typeface="Calibri"/>
            </a:defRPr>
          </a:lvl6pPr>
          <a:lvl7pPr marL="2743200" indent="0">
            <a:defRPr sz="1100">
              <a:solidFill>
                <a:sysClr val="windowText" lastClr="000000"/>
              </a:solidFill>
              <a:latin typeface="Calibri"/>
            </a:defRPr>
          </a:lvl7pPr>
          <a:lvl8pPr marL="3200400" indent="0">
            <a:defRPr sz="1100">
              <a:solidFill>
                <a:sysClr val="windowText" lastClr="000000"/>
              </a:solidFill>
              <a:latin typeface="Calibri"/>
            </a:defRPr>
          </a:lvl8pPr>
          <a:lvl9pPr marL="3657600" indent="0">
            <a:defRPr sz="1100">
              <a:solidFill>
                <a:sysClr val="windowText" lastClr="000000"/>
              </a:solidFill>
              <a:latin typeface="Calibri"/>
            </a:defRPr>
          </a:lvl9pPr>
        </a:lstStyle>
        <a:p xmlns:a="http://schemas.openxmlformats.org/drawingml/2006/main">
          <a:pPr algn="ctr"/>
          <a:endParaRPr lang="es-CO" sz="800" b="0" i="0">
            <a:solidFill>
              <a:srgbClr val="0070C0"/>
            </a:solidFill>
            <a:latin typeface="Cambria"/>
          </a:endParaRPr>
        </a:p>
      </cdr:txBody>
    </cdr:sp>
  </cdr:relSizeAnchor>
  <cdr:relSizeAnchor xmlns:cdr="http://schemas.openxmlformats.org/drawingml/2006/chartDrawing">
    <cdr:from>
      <cdr:x>0.48364</cdr:x>
      <cdr:y>0.86056</cdr:y>
    </cdr:from>
    <cdr:to>
      <cdr:x>0.55218</cdr:x>
      <cdr:y>0.91641</cdr:y>
    </cdr:to>
    <cdr:sp macro="" textlink="">
      <cdr:nvSpPr>
        <cdr:cNvPr id="5" name="2 CuadroTexto"/>
        <cdr:cNvSpPr txBox="1"/>
      </cdr:nvSpPr>
      <cdr:spPr>
        <a:xfrm xmlns:a="http://schemas.openxmlformats.org/drawingml/2006/main">
          <a:off x="4692264" y="3248341"/>
          <a:ext cx="665026" cy="210815"/>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tx1"/>
        </a:fontRef>
      </cdr:style>
      <cdr:txBody>
        <a:bodyPr xmlns:a="http://schemas.openxmlformats.org/drawingml/2006/main" wrap="square" rtlCol="0" anchor="ctr">
          <a:noAutofit/>
        </a:bodyPr>
        <a:lstStyle xmlns:a="http://schemas.openxmlformats.org/drawingml/2006/main">
          <a:lvl1pPr marL="0" indent="0">
            <a:defRPr sz="1100">
              <a:solidFill>
                <a:sysClr val="windowText" lastClr="000000"/>
              </a:solidFill>
              <a:latin typeface="Calibri"/>
            </a:defRPr>
          </a:lvl1pPr>
          <a:lvl2pPr marL="457200" indent="0">
            <a:defRPr sz="1100">
              <a:solidFill>
                <a:sysClr val="windowText" lastClr="000000"/>
              </a:solidFill>
              <a:latin typeface="Calibri"/>
            </a:defRPr>
          </a:lvl2pPr>
          <a:lvl3pPr marL="914400" indent="0">
            <a:defRPr sz="1100">
              <a:solidFill>
                <a:sysClr val="windowText" lastClr="000000"/>
              </a:solidFill>
              <a:latin typeface="Calibri"/>
            </a:defRPr>
          </a:lvl3pPr>
          <a:lvl4pPr marL="1371600" indent="0">
            <a:defRPr sz="1100">
              <a:solidFill>
                <a:sysClr val="windowText" lastClr="000000"/>
              </a:solidFill>
              <a:latin typeface="Calibri"/>
            </a:defRPr>
          </a:lvl4pPr>
          <a:lvl5pPr marL="1828800" indent="0">
            <a:defRPr sz="1100">
              <a:solidFill>
                <a:sysClr val="windowText" lastClr="000000"/>
              </a:solidFill>
              <a:latin typeface="Calibri"/>
            </a:defRPr>
          </a:lvl5pPr>
          <a:lvl6pPr marL="2286000" indent="0">
            <a:defRPr sz="1100">
              <a:solidFill>
                <a:sysClr val="windowText" lastClr="000000"/>
              </a:solidFill>
              <a:latin typeface="Calibri"/>
            </a:defRPr>
          </a:lvl6pPr>
          <a:lvl7pPr marL="2743200" indent="0">
            <a:defRPr sz="1100">
              <a:solidFill>
                <a:sysClr val="windowText" lastClr="000000"/>
              </a:solidFill>
              <a:latin typeface="Calibri"/>
            </a:defRPr>
          </a:lvl7pPr>
          <a:lvl8pPr marL="3200400" indent="0">
            <a:defRPr sz="1100">
              <a:solidFill>
                <a:sysClr val="windowText" lastClr="000000"/>
              </a:solidFill>
              <a:latin typeface="Calibri"/>
            </a:defRPr>
          </a:lvl8pPr>
          <a:lvl9pPr marL="3657600" indent="0">
            <a:defRPr sz="1100">
              <a:solidFill>
                <a:sysClr val="windowText" lastClr="000000"/>
              </a:solidFill>
              <a:latin typeface="Calibri"/>
            </a:defRPr>
          </a:lvl9pPr>
        </a:lstStyle>
        <a:p xmlns:a="http://schemas.openxmlformats.org/drawingml/2006/main">
          <a:pPr algn="ctr"/>
          <a:endParaRPr lang="es-CO" sz="800" b="0" i="0">
            <a:solidFill>
              <a:srgbClr val="0070C0"/>
            </a:solidFill>
            <a:latin typeface="Cambria"/>
          </a:endParaRPr>
        </a:p>
      </cdr:txBody>
    </cdr:sp>
  </cdr:relSizeAnchor>
  <cdr:relSizeAnchor xmlns:cdr="http://schemas.openxmlformats.org/drawingml/2006/chartDrawing">
    <cdr:from>
      <cdr:x>0.92832</cdr:x>
      <cdr:y>0.8586</cdr:y>
    </cdr:from>
    <cdr:to>
      <cdr:x>0.99045</cdr:x>
      <cdr:y>0.91445</cdr:y>
    </cdr:to>
    <cdr:sp macro="" textlink="">
      <cdr:nvSpPr>
        <cdr:cNvPr id="7" name="2 CuadroTexto"/>
        <cdr:cNvSpPr txBox="1"/>
      </cdr:nvSpPr>
      <cdr:spPr>
        <a:xfrm xmlns:a="http://schemas.openxmlformats.org/drawingml/2006/main">
          <a:off x="9006512" y="3240949"/>
          <a:ext cx="602812" cy="210816"/>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tx1"/>
        </a:fontRef>
      </cdr:style>
      <cdr:txBody>
        <a:bodyPr xmlns:a="http://schemas.openxmlformats.org/drawingml/2006/main" wrap="square" rtlCol="0" anchor="ctr">
          <a:noAutofit/>
        </a:bodyPr>
        <a:lstStyle xmlns:a="http://schemas.openxmlformats.org/drawingml/2006/main">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xmlns:a="http://schemas.openxmlformats.org/drawingml/2006/main">
          <a:pPr algn="ctr"/>
          <a:endParaRPr lang="es-CO" sz="800" b="0" i="0">
            <a:solidFill>
              <a:srgbClr val="0070C0"/>
            </a:solidFill>
            <a:latin typeface="Cambria"/>
          </a:endParaRPr>
        </a:p>
      </cdr:txBody>
    </cdr:sp>
  </cdr:relSizeAnchor>
  <cdr:relSizeAnchor xmlns:cdr="http://schemas.openxmlformats.org/drawingml/2006/chartDrawing">
    <cdr:from>
      <cdr:x>0.87816</cdr:x>
      <cdr:y>0.01652</cdr:y>
    </cdr:from>
    <cdr:to>
      <cdr:x>0.90674</cdr:x>
      <cdr:y>0.30284</cdr:y>
    </cdr:to>
    <cdr:sp macro="" textlink="">
      <cdr:nvSpPr>
        <cdr:cNvPr id="9" name="2 CuadroTexto"/>
        <cdr:cNvSpPr txBox="1"/>
      </cdr:nvSpPr>
      <cdr:spPr>
        <a:xfrm xmlns:a="http://schemas.openxmlformats.org/drawingml/2006/main" rot="16200000">
          <a:off x="8062497" y="464976"/>
          <a:ext cx="1080764" cy="275501"/>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tx1"/>
        </a:fontRef>
      </cdr:style>
      <cdr:txBody>
        <a:bodyPr xmlns:a="http://schemas.openxmlformats.org/drawingml/2006/main" wrap="square" rtlCol="0" anchor="ctr">
          <a:noAutofit/>
        </a:bodyPr>
        <a:lstStyle xmlns:a="http://schemas.openxmlformats.org/drawingml/2006/main">
          <a:lvl1pPr marL="0" indent="0">
            <a:defRPr sz="1100">
              <a:solidFill>
                <a:sysClr val="windowText" lastClr="000000"/>
              </a:solidFill>
              <a:latin typeface="Calibri"/>
            </a:defRPr>
          </a:lvl1pPr>
          <a:lvl2pPr marL="457200" indent="0">
            <a:defRPr sz="1100">
              <a:solidFill>
                <a:sysClr val="windowText" lastClr="000000"/>
              </a:solidFill>
              <a:latin typeface="Calibri"/>
            </a:defRPr>
          </a:lvl2pPr>
          <a:lvl3pPr marL="914400" indent="0">
            <a:defRPr sz="1100">
              <a:solidFill>
                <a:sysClr val="windowText" lastClr="000000"/>
              </a:solidFill>
              <a:latin typeface="Calibri"/>
            </a:defRPr>
          </a:lvl3pPr>
          <a:lvl4pPr marL="1371600" indent="0">
            <a:defRPr sz="1100">
              <a:solidFill>
                <a:sysClr val="windowText" lastClr="000000"/>
              </a:solidFill>
              <a:latin typeface="Calibri"/>
            </a:defRPr>
          </a:lvl4pPr>
          <a:lvl5pPr marL="1828800" indent="0">
            <a:defRPr sz="1100">
              <a:solidFill>
                <a:sysClr val="windowText" lastClr="000000"/>
              </a:solidFill>
              <a:latin typeface="Calibri"/>
            </a:defRPr>
          </a:lvl5pPr>
          <a:lvl6pPr marL="2286000" indent="0">
            <a:defRPr sz="1100">
              <a:solidFill>
                <a:sysClr val="windowText" lastClr="000000"/>
              </a:solidFill>
              <a:latin typeface="Calibri"/>
            </a:defRPr>
          </a:lvl6pPr>
          <a:lvl7pPr marL="2743200" indent="0">
            <a:defRPr sz="1100">
              <a:solidFill>
                <a:sysClr val="windowText" lastClr="000000"/>
              </a:solidFill>
              <a:latin typeface="Calibri"/>
            </a:defRPr>
          </a:lvl7pPr>
          <a:lvl8pPr marL="3200400" indent="0">
            <a:defRPr sz="1100">
              <a:solidFill>
                <a:sysClr val="windowText" lastClr="000000"/>
              </a:solidFill>
              <a:latin typeface="Calibri"/>
            </a:defRPr>
          </a:lvl8pPr>
          <a:lvl9pPr marL="3657600" indent="0">
            <a:defRPr sz="1100">
              <a:solidFill>
                <a:sysClr val="windowText" lastClr="000000"/>
              </a:solidFill>
              <a:latin typeface="Calibri"/>
            </a:defRPr>
          </a:lvl9pPr>
        </a:lstStyle>
        <a:p xmlns:a="http://schemas.openxmlformats.org/drawingml/2006/main">
          <a:pPr algn="l"/>
          <a:endParaRPr lang="es-CO" sz="800" b="0" i="0">
            <a:latin typeface="Cambria"/>
          </a:endParaRPr>
        </a:p>
      </cdr:txBody>
    </cdr:sp>
  </cdr:relSizeAnchor>
  <cdr:relSizeAnchor xmlns:cdr="http://schemas.openxmlformats.org/drawingml/2006/chartDrawing">
    <cdr:from>
      <cdr:x>0.1396</cdr:x>
      <cdr:y>0.20264</cdr:y>
    </cdr:from>
    <cdr:to>
      <cdr:x>0.16152</cdr:x>
      <cdr:y>0.43164</cdr:y>
    </cdr:to>
    <cdr:sp macro="" textlink="">
      <cdr:nvSpPr>
        <cdr:cNvPr id="15" name="23 CuadroTexto"/>
        <cdr:cNvSpPr txBox="1"/>
      </cdr:nvSpPr>
      <cdr:spPr>
        <a:xfrm xmlns:a="http://schemas.openxmlformats.org/drawingml/2006/main" rot="16200000">
          <a:off x="970171" y="1162396"/>
          <a:ext cx="914400" cy="207818"/>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endParaRPr lang="es-ES" sz="800">
            <a:latin typeface="Cambria" pitchFamily="18" charset="0"/>
          </a:endParaRPr>
        </a:p>
      </cdr:txBody>
    </cdr:sp>
  </cdr:relSizeAnchor>
  <cdr:relSizeAnchor xmlns:cdr="http://schemas.openxmlformats.org/drawingml/2006/chartDrawing">
    <cdr:from>
      <cdr:x>0.35698</cdr:x>
      <cdr:y>0.17445</cdr:y>
    </cdr:from>
    <cdr:to>
      <cdr:x>0.3789</cdr:x>
      <cdr:y>0.40346</cdr:y>
    </cdr:to>
    <cdr:sp macro="" textlink="">
      <cdr:nvSpPr>
        <cdr:cNvPr id="17" name="24 CuadroTexto"/>
        <cdr:cNvSpPr txBox="1"/>
      </cdr:nvSpPr>
      <cdr:spPr>
        <a:xfrm xmlns:a="http://schemas.openxmlformats.org/drawingml/2006/main" rot="16200000">
          <a:off x="3030991" y="1049843"/>
          <a:ext cx="914409" cy="207808"/>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endParaRPr lang="es-ES" sz="800">
            <a:latin typeface="Cambria" pitchFamily="18" charset="0"/>
          </a:endParaRPr>
        </a:p>
      </cdr:txBody>
    </cdr:sp>
  </cdr:relSizeAnchor>
  <cdr:relSizeAnchor xmlns:cdr="http://schemas.openxmlformats.org/drawingml/2006/chartDrawing">
    <cdr:from>
      <cdr:x>0.9385</cdr:x>
      <cdr:y>0.18221</cdr:y>
    </cdr:from>
    <cdr:to>
      <cdr:x>0.95768</cdr:x>
      <cdr:y>0.41121</cdr:y>
    </cdr:to>
    <cdr:sp macro="" textlink="">
      <cdr:nvSpPr>
        <cdr:cNvPr id="18" name="31 CuadroTexto"/>
        <cdr:cNvSpPr txBox="1"/>
      </cdr:nvSpPr>
      <cdr:spPr>
        <a:xfrm xmlns:a="http://schemas.openxmlformats.org/drawingml/2006/main" rot="16200000">
          <a:off x="9529024" y="1082804"/>
          <a:ext cx="913670" cy="202016"/>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endParaRPr lang="es-ES" sz="800">
            <a:latin typeface="Cambria" pitchFamily="18" charset="0"/>
          </a:endParaRPr>
        </a:p>
      </cdr:txBody>
    </cdr:sp>
  </cdr:relSizeAnchor>
  <cdr:relSizeAnchor xmlns:cdr="http://schemas.openxmlformats.org/drawingml/2006/chartDrawing">
    <cdr:from>
      <cdr:x>0.7796</cdr:x>
      <cdr:y>0.15442</cdr:y>
    </cdr:from>
    <cdr:to>
      <cdr:x>0.79176</cdr:x>
      <cdr:y>0.36758</cdr:y>
    </cdr:to>
    <cdr:sp macro="" textlink="">
      <cdr:nvSpPr>
        <cdr:cNvPr id="20" name="2 CuadroTexto"/>
        <cdr:cNvSpPr txBox="1"/>
      </cdr:nvSpPr>
      <cdr:spPr>
        <a:xfrm xmlns:a="http://schemas.openxmlformats.org/drawingml/2006/main">
          <a:off x="7893113" y="616124"/>
          <a:ext cx="123149" cy="850447"/>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s-MX" sz="800"/>
        </a:p>
      </cdr:txBody>
    </cdr:sp>
  </cdr:relSizeAnchor>
  <cdr:relSizeAnchor xmlns:cdr="http://schemas.openxmlformats.org/drawingml/2006/chartDrawing">
    <cdr:from>
      <cdr:x>0.78807</cdr:x>
      <cdr:y>0.15715</cdr:y>
    </cdr:from>
    <cdr:to>
      <cdr:x>0.80308</cdr:x>
      <cdr:y>0.32324</cdr:y>
    </cdr:to>
    <cdr:sp macro="" textlink="">
      <cdr:nvSpPr>
        <cdr:cNvPr id="21" name="2 CuadroTexto"/>
        <cdr:cNvSpPr txBox="1"/>
      </cdr:nvSpPr>
      <cdr:spPr>
        <a:xfrm xmlns:a="http://schemas.openxmlformats.org/drawingml/2006/main" rot="16200000">
          <a:off x="7723484" y="882363"/>
          <a:ext cx="662667" cy="151959"/>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tx1"/>
        </a:fontRef>
      </cdr:style>
      <cdr:txBody>
        <a:bodyPr xmlns:a="http://schemas.openxmlformats.org/drawingml/2006/main" wrap="square" rtlCol="0" anchor="ctr">
          <a:noAutofit/>
        </a:bodyPr>
        <a:lstStyle xmlns:a="http://schemas.openxmlformats.org/drawingml/2006/main">
          <a:lvl1pPr marL="0" indent="0">
            <a:defRPr sz="1100">
              <a:solidFill>
                <a:sysClr val="windowText" lastClr="000000"/>
              </a:solidFill>
              <a:latin typeface="Calibri"/>
            </a:defRPr>
          </a:lvl1pPr>
          <a:lvl2pPr marL="457200" indent="0">
            <a:defRPr sz="1100">
              <a:solidFill>
                <a:sysClr val="windowText" lastClr="000000"/>
              </a:solidFill>
              <a:latin typeface="Calibri"/>
            </a:defRPr>
          </a:lvl2pPr>
          <a:lvl3pPr marL="914400" indent="0">
            <a:defRPr sz="1100">
              <a:solidFill>
                <a:sysClr val="windowText" lastClr="000000"/>
              </a:solidFill>
              <a:latin typeface="Calibri"/>
            </a:defRPr>
          </a:lvl3pPr>
          <a:lvl4pPr marL="1371600" indent="0">
            <a:defRPr sz="1100">
              <a:solidFill>
                <a:sysClr val="windowText" lastClr="000000"/>
              </a:solidFill>
              <a:latin typeface="Calibri"/>
            </a:defRPr>
          </a:lvl4pPr>
          <a:lvl5pPr marL="1828800" indent="0">
            <a:defRPr sz="1100">
              <a:solidFill>
                <a:sysClr val="windowText" lastClr="000000"/>
              </a:solidFill>
              <a:latin typeface="Calibri"/>
            </a:defRPr>
          </a:lvl5pPr>
          <a:lvl6pPr marL="2286000" indent="0">
            <a:defRPr sz="1100">
              <a:solidFill>
                <a:sysClr val="windowText" lastClr="000000"/>
              </a:solidFill>
              <a:latin typeface="Calibri"/>
            </a:defRPr>
          </a:lvl6pPr>
          <a:lvl7pPr marL="2743200" indent="0">
            <a:defRPr sz="1100">
              <a:solidFill>
                <a:sysClr val="windowText" lastClr="000000"/>
              </a:solidFill>
              <a:latin typeface="Calibri"/>
            </a:defRPr>
          </a:lvl7pPr>
          <a:lvl8pPr marL="3200400" indent="0">
            <a:defRPr sz="1100">
              <a:solidFill>
                <a:sysClr val="windowText" lastClr="000000"/>
              </a:solidFill>
              <a:latin typeface="Calibri"/>
            </a:defRPr>
          </a:lvl8pPr>
          <a:lvl9pPr marL="3657600" indent="0">
            <a:defRPr sz="1100">
              <a:solidFill>
                <a:sysClr val="windowText" lastClr="000000"/>
              </a:solidFill>
              <a:latin typeface="Calibri"/>
            </a:defRPr>
          </a:lvl9pPr>
        </a:lstStyle>
        <a:p xmlns:a="http://schemas.openxmlformats.org/drawingml/2006/main">
          <a:pPr algn="l"/>
          <a:endParaRPr lang="es-CO" sz="600" b="0" i="0" baseline="0">
            <a:latin typeface="Arial" pitchFamily="34" charset="0"/>
          </a:endParaRPr>
        </a:p>
      </cdr:txBody>
    </cdr:sp>
  </cdr:relSizeAnchor>
  <cdr:relSizeAnchor xmlns:cdr="http://schemas.openxmlformats.org/drawingml/2006/chartDrawing">
    <cdr:from>
      <cdr:x>0.79038</cdr:x>
      <cdr:y>0.46013</cdr:y>
    </cdr:from>
    <cdr:to>
      <cdr:x>0.83654</cdr:x>
      <cdr:y>0.78784</cdr:y>
    </cdr:to>
    <cdr:sp macro="" textlink="">
      <cdr:nvSpPr>
        <cdr:cNvPr id="22" name="4 CuadroTexto"/>
        <cdr:cNvSpPr txBox="1"/>
      </cdr:nvSpPr>
      <cdr:spPr>
        <a:xfrm xmlns:a="http://schemas.openxmlformats.org/drawingml/2006/main">
          <a:off x="8326001" y="1835819"/>
          <a:ext cx="486256" cy="1307505"/>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s-MX" sz="1100"/>
        </a:p>
      </cdr:txBody>
    </cdr:sp>
  </cdr:relSizeAnchor>
  <cdr:relSizeAnchor xmlns:cdr="http://schemas.openxmlformats.org/drawingml/2006/chartDrawing">
    <cdr:from>
      <cdr:x>0.84527</cdr:x>
      <cdr:y>0.37396</cdr:y>
    </cdr:from>
    <cdr:to>
      <cdr:x>0.86958</cdr:x>
      <cdr:y>0.572</cdr:y>
    </cdr:to>
    <cdr:sp macro="" textlink="">
      <cdr:nvSpPr>
        <cdr:cNvPr id="30" name="29 CuadroTexto"/>
        <cdr:cNvSpPr txBox="1"/>
      </cdr:nvSpPr>
      <cdr:spPr>
        <a:xfrm xmlns:a="http://schemas.openxmlformats.org/drawingml/2006/main">
          <a:off x="8915987" y="1492048"/>
          <a:ext cx="256408" cy="790114"/>
        </a:xfrm>
        <a:prstGeom xmlns:a="http://schemas.openxmlformats.org/drawingml/2006/main" prst="rect">
          <a:avLst/>
        </a:prstGeom>
      </cdr:spPr>
      <cdr:txBody>
        <a:bodyPr xmlns:a="http://schemas.openxmlformats.org/drawingml/2006/main" vertOverflow="clip" vert="vert270" wrap="square" rtlCol="0" anchor="ctr"/>
        <a:lstStyle xmlns:a="http://schemas.openxmlformats.org/drawingml/2006/main"/>
        <a:p xmlns:a="http://schemas.openxmlformats.org/drawingml/2006/main">
          <a:pPr algn="ctr"/>
          <a:endParaRPr lang="es-MX" sz="800">
            <a:latin typeface="Arial" pitchFamily="34" charset="0"/>
            <a:cs typeface="Arial" pitchFamily="34" charset="0"/>
          </a:endParaRPr>
        </a:p>
      </cdr:txBody>
    </cdr:sp>
  </cdr:relSizeAnchor>
  <cdr:relSizeAnchor xmlns:cdr="http://schemas.openxmlformats.org/drawingml/2006/chartDrawing">
    <cdr:from>
      <cdr:x>0.88069</cdr:x>
      <cdr:y>0.3553</cdr:y>
    </cdr:from>
    <cdr:to>
      <cdr:x>0.90702</cdr:x>
      <cdr:y>0.51539</cdr:y>
    </cdr:to>
    <cdr:sp macro="" textlink="">
      <cdr:nvSpPr>
        <cdr:cNvPr id="33" name="32 CuadroTexto"/>
        <cdr:cNvSpPr txBox="1"/>
      </cdr:nvSpPr>
      <cdr:spPr>
        <a:xfrm xmlns:a="http://schemas.openxmlformats.org/drawingml/2006/main">
          <a:off x="9184031" y="1417583"/>
          <a:ext cx="274544" cy="638736"/>
        </a:xfrm>
        <a:prstGeom xmlns:a="http://schemas.openxmlformats.org/drawingml/2006/main" prst="rect">
          <a:avLst/>
        </a:prstGeom>
      </cdr:spPr>
      <cdr:txBody>
        <a:bodyPr xmlns:a="http://schemas.openxmlformats.org/drawingml/2006/main" vertOverflow="clip" vert="vert270" wrap="square" rtlCol="0"/>
        <a:lstStyle xmlns:a="http://schemas.openxmlformats.org/drawingml/2006/main"/>
        <a:p xmlns:a="http://schemas.openxmlformats.org/drawingml/2006/main">
          <a:endParaRPr lang="es-MX" sz="800">
            <a:latin typeface="Arial" pitchFamily="34" charset="0"/>
            <a:cs typeface="Arial" pitchFamily="34" charset="0"/>
          </a:endParaRPr>
        </a:p>
      </cdr:txBody>
    </cdr:sp>
  </cdr:relSizeAnchor>
  <cdr:relSizeAnchor xmlns:cdr="http://schemas.openxmlformats.org/drawingml/2006/chartDrawing">
    <cdr:from>
      <cdr:x>0.70519</cdr:x>
      <cdr:y>0.32137</cdr:y>
    </cdr:from>
    <cdr:to>
      <cdr:x>0.73152</cdr:x>
      <cdr:y>0.48146</cdr:y>
    </cdr:to>
    <cdr:sp macro="" textlink="">
      <cdr:nvSpPr>
        <cdr:cNvPr id="34" name="33 CuadroTexto"/>
        <cdr:cNvSpPr txBox="1"/>
      </cdr:nvSpPr>
      <cdr:spPr>
        <a:xfrm xmlns:a="http://schemas.openxmlformats.org/drawingml/2006/main">
          <a:off x="7427516" y="1282216"/>
          <a:ext cx="277324" cy="638730"/>
        </a:xfrm>
        <a:prstGeom xmlns:a="http://schemas.openxmlformats.org/drawingml/2006/main" prst="rect">
          <a:avLst/>
        </a:prstGeom>
      </cdr:spPr>
      <cdr:txBody>
        <a:bodyPr xmlns:a="http://schemas.openxmlformats.org/drawingml/2006/main" vertOverflow="clip" vert="vert270" wrap="square" rtlCol="0" anchor="ctr"/>
        <a:lstStyle xmlns:a="http://schemas.openxmlformats.org/drawingml/2006/main"/>
        <a:p xmlns:a="http://schemas.openxmlformats.org/drawingml/2006/main">
          <a:pPr algn="ctr"/>
          <a:endParaRPr lang="es-MX" sz="800">
            <a:latin typeface="Arial" pitchFamily="34" charset="0"/>
            <a:cs typeface="Arial" pitchFamily="34" charset="0"/>
          </a:endParaRPr>
        </a:p>
      </cdr:txBody>
    </cdr:sp>
  </cdr:relSizeAnchor>
  <cdr:relSizeAnchor xmlns:cdr="http://schemas.openxmlformats.org/drawingml/2006/chartDrawing">
    <cdr:from>
      <cdr:x>0.62709</cdr:x>
      <cdr:y>0.37636</cdr:y>
    </cdr:from>
    <cdr:to>
      <cdr:x>0.65342</cdr:x>
      <cdr:y>0.53646</cdr:y>
    </cdr:to>
    <cdr:sp macro="" textlink="">
      <cdr:nvSpPr>
        <cdr:cNvPr id="36" name="35 CuadroTexto"/>
        <cdr:cNvSpPr txBox="1"/>
      </cdr:nvSpPr>
      <cdr:spPr>
        <a:xfrm xmlns:a="http://schemas.openxmlformats.org/drawingml/2006/main">
          <a:off x="6539441" y="1501627"/>
          <a:ext cx="274544" cy="638736"/>
        </a:xfrm>
        <a:prstGeom xmlns:a="http://schemas.openxmlformats.org/drawingml/2006/main" prst="rect">
          <a:avLst/>
        </a:prstGeom>
      </cdr:spPr>
      <cdr:txBody>
        <a:bodyPr xmlns:a="http://schemas.openxmlformats.org/drawingml/2006/main" vertOverflow="clip" vert="vert270" wrap="square" rtlCol="0" anchor="ctr"/>
        <a:lstStyle xmlns:a="http://schemas.openxmlformats.org/drawingml/2006/main"/>
        <a:p xmlns:a="http://schemas.openxmlformats.org/drawingml/2006/main">
          <a:pPr algn="ctr"/>
          <a:endParaRPr lang="es-MX" sz="800">
            <a:latin typeface="Arial" pitchFamily="34" charset="0"/>
            <a:cs typeface="Arial" pitchFamily="34" charset="0"/>
          </a:endParaRPr>
        </a:p>
      </cdr:txBody>
    </cdr:sp>
  </cdr:relSizeAnchor>
  <cdr:relSizeAnchor xmlns:cdr="http://schemas.openxmlformats.org/drawingml/2006/chartDrawing">
    <cdr:from>
      <cdr:x>0.65573</cdr:x>
      <cdr:y>0.38335</cdr:y>
    </cdr:from>
    <cdr:to>
      <cdr:x>0.68049</cdr:x>
      <cdr:y>0.57911</cdr:y>
    </cdr:to>
    <cdr:sp macro="" textlink="">
      <cdr:nvSpPr>
        <cdr:cNvPr id="48" name="47 CuadroTexto"/>
        <cdr:cNvSpPr txBox="1"/>
      </cdr:nvSpPr>
      <cdr:spPr>
        <a:xfrm xmlns:a="http://schemas.openxmlformats.org/drawingml/2006/main">
          <a:off x="6832570" y="1529496"/>
          <a:ext cx="258061" cy="781059"/>
        </a:xfrm>
        <a:prstGeom xmlns:a="http://schemas.openxmlformats.org/drawingml/2006/main" prst="rect">
          <a:avLst/>
        </a:prstGeom>
      </cdr:spPr>
      <cdr:txBody>
        <a:bodyPr xmlns:a="http://schemas.openxmlformats.org/drawingml/2006/main" vertOverflow="clip" vert="vert270" wrap="square" rtlCol="0" anchor="ctr"/>
        <a:lstStyle xmlns:a="http://schemas.openxmlformats.org/drawingml/2006/main"/>
        <a:p xmlns:a="http://schemas.openxmlformats.org/drawingml/2006/main">
          <a:pPr algn="ctr"/>
          <a:endParaRPr lang="es-MX" sz="800">
            <a:latin typeface="Arial" pitchFamily="34" charset="0"/>
            <a:cs typeface="Arial" pitchFamily="34" charset="0"/>
          </a:endParaRPr>
        </a:p>
      </cdr:txBody>
    </cdr:sp>
  </cdr:relSizeAnchor>
  <cdr:relSizeAnchor xmlns:cdr="http://schemas.openxmlformats.org/drawingml/2006/chartDrawing">
    <cdr:from>
      <cdr:x>0.94596</cdr:x>
      <cdr:y>0.38932</cdr:y>
    </cdr:from>
    <cdr:to>
      <cdr:x>0.97073</cdr:x>
      <cdr:y>0.58508</cdr:y>
    </cdr:to>
    <cdr:sp macro="" textlink="">
      <cdr:nvSpPr>
        <cdr:cNvPr id="28" name="48 CuadroTexto"/>
        <cdr:cNvSpPr txBox="1"/>
      </cdr:nvSpPr>
      <cdr:spPr>
        <a:xfrm xmlns:a="http://schemas.openxmlformats.org/drawingml/2006/main">
          <a:off x="9856757" y="1553308"/>
          <a:ext cx="258061" cy="781059"/>
        </a:xfrm>
        <a:prstGeom xmlns:a="http://schemas.openxmlformats.org/drawingml/2006/main" prst="rect">
          <a:avLst/>
        </a:prstGeom>
      </cdr:spPr>
      <cdr:txBody>
        <a:bodyPr xmlns:a="http://schemas.openxmlformats.org/drawingml/2006/main" vertOverflow="clip" vert="vert270" wrap="square" rtlCol="0" anchor="ctr"/>
        <a:lstStyle xmlns:a="http://schemas.openxmlformats.org/drawingml/2006/main"/>
        <a:p xmlns:a="http://schemas.openxmlformats.org/drawingml/2006/main">
          <a:pPr algn="ctr"/>
          <a:endParaRPr lang="es-MX" sz="800">
            <a:latin typeface="Arial" pitchFamily="34" charset="0"/>
            <a:cs typeface="Arial" pitchFamily="34" charset="0"/>
          </a:endParaRPr>
        </a:p>
      </cdr:txBody>
    </cdr:sp>
  </cdr:relSizeAnchor>
  <cdr:relSizeAnchor xmlns:cdr="http://schemas.openxmlformats.org/drawingml/2006/chartDrawing">
    <cdr:from>
      <cdr:x>0.57117</cdr:x>
      <cdr:y>0.19535</cdr:y>
    </cdr:from>
    <cdr:to>
      <cdr:x>0.59708</cdr:x>
      <cdr:y>0.58508</cdr:y>
    </cdr:to>
    <cdr:sp macro="" textlink="">
      <cdr:nvSpPr>
        <cdr:cNvPr id="54" name="53 CuadroTexto"/>
        <cdr:cNvSpPr txBox="1"/>
      </cdr:nvSpPr>
      <cdr:spPr>
        <a:xfrm xmlns:a="http://schemas.openxmlformats.org/drawingml/2006/main">
          <a:off x="5951508" y="779400"/>
          <a:ext cx="269969" cy="1554966"/>
        </a:xfrm>
        <a:prstGeom xmlns:a="http://schemas.openxmlformats.org/drawingml/2006/main" prst="rect">
          <a:avLst/>
        </a:prstGeom>
      </cdr:spPr>
      <cdr:txBody>
        <a:bodyPr xmlns:a="http://schemas.openxmlformats.org/drawingml/2006/main" vertOverflow="clip" vert="vert270" wrap="square" rtlCol="0" anchor="ctr"/>
        <a:lstStyle xmlns:a="http://schemas.openxmlformats.org/drawingml/2006/main"/>
        <a:p xmlns:a="http://schemas.openxmlformats.org/drawingml/2006/main">
          <a:pPr algn="ctr"/>
          <a:endParaRPr lang="es-MX" sz="800">
            <a:latin typeface="Arial" pitchFamily="34" charset="0"/>
            <a:cs typeface="Arial" pitchFamily="34" charset="0"/>
          </a:endParaRPr>
        </a:p>
      </cdr:txBody>
    </cdr:sp>
  </cdr:relSizeAnchor>
  <cdr:relSizeAnchor xmlns:cdr="http://schemas.openxmlformats.org/drawingml/2006/chartDrawing">
    <cdr:from>
      <cdr:x>0.66565</cdr:x>
      <cdr:y>0.41916</cdr:y>
    </cdr:from>
    <cdr:to>
      <cdr:x>0.6927</cdr:x>
      <cdr:y>0.56419</cdr:y>
    </cdr:to>
    <cdr:sp macro="" textlink="">
      <cdr:nvSpPr>
        <cdr:cNvPr id="55" name="54 CuadroTexto"/>
        <cdr:cNvSpPr txBox="1"/>
      </cdr:nvSpPr>
      <cdr:spPr>
        <a:xfrm xmlns:a="http://schemas.openxmlformats.org/drawingml/2006/main">
          <a:off x="7056435" y="1672388"/>
          <a:ext cx="286752" cy="578644"/>
        </a:xfrm>
        <a:prstGeom xmlns:a="http://schemas.openxmlformats.org/drawingml/2006/main" prst="rect">
          <a:avLst/>
        </a:prstGeom>
      </cdr:spPr>
      <cdr:txBody>
        <a:bodyPr xmlns:a="http://schemas.openxmlformats.org/drawingml/2006/main" vertOverflow="clip" vert="vert270" wrap="square" rtlCol="0" anchor="ctr"/>
        <a:lstStyle xmlns:a="http://schemas.openxmlformats.org/drawingml/2006/main"/>
        <a:p xmlns:a="http://schemas.openxmlformats.org/drawingml/2006/main">
          <a:pPr algn="ctr"/>
          <a:endParaRPr lang="es-MX" sz="800">
            <a:latin typeface="Arial" pitchFamily="34" charset="0"/>
            <a:cs typeface="Arial" pitchFamily="34" charset="0"/>
          </a:endParaRPr>
        </a:p>
      </cdr:txBody>
    </cdr:sp>
  </cdr:relSizeAnchor>
  <cdr:relSizeAnchor xmlns:cdr="http://schemas.openxmlformats.org/drawingml/2006/chartDrawing">
    <cdr:from>
      <cdr:x>0.65132</cdr:x>
      <cdr:y>0.30874</cdr:y>
    </cdr:from>
    <cdr:to>
      <cdr:x>0.68294</cdr:x>
      <cdr:y>0.63283</cdr:y>
    </cdr:to>
    <cdr:sp macro="" textlink="">
      <cdr:nvSpPr>
        <cdr:cNvPr id="56" name="55 CuadroTexto"/>
        <cdr:cNvSpPr txBox="1"/>
      </cdr:nvSpPr>
      <cdr:spPr>
        <a:xfrm xmlns:a="http://schemas.openxmlformats.org/drawingml/2006/main">
          <a:off x="6848637" y="1231819"/>
          <a:ext cx="332487" cy="1293063"/>
        </a:xfrm>
        <a:prstGeom xmlns:a="http://schemas.openxmlformats.org/drawingml/2006/main" prst="rect">
          <a:avLst/>
        </a:prstGeom>
      </cdr:spPr>
      <cdr:txBody>
        <a:bodyPr xmlns:a="http://schemas.openxmlformats.org/drawingml/2006/main" vertOverflow="clip" vert="vert270" wrap="square" rtlCol="0" anchor="ctr"/>
        <a:lstStyle xmlns:a="http://schemas.openxmlformats.org/drawingml/2006/main"/>
        <a:p xmlns:a="http://schemas.openxmlformats.org/drawingml/2006/main">
          <a:pPr algn="ctr"/>
          <a:endParaRPr lang="es-MX" sz="800">
            <a:latin typeface="Arial" pitchFamily="34" charset="0"/>
            <a:cs typeface="Arial" pitchFamily="34" charset="0"/>
          </a:endParaRPr>
        </a:p>
      </cdr:txBody>
    </cdr:sp>
  </cdr:relSizeAnchor>
  <cdr:relSizeAnchor xmlns:cdr="http://schemas.openxmlformats.org/drawingml/2006/chartDrawing">
    <cdr:from>
      <cdr:x>0.69478</cdr:x>
      <cdr:y>0.38036</cdr:y>
    </cdr:from>
    <cdr:to>
      <cdr:x>0.72642</cdr:x>
      <cdr:y>0.56121</cdr:y>
    </cdr:to>
    <cdr:sp macro="" textlink="">
      <cdr:nvSpPr>
        <cdr:cNvPr id="58" name="57 CuadroTexto"/>
        <cdr:cNvSpPr txBox="1"/>
      </cdr:nvSpPr>
      <cdr:spPr>
        <a:xfrm xmlns:a="http://schemas.openxmlformats.org/drawingml/2006/main">
          <a:off x="7305630" y="1517580"/>
          <a:ext cx="332690" cy="721537"/>
        </a:xfrm>
        <a:prstGeom xmlns:a="http://schemas.openxmlformats.org/drawingml/2006/main" prst="rect">
          <a:avLst/>
        </a:prstGeom>
      </cdr:spPr>
      <cdr:txBody>
        <a:bodyPr xmlns:a="http://schemas.openxmlformats.org/drawingml/2006/main" vertOverflow="clip" vert="vert270" wrap="square" rtlCol="0" anchor="ctr"/>
        <a:lstStyle xmlns:a="http://schemas.openxmlformats.org/drawingml/2006/main"/>
        <a:p xmlns:a="http://schemas.openxmlformats.org/drawingml/2006/main">
          <a:pPr algn="ctr"/>
          <a:endParaRPr lang="es-MX" sz="800">
            <a:latin typeface="Arial" pitchFamily="34" charset="0"/>
            <a:cs typeface="Arial" pitchFamily="34" charset="0"/>
          </a:endParaRPr>
        </a:p>
      </cdr:txBody>
    </cdr:sp>
  </cdr:relSizeAnchor>
  <cdr:relSizeAnchor xmlns:cdr="http://schemas.openxmlformats.org/drawingml/2006/chartDrawing">
    <cdr:from>
      <cdr:x>0.65406</cdr:x>
      <cdr:y>0.38194</cdr:y>
    </cdr:from>
    <cdr:to>
      <cdr:x>0.67773</cdr:x>
      <cdr:y>0.57314</cdr:y>
    </cdr:to>
    <cdr:sp macro="" textlink="">
      <cdr:nvSpPr>
        <cdr:cNvPr id="61" name="60 CuadroTexto"/>
        <cdr:cNvSpPr txBox="1"/>
      </cdr:nvSpPr>
      <cdr:spPr>
        <a:xfrm xmlns:a="http://schemas.openxmlformats.org/drawingml/2006/main">
          <a:off x="6877505" y="1523893"/>
          <a:ext cx="248892" cy="762854"/>
        </a:xfrm>
        <a:prstGeom xmlns:a="http://schemas.openxmlformats.org/drawingml/2006/main" prst="rect">
          <a:avLst/>
        </a:prstGeom>
      </cdr:spPr>
      <cdr:txBody>
        <a:bodyPr xmlns:a="http://schemas.openxmlformats.org/drawingml/2006/main" vertOverflow="clip" vert="vert270" wrap="square" rtlCol="0" anchor="ctr"/>
        <a:lstStyle xmlns:a="http://schemas.openxmlformats.org/drawingml/2006/main"/>
        <a:p xmlns:a="http://schemas.openxmlformats.org/drawingml/2006/main">
          <a:pPr algn="ctr"/>
          <a:endParaRPr lang="es-MX" sz="800">
            <a:latin typeface="Arial" pitchFamily="34" charset="0"/>
            <a:cs typeface="Arial" pitchFamily="34" charset="0"/>
          </a:endParaRPr>
        </a:p>
      </cdr:txBody>
    </cdr:sp>
  </cdr:relSizeAnchor>
  <cdr:relSizeAnchor xmlns:cdr="http://schemas.openxmlformats.org/drawingml/2006/chartDrawing">
    <cdr:from>
      <cdr:x>0.95186</cdr:x>
      <cdr:y>0.40283</cdr:y>
    </cdr:from>
    <cdr:to>
      <cdr:x>0.97552</cdr:x>
      <cdr:y>0.59403</cdr:y>
    </cdr:to>
    <cdr:sp macro="" textlink="">
      <cdr:nvSpPr>
        <cdr:cNvPr id="31" name="61 CuadroTexto"/>
        <cdr:cNvSpPr txBox="1"/>
      </cdr:nvSpPr>
      <cdr:spPr>
        <a:xfrm xmlns:a="http://schemas.openxmlformats.org/drawingml/2006/main">
          <a:off x="10008857" y="1607236"/>
          <a:ext cx="248837" cy="762851"/>
        </a:xfrm>
        <a:prstGeom xmlns:a="http://schemas.openxmlformats.org/drawingml/2006/main" prst="rect">
          <a:avLst/>
        </a:prstGeom>
      </cdr:spPr>
      <cdr:txBody>
        <a:bodyPr xmlns:a="http://schemas.openxmlformats.org/drawingml/2006/main" vertOverflow="clip" vert="vert270" wrap="square" rtlCol="0" anchor="ctr"/>
        <a:lstStyle xmlns:a="http://schemas.openxmlformats.org/drawingml/2006/main"/>
        <a:p xmlns:a="http://schemas.openxmlformats.org/drawingml/2006/main">
          <a:pPr algn="ctr"/>
          <a:endParaRPr lang="es-MX" sz="800">
            <a:latin typeface="Arial" pitchFamily="34" charset="0"/>
            <a:cs typeface="Arial" pitchFamily="34" charset="0"/>
          </a:endParaRPr>
        </a:p>
      </cdr:txBody>
    </cdr:sp>
  </cdr:relSizeAnchor>
  <cdr:relSizeAnchor xmlns:cdr="http://schemas.openxmlformats.org/drawingml/2006/chartDrawing">
    <cdr:from>
      <cdr:x>0.75144</cdr:x>
      <cdr:y>0.38791</cdr:y>
    </cdr:from>
    <cdr:to>
      <cdr:x>0.78416</cdr:x>
      <cdr:y>0.68953</cdr:y>
    </cdr:to>
    <cdr:sp macro="" textlink="">
      <cdr:nvSpPr>
        <cdr:cNvPr id="65" name="64 CuadroTexto"/>
        <cdr:cNvSpPr txBox="1"/>
      </cdr:nvSpPr>
      <cdr:spPr>
        <a:xfrm xmlns:a="http://schemas.openxmlformats.org/drawingml/2006/main">
          <a:off x="7901451" y="1547703"/>
          <a:ext cx="344088" cy="1203382"/>
        </a:xfrm>
        <a:prstGeom xmlns:a="http://schemas.openxmlformats.org/drawingml/2006/main" prst="rect">
          <a:avLst/>
        </a:prstGeom>
      </cdr:spPr>
      <cdr:txBody>
        <a:bodyPr xmlns:a="http://schemas.openxmlformats.org/drawingml/2006/main" vertOverflow="clip" vert="vert270" wrap="square" rtlCol="0" anchor="ctr"/>
        <a:lstStyle xmlns:a="http://schemas.openxmlformats.org/drawingml/2006/main"/>
        <a:p xmlns:a="http://schemas.openxmlformats.org/drawingml/2006/main">
          <a:pPr algn="ctr"/>
          <a:endParaRPr lang="es-MX" sz="800">
            <a:latin typeface="Arial" pitchFamily="34" charset="0"/>
            <a:cs typeface="Arial" pitchFamily="34" charset="0"/>
          </a:endParaRPr>
        </a:p>
      </cdr:txBody>
    </cdr:sp>
  </cdr:relSizeAnchor>
  <cdr:relSizeAnchor xmlns:cdr="http://schemas.openxmlformats.org/drawingml/2006/chartDrawing">
    <cdr:from>
      <cdr:x>0.65746</cdr:x>
      <cdr:y>0.39388</cdr:y>
    </cdr:from>
    <cdr:to>
      <cdr:x>0.68113</cdr:x>
      <cdr:y>0.58508</cdr:y>
    </cdr:to>
    <cdr:sp macro="" textlink="">
      <cdr:nvSpPr>
        <cdr:cNvPr id="67" name="66 CuadroTexto"/>
        <cdr:cNvSpPr txBox="1"/>
      </cdr:nvSpPr>
      <cdr:spPr>
        <a:xfrm xmlns:a="http://schemas.openxmlformats.org/drawingml/2006/main">
          <a:off x="6913224" y="1571499"/>
          <a:ext cx="248892" cy="762854"/>
        </a:xfrm>
        <a:prstGeom xmlns:a="http://schemas.openxmlformats.org/drawingml/2006/main" prst="rect">
          <a:avLst/>
        </a:prstGeom>
      </cdr:spPr>
      <cdr:txBody>
        <a:bodyPr xmlns:a="http://schemas.openxmlformats.org/drawingml/2006/main" vertOverflow="clip" vert="vert270" wrap="square" rtlCol="0" anchor="ctr"/>
        <a:lstStyle xmlns:a="http://schemas.openxmlformats.org/drawingml/2006/main"/>
        <a:p xmlns:a="http://schemas.openxmlformats.org/drawingml/2006/main">
          <a:pPr algn="ctr"/>
          <a:endParaRPr lang="es-MX" sz="800">
            <a:latin typeface="Arial" pitchFamily="34" charset="0"/>
            <a:cs typeface="Arial" pitchFamily="34" charset="0"/>
          </a:endParaRPr>
        </a:p>
      </cdr:txBody>
    </cdr:sp>
  </cdr:relSizeAnchor>
  <cdr:relSizeAnchor xmlns:cdr="http://schemas.openxmlformats.org/drawingml/2006/chartDrawing">
    <cdr:from>
      <cdr:x>0.94619</cdr:x>
      <cdr:y>0.38791</cdr:y>
    </cdr:from>
    <cdr:to>
      <cdr:x>0.96986</cdr:x>
      <cdr:y>0.57911</cdr:y>
    </cdr:to>
    <cdr:sp macro="" textlink="">
      <cdr:nvSpPr>
        <cdr:cNvPr id="35" name="67 CuadroTexto"/>
        <cdr:cNvSpPr txBox="1"/>
      </cdr:nvSpPr>
      <cdr:spPr>
        <a:xfrm xmlns:a="http://schemas.openxmlformats.org/drawingml/2006/main">
          <a:off x="9949319" y="1547687"/>
          <a:ext cx="248892" cy="762854"/>
        </a:xfrm>
        <a:prstGeom xmlns:a="http://schemas.openxmlformats.org/drawingml/2006/main" prst="rect">
          <a:avLst/>
        </a:prstGeom>
      </cdr:spPr>
      <cdr:txBody>
        <a:bodyPr xmlns:a="http://schemas.openxmlformats.org/drawingml/2006/main" vertOverflow="clip" vert="vert270" wrap="square" rtlCol="0" anchor="ctr"/>
        <a:lstStyle xmlns:a="http://schemas.openxmlformats.org/drawingml/2006/main"/>
        <a:p xmlns:a="http://schemas.openxmlformats.org/drawingml/2006/main">
          <a:pPr algn="ctr"/>
          <a:endParaRPr lang="es-MX" sz="800">
            <a:latin typeface="Arial" pitchFamily="34" charset="0"/>
            <a:cs typeface="Arial" pitchFamily="34" charset="0"/>
          </a:endParaRPr>
        </a:p>
      </cdr:txBody>
    </cdr:sp>
  </cdr:relSizeAnchor>
  <cdr:relSizeAnchor xmlns:cdr="http://schemas.openxmlformats.org/drawingml/2006/chartDrawing">
    <cdr:from>
      <cdr:x>0.20789</cdr:x>
      <cdr:y>0.25682</cdr:y>
    </cdr:from>
    <cdr:to>
      <cdr:x>0.23951</cdr:x>
      <cdr:y>0.58091</cdr:y>
    </cdr:to>
    <cdr:sp macro="" textlink="">
      <cdr:nvSpPr>
        <cdr:cNvPr id="37" name="69 CuadroTexto"/>
        <cdr:cNvSpPr txBox="1"/>
      </cdr:nvSpPr>
      <cdr:spPr>
        <a:xfrm xmlns:a="http://schemas.openxmlformats.org/drawingml/2006/main">
          <a:off x="2203755" y="1024659"/>
          <a:ext cx="335198" cy="1293062"/>
        </a:xfrm>
        <a:prstGeom xmlns:a="http://schemas.openxmlformats.org/drawingml/2006/main" prst="rect">
          <a:avLst/>
        </a:prstGeom>
      </cdr:spPr>
      <cdr:txBody>
        <a:bodyPr xmlns:a="http://schemas.openxmlformats.org/drawingml/2006/main" vertOverflow="clip" vert="vert270" wrap="square" rtlCol="0" anchor="ctr"/>
        <a:lstStyle xmlns:a="http://schemas.openxmlformats.org/drawingml/2006/main"/>
        <a:p xmlns:a="http://schemas.openxmlformats.org/drawingml/2006/main">
          <a:pPr algn="ctr"/>
          <a:endParaRPr lang="es-MX" sz="800">
            <a:latin typeface="Arial" pitchFamily="34" charset="0"/>
            <a:cs typeface="Arial" pitchFamily="34" charset="0"/>
          </a:endParaRPr>
        </a:p>
      </cdr:txBody>
    </cdr:sp>
  </cdr:relSizeAnchor>
  <cdr:relSizeAnchor xmlns:cdr="http://schemas.openxmlformats.org/drawingml/2006/chartDrawing">
    <cdr:from>
      <cdr:x>0.94553</cdr:x>
      <cdr:y>0.31172</cdr:y>
    </cdr:from>
    <cdr:to>
      <cdr:x>0.97715</cdr:x>
      <cdr:y>0.63581</cdr:y>
    </cdr:to>
    <cdr:sp macro="" textlink="">
      <cdr:nvSpPr>
        <cdr:cNvPr id="38" name="70 CuadroTexto"/>
        <cdr:cNvSpPr txBox="1"/>
      </cdr:nvSpPr>
      <cdr:spPr>
        <a:xfrm xmlns:a="http://schemas.openxmlformats.org/drawingml/2006/main">
          <a:off x="9973535" y="1243725"/>
          <a:ext cx="333530" cy="1293063"/>
        </a:xfrm>
        <a:prstGeom xmlns:a="http://schemas.openxmlformats.org/drawingml/2006/main" prst="rect">
          <a:avLst/>
        </a:prstGeom>
      </cdr:spPr>
      <cdr:txBody>
        <a:bodyPr xmlns:a="http://schemas.openxmlformats.org/drawingml/2006/main" vertOverflow="clip" vert="vert270" wrap="square" rtlCol="0" anchor="ctr"/>
        <a:lstStyle xmlns:a="http://schemas.openxmlformats.org/drawingml/2006/main"/>
        <a:p xmlns:a="http://schemas.openxmlformats.org/drawingml/2006/main">
          <a:pPr algn="ctr"/>
          <a:endParaRPr lang="es-MX" sz="800">
            <a:latin typeface="Arial" pitchFamily="34" charset="0"/>
            <a:cs typeface="Arial" pitchFamily="34" charset="0"/>
          </a:endParaRPr>
        </a:p>
      </cdr:txBody>
    </cdr:sp>
  </cdr:relSizeAnchor>
  <cdr:relSizeAnchor xmlns:cdr="http://schemas.openxmlformats.org/drawingml/2006/chartDrawing">
    <cdr:from>
      <cdr:x>0.85986</cdr:x>
      <cdr:y>0.36295</cdr:y>
    </cdr:from>
    <cdr:to>
      <cdr:x>0.87305</cdr:x>
      <cdr:y>0.56098</cdr:y>
    </cdr:to>
    <cdr:sp macro="" textlink="">
      <cdr:nvSpPr>
        <cdr:cNvPr id="39" name="72 CuadroTexto"/>
        <cdr:cNvSpPr txBox="1"/>
      </cdr:nvSpPr>
      <cdr:spPr>
        <a:xfrm xmlns:a="http://schemas.openxmlformats.org/drawingml/2006/main">
          <a:off x="9069816" y="1448087"/>
          <a:ext cx="139213" cy="790114"/>
        </a:xfrm>
        <a:prstGeom xmlns:a="http://schemas.openxmlformats.org/drawingml/2006/main" prst="rect">
          <a:avLst/>
        </a:prstGeom>
      </cdr:spPr>
      <cdr:txBody>
        <a:bodyPr xmlns:a="http://schemas.openxmlformats.org/drawingml/2006/main" vertOverflow="clip" vert="vert270" wrap="square" rtlCol="0" anchor="ctr"/>
        <a:lstStyle xmlns:a="http://schemas.openxmlformats.org/drawingml/2006/main"/>
        <a:p xmlns:a="http://schemas.openxmlformats.org/drawingml/2006/main">
          <a:pPr algn="ctr"/>
          <a:endParaRPr lang="es-MX" sz="800">
            <a:latin typeface="Arial" pitchFamily="34" charset="0"/>
            <a:cs typeface="Arial" pitchFamily="34" charset="0"/>
          </a:endParaRPr>
        </a:p>
      </cdr:txBody>
    </cdr:sp>
  </cdr:relSizeAnchor>
  <cdr:relSizeAnchor xmlns:cdr="http://schemas.openxmlformats.org/drawingml/2006/chartDrawing">
    <cdr:from>
      <cdr:x>0.87167</cdr:x>
      <cdr:y>0.36478</cdr:y>
    </cdr:from>
    <cdr:to>
      <cdr:x>0.88486</cdr:x>
      <cdr:y>0.56281</cdr:y>
    </cdr:to>
    <cdr:sp macro="" textlink="">
      <cdr:nvSpPr>
        <cdr:cNvPr id="74" name="73 CuadroTexto"/>
        <cdr:cNvSpPr txBox="1"/>
      </cdr:nvSpPr>
      <cdr:spPr>
        <a:xfrm xmlns:a="http://schemas.openxmlformats.org/drawingml/2006/main">
          <a:off x="9194374" y="1455414"/>
          <a:ext cx="139213" cy="790114"/>
        </a:xfrm>
        <a:prstGeom xmlns:a="http://schemas.openxmlformats.org/drawingml/2006/main" prst="rect">
          <a:avLst/>
        </a:prstGeom>
      </cdr:spPr>
      <cdr:txBody>
        <a:bodyPr xmlns:a="http://schemas.openxmlformats.org/drawingml/2006/main" vertOverflow="clip" vert="vert270" wrap="square" rtlCol="0" anchor="ctr"/>
        <a:lstStyle xmlns:a="http://schemas.openxmlformats.org/drawingml/2006/main"/>
        <a:p xmlns:a="http://schemas.openxmlformats.org/drawingml/2006/main">
          <a:pPr algn="ctr"/>
          <a:endParaRPr lang="es-MX" sz="800">
            <a:latin typeface="Arial" pitchFamily="34" charset="0"/>
            <a:cs typeface="Arial" pitchFamily="34" charset="0"/>
          </a:endParaRPr>
        </a:p>
      </cdr:txBody>
    </cdr:sp>
  </cdr:relSizeAnchor>
  <cdr:relSizeAnchor xmlns:cdr="http://schemas.openxmlformats.org/drawingml/2006/chartDrawing">
    <cdr:from>
      <cdr:x>0.92446</cdr:x>
      <cdr:y>0.38607</cdr:y>
    </cdr:from>
    <cdr:to>
      <cdr:x>0.94346</cdr:x>
      <cdr:y>0.53894</cdr:y>
    </cdr:to>
    <cdr:sp macro="" textlink="">
      <cdr:nvSpPr>
        <cdr:cNvPr id="40" name="74 CuadroTexto"/>
        <cdr:cNvSpPr txBox="1"/>
      </cdr:nvSpPr>
      <cdr:spPr>
        <a:xfrm xmlns:a="http://schemas.openxmlformats.org/drawingml/2006/main">
          <a:off x="9751222" y="1540366"/>
          <a:ext cx="200492" cy="609911"/>
        </a:xfrm>
        <a:prstGeom xmlns:a="http://schemas.openxmlformats.org/drawingml/2006/main" prst="rect">
          <a:avLst/>
        </a:prstGeom>
      </cdr:spPr>
      <cdr:txBody>
        <a:bodyPr xmlns:a="http://schemas.openxmlformats.org/drawingml/2006/main" vertOverflow="clip" vert="vert270" wrap="square" rtlCol="0" anchor="ctr"/>
        <a:lstStyle xmlns:a="http://schemas.openxmlformats.org/drawingml/2006/main"/>
        <a:p xmlns:a="http://schemas.openxmlformats.org/drawingml/2006/main">
          <a:pPr algn="ctr"/>
          <a:endParaRPr lang="es-MX" sz="800">
            <a:latin typeface="Arial" pitchFamily="34" charset="0"/>
            <a:cs typeface="Arial" pitchFamily="34" charset="0"/>
          </a:endParaRPr>
        </a:p>
      </cdr:txBody>
    </cdr:sp>
  </cdr:relSizeAnchor>
  <cdr:relSizeAnchor xmlns:cdr="http://schemas.openxmlformats.org/drawingml/2006/chartDrawing">
    <cdr:from>
      <cdr:x>0.90552</cdr:x>
      <cdr:y>0.44043</cdr:y>
    </cdr:from>
    <cdr:to>
      <cdr:x>0.91802</cdr:x>
      <cdr:y>0.60248</cdr:y>
    </cdr:to>
    <cdr:sp macro="" textlink="">
      <cdr:nvSpPr>
        <cdr:cNvPr id="41" name="76 CuadroTexto"/>
        <cdr:cNvSpPr txBox="1"/>
      </cdr:nvSpPr>
      <cdr:spPr>
        <a:xfrm xmlns:a="http://schemas.openxmlformats.org/drawingml/2006/main">
          <a:off x="9538818" y="1757243"/>
          <a:ext cx="131677" cy="646551"/>
        </a:xfrm>
        <a:prstGeom xmlns:a="http://schemas.openxmlformats.org/drawingml/2006/main" prst="rect">
          <a:avLst/>
        </a:prstGeom>
      </cdr:spPr>
      <cdr:txBody>
        <a:bodyPr xmlns:a="http://schemas.openxmlformats.org/drawingml/2006/main" vertOverflow="clip" vert="vert270" wrap="square" rtlCol="0" anchor="ctr"/>
        <a:lstStyle xmlns:a="http://schemas.openxmlformats.org/drawingml/2006/main"/>
        <a:p xmlns:a="http://schemas.openxmlformats.org/drawingml/2006/main">
          <a:pPr algn="ctr"/>
          <a:endParaRPr lang="es-MX" sz="800">
            <a:latin typeface="Arial" pitchFamily="34" charset="0"/>
            <a:cs typeface="Arial" pitchFamily="34" charset="0"/>
          </a:endParaRPr>
        </a:p>
      </cdr:txBody>
    </cdr:sp>
  </cdr:relSizeAnchor>
  <cdr:relSizeAnchor xmlns:cdr="http://schemas.openxmlformats.org/drawingml/2006/chartDrawing">
    <cdr:from>
      <cdr:x>0.24656</cdr:x>
      <cdr:y>0.45497</cdr:y>
    </cdr:from>
    <cdr:to>
      <cdr:x>0.26904</cdr:x>
      <cdr:y>0.62686</cdr:y>
    </cdr:to>
    <cdr:sp macro="" textlink="">
      <cdr:nvSpPr>
        <cdr:cNvPr id="43" name="81 CuadroTexto"/>
        <cdr:cNvSpPr txBox="1"/>
      </cdr:nvSpPr>
      <cdr:spPr>
        <a:xfrm xmlns:a="http://schemas.openxmlformats.org/drawingml/2006/main">
          <a:off x="2613711" y="1815263"/>
          <a:ext cx="238307" cy="685810"/>
        </a:xfrm>
        <a:prstGeom xmlns:a="http://schemas.openxmlformats.org/drawingml/2006/main" prst="rect">
          <a:avLst/>
        </a:prstGeom>
      </cdr:spPr>
      <cdr:txBody>
        <a:bodyPr xmlns:a="http://schemas.openxmlformats.org/drawingml/2006/main" vertOverflow="clip" vert="vert270" wrap="square" rtlCol="0" anchor="ctr"/>
        <a:lstStyle xmlns:a="http://schemas.openxmlformats.org/drawingml/2006/main"/>
        <a:p xmlns:a="http://schemas.openxmlformats.org/drawingml/2006/main">
          <a:pPr algn="ctr"/>
          <a:endParaRPr lang="es-MX" sz="800">
            <a:latin typeface="Arial" pitchFamily="34" charset="0"/>
            <a:cs typeface="Arial" pitchFamily="34" charset="0"/>
          </a:endParaRPr>
        </a:p>
      </cdr:txBody>
    </cdr:sp>
  </cdr:relSizeAnchor>
  <cdr:relSizeAnchor xmlns:cdr="http://schemas.openxmlformats.org/drawingml/2006/chartDrawing">
    <cdr:from>
      <cdr:x>0.54494</cdr:x>
      <cdr:y>0.38275</cdr:y>
    </cdr:from>
    <cdr:to>
      <cdr:x>0.57085</cdr:x>
      <cdr:y>0.54867</cdr:y>
    </cdr:to>
    <cdr:sp macro="" textlink="">
      <cdr:nvSpPr>
        <cdr:cNvPr id="90" name="89 CuadroTexto"/>
        <cdr:cNvSpPr txBox="1"/>
      </cdr:nvSpPr>
      <cdr:spPr>
        <a:xfrm xmlns:a="http://schemas.openxmlformats.org/drawingml/2006/main">
          <a:off x="5776755" y="1527119"/>
          <a:ext cx="274667" cy="661991"/>
        </a:xfrm>
        <a:prstGeom xmlns:a="http://schemas.openxmlformats.org/drawingml/2006/main" prst="rect">
          <a:avLst/>
        </a:prstGeom>
      </cdr:spPr>
      <cdr:txBody>
        <a:bodyPr xmlns:a="http://schemas.openxmlformats.org/drawingml/2006/main" vertOverflow="clip" vert="vert270" wrap="square" rtlCol="0" anchor="ctr"/>
        <a:lstStyle xmlns:a="http://schemas.openxmlformats.org/drawingml/2006/main"/>
        <a:p xmlns:a="http://schemas.openxmlformats.org/drawingml/2006/main">
          <a:pPr algn="ctr"/>
          <a:endParaRPr lang="es-MX" sz="800">
            <a:latin typeface="Arial" pitchFamily="34" charset="0"/>
            <a:cs typeface="Arial" pitchFamily="34" charset="0"/>
          </a:endParaRPr>
        </a:p>
      </cdr:txBody>
    </cdr:sp>
  </cdr:relSizeAnchor>
  <cdr:relSizeAnchor xmlns:cdr="http://schemas.openxmlformats.org/drawingml/2006/chartDrawing">
    <cdr:from>
      <cdr:x>0.22858</cdr:x>
      <cdr:y>0.38574</cdr:y>
    </cdr:from>
    <cdr:to>
      <cdr:x>0.25106</cdr:x>
      <cdr:y>0.60119</cdr:y>
    </cdr:to>
    <cdr:sp macro="" textlink="">
      <cdr:nvSpPr>
        <cdr:cNvPr id="44" name="95 CuadroTexto"/>
        <cdr:cNvSpPr txBox="1"/>
      </cdr:nvSpPr>
      <cdr:spPr>
        <a:xfrm xmlns:a="http://schemas.openxmlformats.org/drawingml/2006/main">
          <a:off x="2423166" y="1539046"/>
          <a:ext cx="238306" cy="859614"/>
        </a:xfrm>
        <a:prstGeom xmlns:a="http://schemas.openxmlformats.org/drawingml/2006/main" prst="rect">
          <a:avLst/>
        </a:prstGeom>
      </cdr:spPr>
      <cdr:txBody>
        <a:bodyPr xmlns:a="http://schemas.openxmlformats.org/drawingml/2006/main" vertOverflow="clip" vert="vert270" wrap="square" rtlCol="0" anchor="ctr"/>
        <a:lstStyle xmlns:a="http://schemas.openxmlformats.org/drawingml/2006/main"/>
        <a:p xmlns:a="http://schemas.openxmlformats.org/drawingml/2006/main">
          <a:pPr algn="ctr"/>
          <a:endParaRPr lang="es-MX" sz="800">
            <a:latin typeface="Arial" pitchFamily="34" charset="0"/>
            <a:cs typeface="Arial" pitchFamily="34" charset="0"/>
          </a:endParaRPr>
        </a:p>
      </cdr:txBody>
    </cdr:sp>
  </cdr:relSizeAnchor>
  <cdr:relSizeAnchor xmlns:cdr="http://schemas.openxmlformats.org/drawingml/2006/chartDrawing">
    <cdr:from>
      <cdr:x>0.16031</cdr:x>
      <cdr:y>0.37142</cdr:y>
    </cdr:from>
    <cdr:to>
      <cdr:x>0.18278</cdr:x>
      <cdr:y>0.67997</cdr:y>
    </cdr:to>
    <cdr:sp macro="" textlink="">
      <cdr:nvSpPr>
        <cdr:cNvPr id="46" name="102 CuadroTexto"/>
        <cdr:cNvSpPr txBox="1"/>
      </cdr:nvSpPr>
      <cdr:spPr>
        <a:xfrm xmlns:a="http://schemas.openxmlformats.org/drawingml/2006/main">
          <a:off x="1699363" y="1481920"/>
          <a:ext cx="238306" cy="1231060"/>
        </a:xfrm>
        <a:prstGeom xmlns:a="http://schemas.openxmlformats.org/drawingml/2006/main" prst="rect">
          <a:avLst/>
        </a:prstGeom>
      </cdr:spPr>
      <cdr:txBody>
        <a:bodyPr xmlns:a="http://schemas.openxmlformats.org/drawingml/2006/main" vertOverflow="clip" vert="vert270" wrap="square" rtlCol="0" anchor="ctr"/>
        <a:lstStyle xmlns:a="http://schemas.openxmlformats.org/drawingml/2006/main"/>
        <a:p xmlns:a="http://schemas.openxmlformats.org/drawingml/2006/main">
          <a:pPr algn="ctr"/>
          <a:endParaRPr lang="es-MX" sz="800">
            <a:latin typeface="Arial" pitchFamily="34" charset="0"/>
            <a:cs typeface="Arial" pitchFamily="34" charset="0"/>
          </a:endParaRPr>
        </a:p>
      </cdr:txBody>
    </cdr:sp>
  </cdr:relSizeAnchor>
  <cdr:relSizeAnchor xmlns:cdr="http://schemas.openxmlformats.org/drawingml/2006/chartDrawing">
    <cdr:from>
      <cdr:x>0.14951</cdr:x>
      <cdr:y>0.39291</cdr:y>
    </cdr:from>
    <cdr:to>
      <cdr:x>0.17199</cdr:x>
      <cdr:y>0.67043</cdr:y>
    </cdr:to>
    <cdr:sp macro="" textlink="">
      <cdr:nvSpPr>
        <cdr:cNvPr id="47" name="107 CuadroTexto"/>
        <cdr:cNvSpPr txBox="1"/>
      </cdr:nvSpPr>
      <cdr:spPr>
        <a:xfrm xmlns:a="http://schemas.openxmlformats.org/drawingml/2006/main">
          <a:off x="1584928" y="1567629"/>
          <a:ext cx="238307" cy="1107256"/>
        </a:xfrm>
        <a:prstGeom xmlns:a="http://schemas.openxmlformats.org/drawingml/2006/main" prst="rect">
          <a:avLst/>
        </a:prstGeom>
      </cdr:spPr>
      <cdr:txBody>
        <a:bodyPr xmlns:a="http://schemas.openxmlformats.org/drawingml/2006/main" vertOverflow="clip" vert="vert270" wrap="square" rtlCol="0" anchor="ctr"/>
        <a:lstStyle xmlns:a="http://schemas.openxmlformats.org/drawingml/2006/main"/>
        <a:p xmlns:a="http://schemas.openxmlformats.org/drawingml/2006/main">
          <a:pPr algn="ctr"/>
          <a:endParaRPr lang="es-MX" sz="800">
            <a:latin typeface="Arial" pitchFamily="34" charset="0"/>
            <a:cs typeface="Arial" pitchFamily="34" charset="0"/>
          </a:endParaRPr>
        </a:p>
      </cdr:txBody>
    </cdr:sp>
  </cdr:relSizeAnchor>
  <cdr:relSizeAnchor xmlns:cdr="http://schemas.openxmlformats.org/drawingml/2006/chartDrawing">
    <cdr:from>
      <cdr:x>0.20971</cdr:x>
      <cdr:y>0.37142</cdr:y>
    </cdr:from>
    <cdr:to>
      <cdr:x>0.23219</cdr:x>
      <cdr:y>0.56061</cdr:y>
    </cdr:to>
    <cdr:sp macro="" textlink="">
      <cdr:nvSpPr>
        <cdr:cNvPr id="50" name="108 CuadroTexto"/>
        <cdr:cNvSpPr txBox="1"/>
      </cdr:nvSpPr>
      <cdr:spPr>
        <a:xfrm xmlns:a="http://schemas.openxmlformats.org/drawingml/2006/main">
          <a:off x="2223141" y="1481896"/>
          <a:ext cx="238306" cy="754839"/>
        </a:xfrm>
        <a:prstGeom xmlns:a="http://schemas.openxmlformats.org/drawingml/2006/main" prst="rect">
          <a:avLst/>
        </a:prstGeom>
      </cdr:spPr>
      <cdr:txBody>
        <a:bodyPr xmlns:a="http://schemas.openxmlformats.org/drawingml/2006/main" vertOverflow="clip" vert="vert270" wrap="square" rtlCol="0" anchor="ctr"/>
        <a:lstStyle xmlns:a="http://schemas.openxmlformats.org/drawingml/2006/main"/>
        <a:p xmlns:a="http://schemas.openxmlformats.org/drawingml/2006/main">
          <a:pPr algn="ctr"/>
          <a:endParaRPr lang="es-MX" sz="800">
            <a:latin typeface="Arial" pitchFamily="34" charset="0"/>
            <a:cs typeface="Arial" pitchFamily="34" charset="0"/>
          </a:endParaRPr>
        </a:p>
      </cdr:txBody>
    </cdr:sp>
  </cdr:relSizeAnchor>
  <cdr:relSizeAnchor xmlns:cdr="http://schemas.openxmlformats.org/drawingml/2006/chartDrawing">
    <cdr:from>
      <cdr:x>0.06568</cdr:x>
      <cdr:y>0.00239</cdr:y>
    </cdr:from>
    <cdr:to>
      <cdr:x>0.98796</cdr:x>
      <cdr:y>0.06123</cdr:y>
    </cdr:to>
    <cdr:sp macro="" textlink="">
      <cdr:nvSpPr>
        <cdr:cNvPr id="8" name="CuadroTexto 1">
          <a:extLst xmlns:a="http://schemas.openxmlformats.org/drawingml/2006/main">
            <a:ext uri="{FF2B5EF4-FFF2-40B4-BE49-F238E27FC236}">
              <a16:creationId xmlns:a16="http://schemas.microsoft.com/office/drawing/2014/main" id="{AFEC78C2-1B8E-198A-9550-53F5ABF675A8}"/>
            </a:ext>
          </a:extLst>
        </cdr:cNvPr>
        <cdr:cNvSpPr txBox="1"/>
      </cdr:nvSpPr>
      <cdr:spPr>
        <a:xfrm xmlns:a="http://schemas.openxmlformats.org/drawingml/2006/main">
          <a:off x="689833" y="9517"/>
          <a:ext cx="9686887" cy="234290"/>
        </a:xfrm>
        <a:prstGeom xmlns:a="http://schemas.openxmlformats.org/drawingml/2006/main" prst="rect">
          <a:avLst/>
        </a:prstGeom>
        <a:noFill xmlns:a="http://schemas.openxmlformats.org/drawingml/2006/mai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tx1"/>
        </a:fontRef>
      </cdr:style>
      <cdr:txBody>
        <a:bodyPr xmlns:a="http://schemas.openxmlformats.org/drawingml/2006/main" wrap="square" rtlCol="0" anchor="t">
          <a:noAutofit/>
        </a:bodyPr>
        <a:lstStyle xmlns:a="http://schemas.openxmlformats.org/drawingml/2006/main">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xmlns:a="http://schemas.openxmlformats.org/drawingml/2006/main">
          <a:pPr algn="ctr"/>
          <a:r>
            <a:rPr lang="es-CO" sz="1500" b="1" spc="-10" baseline="0">
              <a:latin typeface="Arial" panose="020B0604020202020204" pitchFamily="34" charset="0"/>
              <a:cs typeface="Arial" panose="020B0604020202020204" pitchFamily="34" charset="0"/>
            </a:rPr>
            <a:t>VALORACIÓN DEL RECUBRIMIENTO POR DCVG </a:t>
          </a:r>
          <a:r>
            <a:rPr lang="es-CO" sz="1500" b="1" spc="0" baseline="0">
              <a:latin typeface="Arial" panose="020B0604020202020204" pitchFamily="34" charset="0"/>
              <a:cs typeface="Arial" panose="020B0604020202020204" pitchFamily="34" charset="0"/>
            </a:rPr>
            <a:t>RAMAL VILLA MARÍA</a:t>
          </a:r>
          <a:endParaRPr lang="es-CO" sz="1500" b="1">
            <a:latin typeface="Arial" panose="020B0604020202020204" pitchFamily="34" charset="0"/>
            <a:cs typeface="Arial" panose="020B0604020202020204" pitchFamily="34" charset="0"/>
          </a:endParaRPr>
        </a:p>
      </cdr:txBody>
    </cdr:sp>
  </cdr:relSizeAnchor>
</c:userShapes>
</file>

<file path=xl/drawings/drawing5.xml><?xml version="1.0" encoding="utf-8"?>
<xdr:wsDr xmlns:xdr="http://schemas.openxmlformats.org/drawingml/2006/spreadsheetDrawing" xmlns:a="http://schemas.openxmlformats.org/drawingml/2006/main">
  <xdr:twoCellAnchor>
    <xdr:from>
      <xdr:col>0</xdr:col>
      <xdr:colOff>132292</xdr:colOff>
      <xdr:row>0</xdr:row>
      <xdr:rowOff>0</xdr:rowOff>
    </xdr:from>
    <xdr:to>
      <xdr:col>2</xdr:col>
      <xdr:colOff>1228406</xdr:colOff>
      <xdr:row>0</xdr:row>
      <xdr:rowOff>609600</xdr:rowOff>
    </xdr:to>
    <xdr:pic>
      <xdr:nvPicPr>
        <xdr:cNvPr id="2" name="Imagen 3" descr="image007">
          <a:extLst>
            <a:ext uri="{FF2B5EF4-FFF2-40B4-BE49-F238E27FC236}">
              <a16:creationId xmlns:a16="http://schemas.microsoft.com/office/drawing/2014/main" id="{00000000-0008-0000-05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32292" y="0"/>
          <a:ext cx="3344014" cy="6096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24</xdr:col>
      <xdr:colOff>446404</xdr:colOff>
      <xdr:row>0</xdr:row>
      <xdr:rowOff>99060</xdr:rowOff>
    </xdr:from>
    <xdr:to>
      <xdr:col>35</xdr:col>
      <xdr:colOff>515831</xdr:colOff>
      <xdr:row>7</xdr:row>
      <xdr:rowOff>97252</xdr:rowOff>
    </xdr:to>
    <xdr:pic>
      <xdr:nvPicPr>
        <xdr:cNvPr id="3" name="1 Imagen">
          <a:extLst>
            <a:ext uri="{FF2B5EF4-FFF2-40B4-BE49-F238E27FC236}">
              <a16:creationId xmlns:a16="http://schemas.microsoft.com/office/drawing/2014/main" id="{00000000-0008-0000-0500-000003000000}"/>
            </a:ext>
          </a:extLst>
        </xdr:cNvPr>
        <xdr:cNvPicPr>
          <a:picLocks noChangeAspect="1" noChangeArrowheads="1"/>
        </xdr:cNvPicPr>
      </xdr:nvPicPr>
      <xdr:blipFill rotWithShape="1">
        <a:blip xmlns:r="http://schemas.openxmlformats.org/officeDocument/2006/relationships" r:embed="rId2" cstate="print">
          <a:extLst>
            <a:ext uri="{28A0092B-C50C-407E-A947-70E740481C1C}">
              <a14:useLocalDpi xmlns:a14="http://schemas.microsoft.com/office/drawing/2010/main" val="0"/>
            </a:ext>
          </a:extLst>
        </a:blip>
        <a:srcRect l="13930" t="375" r="199" b="-375"/>
        <a:stretch/>
      </xdr:blipFill>
      <xdr:spPr bwMode="auto">
        <a:xfrm>
          <a:off x="18719164" y="99060"/>
          <a:ext cx="8702886" cy="173555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mc:AlternateContent xmlns:mc="http://schemas.openxmlformats.org/markup-compatibility/2006">
    <mc:Choice xmlns:a14="http://schemas.microsoft.com/office/drawing/2010/main" Requires="a14">
      <xdr:twoCellAnchor>
        <xdr:from>
          <xdr:col>19</xdr:col>
          <xdr:colOff>60960</xdr:colOff>
          <xdr:row>0</xdr:row>
          <xdr:rowOff>0</xdr:rowOff>
        </xdr:from>
        <xdr:to>
          <xdr:col>19</xdr:col>
          <xdr:colOff>518160</xdr:colOff>
          <xdr:row>0</xdr:row>
          <xdr:rowOff>640080</xdr:rowOff>
        </xdr:to>
        <xdr:sp macro="" textlink="">
          <xdr:nvSpPr>
            <xdr:cNvPr id="7169" name="Object 1" hidden="1">
              <a:extLst>
                <a:ext uri="{63B3BB69-23CF-44E3-9099-C40C66FF867C}">
                  <a14:compatExt spid="_x0000_s7169"/>
                </a:ext>
                <a:ext uri="{FF2B5EF4-FFF2-40B4-BE49-F238E27FC236}">
                  <a16:creationId xmlns:a16="http://schemas.microsoft.com/office/drawing/2014/main" id="{00000000-0008-0000-0500-0000011C0000}"/>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xdr:wsDr>
</file>

<file path=xl/drawings/drawing6.xml><?xml version="1.0" encoding="utf-8"?>
<xdr:wsDr xmlns:xdr="http://schemas.openxmlformats.org/drawingml/2006/spreadsheetDrawing" xmlns:a="http://schemas.openxmlformats.org/drawingml/2006/main">
  <xdr:twoCellAnchor>
    <xdr:from>
      <xdr:col>1</xdr:col>
      <xdr:colOff>83343</xdr:colOff>
      <xdr:row>8</xdr:row>
      <xdr:rowOff>11907</xdr:rowOff>
    </xdr:from>
    <xdr:to>
      <xdr:col>11</xdr:col>
      <xdr:colOff>142875</xdr:colOff>
      <xdr:row>29</xdr:row>
      <xdr:rowOff>59531</xdr:rowOff>
    </xdr:to>
    <xdr:graphicFrame macro="">
      <xdr:nvGraphicFramePr>
        <xdr:cNvPr id="2" name="1 Gráfico">
          <a:extLst>
            <a:ext uri="{FF2B5EF4-FFF2-40B4-BE49-F238E27FC236}">
              <a16:creationId xmlns:a16="http://schemas.microsoft.com/office/drawing/2014/main" id="{00000000-0008-0000-06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200024</xdr:colOff>
      <xdr:row>2</xdr:row>
      <xdr:rowOff>19049</xdr:rowOff>
    </xdr:from>
    <xdr:to>
      <xdr:col>3</xdr:col>
      <xdr:colOff>880424</xdr:colOff>
      <xdr:row>6</xdr:row>
      <xdr:rowOff>226885</xdr:rowOff>
    </xdr:to>
    <xdr:pic>
      <xdr:nvPicPr>
        <xdr:cNvPr id="3" name="Imagen 3" descr="image007">
          <a:extLst>
            <a:ext uri="{FF2B5EF4-FFF2-40B4-BE49-F238E27FC236}">
              <a16:creationId xmlns:a16="http://schemas.microsoft.com/office/drawing/2014/main" id="{00000000-0008-0000-0600-000003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33424" y="407669"/>
          <a:ext cx="2090100" cy="74885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mc:AlternateContent xmlns:mc="http://schemas.openxmlformats.org/markup-compatibility/2006">
    <mc:Choice xmlns:a14="http://schemas.microsoft.com/office/drawing/2010/main" Requires="a14">
      <xdr:twoCellAnchor>
        <xdr:from>
          <xdr:col>10</xdr:col>
          <xdr:colOff>289560</xdr:colOff>
          <xdr:row>2</xdr:row>
          <xdr:rowOff>22860</xdr:rowOff>
        </xdr:from>
        <xdr:to>
          <xdr:col>10</xdr:col>
          <xdr:colOff>807720</xdr:colOff>
          <xdr:row>6</xdr:row>
          <xdr:rowOff>190500</xdr:rowOff>
        </xdr:to>
        <xdr:sp macro="" textlink="">
          <xdr:nvSpPr>
            <xdr:cNvPr id="8193" name="Object 1" hidden="1">
              <a:extLst>
                <a:ext uri="{63B3BB69-23CF-44E3-9099-C40C66FF867C}">
                  <a14:compatExt spid="_x0000_s8193"/>
                </a:ext>
                <a:ext uri="{FF2B5EF4-FFF2-40B4-BE49-F238E27FC236}">
                  <a16:creationId xmlns:a16="http://schemas.microsoft.com/office/drawing/2014/main" id="{00000000-0008-0000-0600-000001200000}"/>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xdr:wsDr>
</file>

<file path=xl/drawings/drawing7.xml><?xml version="1.0" encoding="utf-8"?>
<c:userShapes xmlns:c="http://schemas.openxmlformats.org/drawingml/2006/chart">
  <cdr:relSizeAnchor xmlns:cdr="http://schemas.openxmlformats.org/drawingml/2006/chartDrawing">
    <cdr:from>
      <cdr:x>0.04864</cdr:x>
      <cdr:y>0.86472</cdr:y>
    </cdr:from>
    <cdr:to>
      <cdr:x>0.1021</cdr:x>
      <cdr:y>0.92056</cdr:y>
    </cdr:to>
    <cdr:sp macro="" textlink="">
      <cdr:nvSpPr>
        <cdr:cNvPr id="6" name="2 CuadroTexto"/>
        <cdr:cNvSpPr txBox="1"/>
      </cdr:nvSpPr>
      <cdr:spPr>
        <a:xfrm xmlns:a="http://schemas.openxmlformats.org/drawingml/2006/main">
          <a:off x="471880" y="3264033"/>
          <a:ext cx="518732" cy="210778"/>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tx1"/>
        </a:fontRef>
      </cdr:style>
      <cdr:txBody>
        <a:bodyPr xmlns:a="http://schemas.openxmlformats.org/drawingml/2006/main" wrap="square" rtlCol="0" anchor="ctr">
          <a:noAutofit/>
        </a:bodyPr>
        <a:lstStyle xmlns:a="http://schemas.openxmlformats.org/drawingml/2006/main">
          <a:lvl1pPr marL="0" indent="0">
            <a:defRPr sz="1100">
              <a:solidFill>
                <a:sysClr val="windowText" lastClr="000000"/>
              </a:solidFill>
              <a:latin typeface="Calibri"/>
            </a:defRPr>
          </a:lvl1pPr>
          <a:lvl2pPr marL="457200" indent="0">
            <a:defRPr sz="1100">
              <a:solidFill>
                <a:sysClr val="windowText" lastClr="000000"/>
              </a:solidFill>
              <a:latin typeface="Calibri"/>
            </a:defRPr>
          </a:lvl2pPr>
          <a:lvl3pPr marL="914400" indent="0">
            <a:defRPr sz="1100">
              <a:solidFill>
                <a:sysClr val="windowText" lastClr="000000"/>
              </a:solidFill>
              <a:latin typeface="Calibri"/>
            </a:defRPr>
          </a:lvl3pPr>
          <a:lvl4pPr marL="1371600" indent="0">
            <a:defRPr sz="1100">
              <a:solidFill>
                <a:sysClr val="windowText" lastClr="000000"/>
              </a:solidFill>
              <a:latin typeface="Calibri"/>
            </a:defRPr>
          </a:lvl4pPr>
          <a:lvl5pPr marL="1828800" indent="0">
            <a:defRPr sz="1100">
              <a:solidFill>
                <a:sysClr val="windowText" lastClr="000000"/>
              </a:solidFill>
              <a:latin typeface="Calibri"/>
            </a:defRPr>
          </a:lvl5pPr>
          <a:lvl6pPr marL="2286000" indent="0">
            <a:defRPr sz="1100">
              <a:solidFill>
                <a:sysClr val="windowText" lastClr="000000"/>
              </a:solidFill>
              <a:latin typeface="Calibri"/>
            </a:defRPr>
          </a:lvl6pPr>
          <a:lvl7pPr marL="2743200" indent="0">
            <a:defRPr sz="1100">
              <a:solidFill>
                <a:sysClr val="windowText" lastClr="000000"/>
              </a:solidFill>
              <a:latin typeface="Calibri"/>
            </a:defRPr>
          </a:lvl7pPr>
          <a:lvl8pPr marL="3200400" indent="0">
            <a:defRPr sz="1100">
              <a:solidFill>
                <a:sysClr val="windowText" lastClr="000000"/>
              </a:solidFill>
              <a:latin typeface="Calibri"/>
            </a:defRPr>
          </a:lvl8pPr>
          <a:lvl9pPr marL="3657600" indent="0">
            <a:defRPr sz="1100">
              <a:solidFill>
                <a:sysClr val="windowText" lastClr="000000"/>
              </a:solidFill>
              <a:latin typeface="Calibri"/>
            </a:defRPr>
          </a:lvl9pPr>
        </a:lstStyle>
        <a:p xmlns:a="http://schemas.openxmlformats.org/drawingml/2006/main">
          <a:pPr algn="ctr"/>
          <a:endParaRPr lang="es-CO" sz="800" b="0" i="0">
            <a:solidFill>
              <a:srgbClr val="0070C0"/>
            </a:solidFill>
            <a:latin typeface="Cambria"/>
          </a:endParaRPr>
        </a:p>
      </cdr:txBody>
    </cdr:sp>
  </cdr:relSizeAnchor>
  <cdr:relSizeAnchor xmlns:cdr="http://schemas.openxmlformats.org/drawingml/2006/chartDrawing">
    <cdr:from>
      <cdr:x>0.48364</cdr:x>
      <cdr:y>0.86056</cdr:y>
    </cdr:from>
    <cdr:to>
      <cdr:x>0.55218</cdr:x>
      <cdr:y>0.91641</cdr:y>
    </cdr:to>
    <cdr:sp macro="" textlink="">
      <cdr:nvSpPr>
        <cdr:cNvPr id="12" name="2 CuadroTexto"/>
        <cdr:cNvSpPr txBox="1"/>
      </cdr:nvSpPr>
      <cdr:spPr>
        <a:xfrm xmlns:a="http://schemas.openxmlformats.org/drawingml/2006/main">
          <a:off x="4692264" y="3248341"/>
          <a:ext cx="665026" cy="210815"/>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tx1"/>
        </a:fontRef>
      </cdr:style>
      <cdr:txBody>
        <a:bodyPr xmlns:a="http://schemas.openxmlformats.org/drawingml/2006/main" wrap="square" rtlCol="0" anchor="ctr">
          <a:noAutofit/>
        </a:bodyPr>
        <a:lstStyle xmlns:a="http://schemas.openxmlformats.org/drawingml/2006/main">
          <a:lvl1pPr marL="0" indent="0">
            <a:defRPr sz="1100">
              <a:solidFill>
                <a:sysClr val="windowText" lastClr="000000"/>
              </a:solidFill>
              <a:latin typeface="Calibri"/>
            </a:defRPr>
          </a:lvl1pPr>
          <a:lvl2pPr marL="457200" indent="0">
            <a:defRPr sz="1100">
              <a:solidFill>
                <a:sysClr val="windowText" lastClr="000000"/>
              </a:solidFill>
              <a:latin typeface="Calibri"/>
            </a:defRPr>
          </a:lvl2pPr>
          <a:lvl3pPr marL="914400" indent="0">
            <a:defRPr sz="1100">
              <a:solidFill>
                <a:sysClr val="windowText" lastClr="000000"/>
              </a:solidFill>
              <a:latin typeface="Calibri"/>
            </a:defRPr>
          </a:lvl3pPr>
          <a:lvl4pPr marL="1371600" indent="0">
            <a:defRPr sz="1100">
              <a:solidFill>
                <a:sysClr val="windowText" lastClr="000000"/>
              </a:solidFill>
              <a:latin typeface="Calibri"/>
            </a:defRPr>
          </a:lvl4pPr>
          <a:lvl5pPr marL="1828800" indent="0">
            <a:defRPr sz="1100">
              <a:solidFill>
                <a:sysClr val="windowText" lastClr="000000"/>
              </a:solidFill>
              <a:latin typeface="Calibri"/>
            </a:defRPr>
          </a:lvl5pPr>
          <a:lvl6pPr marL="2286000" indent="0">
            <a:defRPr sz="1100">
              <a:solidFill>
                <a:sysClr val="windowText" lastClr="000000"/>
              </a:solidFill>
              <a:latin typeface="Calibri"/>
            </a:defRPr>
          </a:lvl6pPr>
          <a:lvl7pPr marL="2743200" indent="0">
            <a:defRPr sz="1100">
              <a:solidFill>
                <a:sysClr val="windowText" lastClr="000000"/>
              </a:solidFill>
              <a:latin typeface="Calibri"/>
            </a:defRPr>
          </a:lvl7pPr>
          <a:lvl8pPr marL="3200400" indent="0">
            <a:defRPr sz="1100">
              <a:solidFill>
                <a:sysClr val="windowText" lastClr="000000"/>
              </a:solidFill>
              <a:latin typeface="Calibri"/>
            </a:defRPr>
          </a:lvl8pPr>
          <a:lvl9pPr marL="3657600" indent="0">
            <a:defRPr sz="1100">
              <a:solidFill>
                <a:sysClr val="windowText" lastClr="000000"/>
              </a:solidFill>
              <a:latin typeface="Calibri"/>
            </a:defRPr>
          </a:lvl9pPr>
        </a:lstStyle>
        <a:p xmlns:a="http://schemas.openxmlformats.org/drawingml/2006/main">
          <a:pPr algn="ctr"/>
          <a:endParaRPr lang="es-CO" sz="800" b="0" i="0">
            <a:solidFill>
              <a:srgbClr val="0070C0"/>
            </a:solidFill>
            <a:latin typeface="Cambria"/>
          </a:endParaRPr>
        </a:p>
      </cdr:txBody>
    </cdr:sp>
  </cdr:relSizeAnchor>
  <cdr:relSizeAnchor xmlns:cdr="http://schemas.openxmlformats.org/drawingml/2006/chartDrawing">
    <cdr:from>
      <cdr:x>0.92832</cdr:x>
      <cdr:y>0.8586</cdr:y>
    </cdr:from>
    <cdr:to>
      <cdr:x>0.99045</cdr:x>
      <cdr:y>0.91445</cdr:y>
    </cdr:to>
    <cdr:sp macro="" textlink="">
      <cdr:nvSpPr>
        <cdr:cNvPr id="16" name="2 CuadroTexto"/>
        <cdr:cNvSpPr txBox="1"/>
      </cdr:nvSpPr>
      <cdr:spPr>
        <a:xfrm xmlns:a="http://schemas.openxmlformats.org/drawingml/2006/main">
          <a:off x="9006512" y="3240949"/>
          <a:ext cx="602812" cy="210816"/>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tx1"/>
        </a:fontRef>
      </cdr:style>
      <cdr:txBody>
        <a:bodyPr xmlns:a="http://schemas.openxmlformats.org/drawingml/2006/main" wrap="square" rtlCol="0" anchor="ctr">
          <a:noAutofit/>
        </a:bodyPr>
        <a:lstStyle xmlns:a="http://schemas.openxmlformats.org/drawingml/2006/main">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xmlns:a="http://schemas.openxmlformats.org/drawingml/2006/main">
          <a:pPr algn="ctr"/>
          <a:endParaRPr lang="es-CO" sz="800" b="0" i="0">
            <a:solidFill>
              <a:srgbClr val="0070C0"/>
            </a:solidFill>
            <a:latin typeface="Cambria"/>
          </a:endParaRPr>
        </a:p>
      </cdr:txBody>
    </cdr:sp>
  </cdr:relSizeAnchor>
  <cdr:relSizeAnchor xmlns:cdr="http://schemas.openxmlformats.org/drawingml/2006/chartDrawing">
    <cdr:from>
      <cdr:x>0.87816</cdr:x>
      <cdr:y>0.01652</cdr:y>
    </cdr:from>
    <cdr:to>
      <cdr:x>0.90674</cdr:x>
      <cdr:y>0.30284</cdr:y>
    </cdr:to>
    <cdr:sp macro="" textlink="">
      <cdr:nvSpPr>
        <cdr:cNvPr id="19" name="2 CuadroTexto"/>
        <cdr:cNvSpPr txBox="1"/>
      </cdr:nvSpPr>
      <cdr:spPr>
        <a:xfrm xmlns:a="http://schemas.openxmlformats.org/drawingml/2006/main" rot="16200000">
          <a:off x="8062497" y="464976"/>
          <a:ext cx="1080764" cy="275501"/>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tx1"/>
        </a:fontRef>
      </cdr:style>
      <cdr:txBody>
        <a:bodyPr xmlns:a="http://schemas.openxmlformats.org/drawingml/2006/main" wrap="square" rtlCol="0" anchor="ctr">
          <a:noAutofit/>
        </a:bodyPr>
        <a:lstStyle xmlns:a="http://schemas.openxmlformats.org/drawingml/2006/main">
          <a:lvl1pPr marL="0" indent="0">
            <a:defRPr sz="1100">
              <a:solidFill>
                <a:sysClr val="windowText" lastClr="000000"/>
              </a:solidFill>
              <a:latin typeface="Calibri"/>
            </a:defRPr>
          </a:lvl1pPr>
          <a:lvl2pPr marL="457200" indent="0">
            <a:defRPr sz="1100">
              <a:solidFill>
                <a:sysClr val="windowText" lastClr="000000"/>
              </a:solidFill>
              <a:latin typeface="Calibri"/>
            </a:defRPr>
          </a:lvl2pPr>
          <a:lvl3pPr marL="914400" indent="0">
            <a:defRPr sz="1100">
              <a:solidFill>
                <a:sysClr val="windowText" lastClr="000000"/>
              </a:solidFill>
              <a:latin typeface="Calibri"/>
            </a:defRPr>
          </a:lvl3pPr>
          <a:lvl4pPr marL="1371600" indent="0">
            <a:defRPr sz="1100">
              <a:solidFill>
                <a:sysClr val="windowText" lastClr="000000"/>
              </a:solidFill>
              <a:latin typeface="Calibri"/>
            </a:defRPr>
          </a:lvl4pPr>
          <a:lvl5pPr marL="1828800" indent="0">
            <a:defRPr sz="1100">
              <a:solidFill>
                <a:sysClr val="windowText" lastClr="000000"/>
              </a:solidFill>
              <a:latin typeface="Calibri"/>
            </a:defRPr>
          </a:lvl5pPr>
          <a:lvl6pPr marL="2286000" indent="0">
            <a:defRPr sz="1100">
              <a:solidFill>
                <a:sysClr val="windowText" lastClr="000000"/>
              </a:solidFill>
              <a:latin typeface="Calibri"/>
            </a:defRPr>
          </a:lvl6pPr>
          <a:lvl7pPr marL="2743200" indent="0">
            <a:defRPr sz="1100">
              <a:solidFill>
                <a:sysClr val="windowText" lastClr="000000"/>
              </a:solidFill>
              <a:latin typeface="Calibri"/>
            </a:defRPr>
          </a:lvl7pPr>
          <a:lvl8pPr marL="3200400" indent="0">
            <a:defRPr sz="1100">
              <a:solidFill>
                <a:sysClr val="windowText" lastClr="000000"/>
              </a:solidFill>
              <a:latin typeface="Calibri"/>
            </a:defRPr>
          </a:lvl8pPr>
          <a:lvl9pPr marL="3657600" indent="0">
            <a:defRPr sz="1100">
              <a:solidFill>
                <a:sysClr val="windowText" lastClr="000000"/>
              </a:solidFill>
              <a:latin typeface="Calibri"/>
            </a:defRPr>
          </a:lvl9pPr>
        </a:lstStyle>
        <a:p xmlns:a="http://schemas.openxmlformats.org/drawingml/2006/main">
          <a:pPr algn="l"/>
          <a:endParaRPr lang="es-CO" sz="800" b="0" i="0">
            <a:latin typeface="Cambria"/>
          </a:endParaRPr>
        </a:p>
      </cdr:txBody>
    </cdr:sp>
  </cdr:relSizeAnchor>
  <cdr:relSizeAnchor xmlns:cdr="http://schemas.openxmlformats.org/drawingml/2006/chartDrawing">
    <cdr:from>
      <cdr:x>0.07475</cdr:x>
      <cdr:y>0.19396</cdr:y>
    </cdr:from>
    <cdr:to>
      <cdr:x>0.0985</cdr:x>
      <cdr:y>0.42297</cdr:y>
    </cdr:to>
    <cdr:sp macro="" textlink="">
      <cdr:nvSpPr>
        <cdr:cNvPr id="23" name="22 CuadroTexto"/>
        <cdr:cNvSpPr txBox="1"/>
      </cdr:nvSpPr>
      <cdr:spPr>
        <a:xfrm xmlns:a="http://schemas.openxmlformats.org/drawingml/2006/main" rot="16200000">
          <a:off x="364034" y="1119100"/>
          <a:ext cx="914400" cy="225136"/>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endParaRPr lang="es-ES" sz="800">
            <a:latin typeface="Cambria" pitchFamily="18" charset="0"/>
          </a:endParaRPr>
        </a:p>
      </cdr:txBody>
    </cdr:sp>
  </cdr:relSizeAnchor>
  <cdr:relSizeAnchor xmlns:cdr="http://schemas.openxmlformats.org/drawingml/2006/chartDrawing">
    <cdr:from>
      <cdr:x>0.1396</cdr:x>
      <cdr:y>0.20264</cdr:y>
    </cdr:from>
    <cdr:to>
      <cdr:x>0.16152</cdr:x>
      <cdr:y>0.43164</cdr:y>
    </cdr:to>
    <cdr:sp macro="" textlink="">
      <cdr:nvSpPr>
        <cdr:cNvPr id="24" name="23 CuadroTexto"/>
        <cdr:cNvSpPr txBox="1"/>
      </cdr:nvSpPr>
      <cdr:spPr>
        <a:xfrm xmlns:a="http://schemas.openxmlformats.org/drawingml/2006/main" rot="16200000">
          <a:off x="970171" y="1162396"/>
          <a:ext cx="914400" cy="207818"/>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endParaRPr lang="es-ES" sz="800">
            <a:latin typeface="Cambria" pitchFamily="18" charset="0"/>
          </a:endParaRPr>
        </a:p>
      </cdr:txBody>
    </cdr:sp>
  </cdr:relSizeAnchor>
  <cdr:relSizeAnchor xmlns:cdr="http://schemas.openxmlformats.org/drawingml/2006/chartDrawing">
    <cdr:from>
      <cdr:x>0.35698</cdr:x>
      <cdr:y>0.17445</cdr:y>
    </cdr:from>
    <cdr:to>
      <cdr:x>0.3789</cdr:x>
      <cdr:y>0.40346</cdr:y>
    </cdr:to>
    <cdr:sp macro="" textlink="">
      <cdr:nvSpPr>
        <cdr:cNvPr id="25" name="24 CuadroTexto"/>
        <cdr:cNvSpPr txBox="1"/>
      </cdr:nvSpPr>
      <cdr:spPr>
        <a:xfrm xmlns:a="http://schemas.openxmlformats.org/drawingml/2006/main" rot="16200000">
          <a:off x="3030991" y="1049843"/>
          <a:ext cx="914409" cy="207808"/>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endParaRPr lang="es-ES" sz="800">
            <a:latin typeface="Cambria" pitchFamily="18" charset="0"/>
          </a:endParaRPr>
        </a:p>
      </cdr:txBody>
    </cdr:sp>
  </cdr:relSizeAnchor>
  <cdr:relSizeAnchor xmlns:cdr="http://schemas.openxmlformats.org/drawingml/2006/chartDrawing">
    <cdr:from>
      <cdr:x>0.9385</cdr:x>
      <cdr:y>0.18221</cdr:y>
    </cdr:from>
    <cdr:to>
      <cdr:x>0.95768</cdr:x>
      <cdr:y>0.41121</cdr:y>
    </cdr:to>
    <cdr:sp macro="" textlink="">
      <cdr:nvSpPr>
        <cdr:cNvPr id="32" name="31 CuadroTexto"/>
        <cdr:cNvSpPr txBox="1"/>
      </cdr:nvSpPr>
      <cdr:spPr>
        <a:xfrm xmlns:a="http://schemas.openxmlformats.org/drawingml/2006/main" rot="16200000">
          <a:off x="9529024" y="1082804"/>
          <a:ext cx="913670" cy="202016"/>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endParaRPr lang="es-ES" sz="800">
            <a:latin typeface="Cambria" pitchFamily="18" charset="0"/>
          </a:endParaRPr>
        </a:p>
      </cdr:txBody>
    </cdr:sp>
  </cdr:relSizeAnchor>
  <cdr:relSizeAnchor xmlns:cdr="http://schemas.openxmlformats.org/drawingml/2006/chartDrawing">
    <cdr:from>
      <cdr:x>0.7796</cdr:x>
      <cdr:y>0.15442</cdr:y>
    </cdr:from>
    <cdr:to>
      <cdr:x>0.79176</cdr:x>
      <cdr:y>0.36758</cdr:y>
    </cdr:to>
    <cdr:sp macro="" textlink="">
      <cdr:nvSpPr>
        <cdr:cNvPr id="3" name="2 CuadroTexto"/>
        <cdr:cNvSpPr txBox="1"/>
      </cdr:nvSpPr>
      <cdr:spPr>
        <a:xfrm xmlns:a="http://schemas.openxmlformats.org/drawingml/2006/main">
          <a:off x="7893113" y="616124"/>
          <a:ext cx="123149" cy="850447"/>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s-MX" sz="800"/>
        </a:p>
      </cdr:txBody>
    </cdr:sp>
  </cdr:relSizeAnchor>
  <cdr:relSizeAnchor xmlns:cdr="http://schemas.openxmlformats.org/drawingml/2006/chartDrawing">
    <cdr:from>
      <cdr:x>0.78807</cdr:x>
      <cdr:y>0.15715</cdr:y>
    </cdr:from>
    <cdr:to>
      <cdr:x>0.80308</cdr:x>
      <cdr:y>0.32324</cdr:y>
    </cdr:to>
    <cdr:sp macro="" textlink="">
      <cdr:nvSpPr>
        <cdr:cNvPr id="27" name="2 CuadroTexto"/>
        <cdr:cNvSpPr txBox="1"/>
      </cdr:nvSpPr>
      <cdr:spPr>
        <a:xfrm xmlns:a="http://schemas.openxmlformats.org/drawingml/2006/main" rot="16200000">
          <a:off x="7723484" y="882363"/>
          <a:ext cx="662667" cy="151959"/>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tx1"/>
        </a:fontRef>
      </cdr:style>
      <cdr:txBody>
        <a:bodyPr xmlns:a="http://schemas.openxmlformats.org/drawingml/2006/main" wrap="square" rtlCol="0" anchor="ctr">
          <a:noAutofit/>
        </a:bodyPr>
        <a:lstStyle xmlns:a="http://schemas.openxmlformats.org/drawingml/2006/main">
          <a:lvl1pPr marL="0" indent="0">
            <a:defRPr sz="1100">
              <a:solidFill>
                <a:sysClr val="windowText" lastClr="000000"/>
              </a:solidFill>
              <a:latin typeface="Calibri"/>
            </a:defRPr>
          </a:lvl1pPr>
          <a:lvl2pPr marL="457200" indent="0">
            <a:defRPr sz="1100">
              <a:solidFill>
                <a:sysClr val="windowText" lastClr="000000"/>
              </a:solidFill>
              <a:latin typeface="Calibri"/>
            </a:defRPr>
          </a:lvl2pPr>
          <a:lvl3pPr marL="914400" indent="0">
            <a:defRPr sz="1100">
              <a:solidFill>
                <a:sysClr val="windowText" lastClr="000000"/>
              </a:solidFill>
              <a:latin typeface="Calibri"/>
            </a:defRPr>
          </a:lvl3pPr>
          <a:lvl4pPr marL="1371600" indent="0">
            <a:defRPr sz="1100">
              <a:solidFill>
                <a:sysClr val="windowText" lastClr="000000"/>
              </a:solidFill>
              <a:latin typeface="Calibri"/>
            </a:defRPr>
          </a:lvl4pPr>
          <a:lvl5pPr marL="1828800" indent="0">
            <a:defRPr sz="1100">
              <a:solidFill>
                <a:sysClr val="windowText" lastClr="000000"/>
              </a:solidFill>
              <a:latin typeface="Calibri"/>
            </a:defRPr>
          </a:lvl5pPr>
          <a:lvl6pPr marL="2286000" indent="0">
            <a:defRPr sz="1100">
              <a:solidFill>
                <a:sysClr val="windowText" lastClr="000000"/>
              </a:solidFill>
              <a:latin typeface="Calibri"/>
            </a:defRPr>
          </a:lvl6pPr>
          <a:lvl7pPr marL="2743200" indent="0">
            <a:defRPr sz="1100">
              <a:solidFill>
                <a:sysClr val="windowText" lastClr="000000"/>
              </a:solidFill>
              <a:latin typeface="Calibri"/>
            </a:defRPr>
          </a:lvl7pPr>
          <a:lvl8pPr marL="3200400" indent="0">
            <a:defRPr sz="1100">
              <a:solidFill>
                <a:sysClr val="windowText" lastClr="000000"/>
              </a:solidFill>
              <a:latin typeface="Calibri"/>
            </a:defRPr>
          </a:lvl8pPr>
          <a:lvl9pPr marL="3657600" indent="0">
            <a:defRPr sz="1100">
              <a:solidFill>
                <a:sysClr val="windowText" lastClr="000000"/>
              </a:solidFill>
              <a:latin typeface="Calibri"/>
            </a:defRPr>
          </a:lvl9pPr>
        </a:lstStyle>
        <a:p xmlns:a="http://schemas.openxmlformats.org/drawingml/2006/main">
          <a:pPr algn="l"/>
          <a:endParaRPr lang="es-CO" sz="600" b="0" i="0" baseline="0">
            <a:latin typeface="Arial" pitchFamily="34" charset="0"/>
          </a:endParaRPr>
        </a:p>
      </cdr:txBody>
    </cdr:sp>
  </cdr:relSizeAnchor>
  <cdr:relSizeAnchor xmlns:cdr="http://schemas.openxmlformats.org/drawingml/2006/chartDrawing">
    <cdr:from>
      <cdr:x>0.22305</cdr:x>
      <cdr:y>0.39743</cdr:y>
    </cdr:from>
    <cdr:to>
      <cdr:x>0.24992</cdr:x>
      <cdr:y>0.52382</cdr:y>
    </cdr:to>
    <cdr:sp macro="" textlink="">
      <cdr:nvSpPr>
        <cdr:cNvPr id="42" name="41 CuadroTexto"/>
        <cdr:cNvSpPr txBox="1"/>
      </cdr:nvSpPr>
      <cdr:spPr>
        <a:xfrm xmlns:a="http://schemas.openxmlformats.org/drawingml/2006/main">
          <a:off x="2326026" y="1585670"/>
          <a:ext cx="280151" cy="504267"/>
        </a:xfrm>
        <a:prstGeom xmlns:a="http://schemas.openxmlformats.org/drawingml/2006/main" prst="rect">
          <a:avLst/>
        </a:prstGeom>
      </cdr:spPr>
      <cdr:txBody>
        <a:bodyPr xmlns:a="http://schemas.openxmlformats.org/drawingml/2006/main" vertOverflow="clip" vert="vert270" wrap="square" rtlCol="0" anchor="ctr"/>
        <a:lstStyle xmlns:a="http://schemas.openxmlformats.org/drawingml/2006/main"/>
        <a:p xmlns:a="http://schemas.openxmlformats.org/drawingml/2006/main">
          <a:pPr algn="ctr"/>
          <a:endParaRPr lang="es-MX" sz="800">
            <a:latin typeface="Arial" pitchFamily="34" charset="0"/>
            <a:cs typeface="Arial" pitchFamily="34" charset="0"/>
          </a:endParaRPr>
        </a:p>
      </cdr:txBody>
    </cdr:sp>
  </cdr:relSizeAnchor>
  <cdr:relSizeAnchor xmlns:cdr="http://schemas.openxmlformats.org/drawingml/2006/chartDrawing">
    <cdr:from>
      <cdr:x>0.94596</cdr:x>
      <cdr:y>0.38932</cdr:y>
    </cdr:from>
    <cdr:to>
      <cdr:x>0.97073</cdr:x>
      <cdr:y>0.58508</cdr:y>
    </cdr:to>
    <cdr:sp macro="" textlink="">
      <cdr:nvSpPr>
        <cdr:cNvPr id="49" name="48 CuadroTexto"/>
        <cdr:cNvSpPr txBox="1"/>
      </cdr:nvSpPr>
      <cdr:spPr>
        <a:xfrm xmlns:a="http://schemas.openxmlformats.org/drawingml/2006/main">
          <a:off x="9856757" y="1553308"/>
          <a:ext cx="258061" cy="781059"/>
        </a:xfrm>
        <a:prstGeom xmlns:a="http://schemas.openxmlformats.org/drawingml/2006/main" prst="rect">
          <a:avLst/>
        </a:prstGeom>
      </cdr:spPr>
      <cdr:txBody>
        <a:bodyPr xmlns:a="http://schemas.openxmlformats.org/drawingml/2006/main" vertOverflow="clip" vert="vert270" wrap="square" rtlCol="0" anchor="ctr"/>
        <a:lstStyle xmlns:a="http://schemas.openxmlformats.org/drawingml/2006/main"/>
        <a:p xmlns:a="http://schemas.openxmlformats.org/drawingml/2006/main">
          <a:pPr algn="ctr"/>
          <a:endParaRPr lang="es-MX" sz="800">
            <a:latin typeface="Arial" pitchFamily="34" charset="0"/>
            <a:cs typeface="Arial" pitchFamily="34" charset="0"/>
          </a:endParaRPr>
        </a:p>
      </cdr:txBody>
    </cdr:sp>
  </cdr:relSizeAnchor>
  <cdr:relSizeAnchor xmlns:cdr="http://schemas.openxmlformats.org/drawingml/2006/chartDrawing">
    <cdr:from>
      <cdr:x>0.69339</cdr:x>
      <cdr:y>0.51167</cdr:y>
    </cdr:from>
    <cdr:to>
      <cdr:x>0.72502</cdr:x>
      <cdr:y>0.83575</cdr:y>
    </cdr:to>
    <cdr:sp macro="" textlink="">
      <cdr:nvSpPr>
        <cdr:cNvPr id="57" name="56 CuadroTexto"/>
        <cdr:cNvSpPr txBox="1"/>
      </cdr:nvSpPr>
      <cdr:spPr>
        <a:xfrm xmlns:a="http://schemas.openxmlformats.org/drawingml/2006/main">
          <a:off x="7291046" y="2041471"/>
          <a:ext cx="332593" cy="1293023"/>
        </a:xfrm>
        <a:prstGeom xmlns:a="http://schemas.openxmlformats.org/drawingml/2006/main" prst="rect">
          <a:avLst/>
        </a:prstGeom>
      </cdr:spPr>
      <cdr:txBody>
        <a:bodyPr xmlns:a="http://schemas.openxmlformats.org/drawingml/2006/main" vertOverflow="clip" vert="vert270" wrap="square" rtlCol="0" anchor="ctr"/>
        <a:lstStyle xmlns:a="http://schemas.openxmlformats.org/drawingml/2006/main"/>
        <a:p xmlns:a="http://schemas.openxmlformats.org/drawingml/2006/main">
          <a:pPr algn="ctr"/>
          <a:endParaRPr lang="es-MX" sz="800">
            <a:latin typeface="Arial" pitchFamily="34" charset="0"/>
            <a:cs typeface="Arial" pitchFamily="34" charset="0"/>
          </a:endParaRPr>
        </a:p>
      </cdr:txBody>
    </cdr:sp>
  </cdr:relSizeAnchor>
  <cdr:relSizeAnchor xmlns:cdr="http://schemas.openxmlformats.org/drawingml/2006/chartDrawing">
    <cdr:from>
      <cdr:x>0.95186</cdr:x>
      <cdr:y>0.40283</cdr:y>
    </cdr:from>
    <cdr:to>
      <cdr:x>0.97552</cdr:x>
      <cdr:y>0.59403</cdr:y>
    </cdr:to>
    <cdr:sp macro="" textlink="">
      <cdr:nvSpPr>
        <cdr:cNvPr id="62" name="61 CuadroTexto"/>
        <cdr:cNvSpPr txBox="1"/>
      </cdr:nvSpPr>
      <cdr:spPr>
        <a:xfrm xmlns:a="http://schemas.openxmlformats.org/drawingml/2006/main">
          <a:off x="10008857" y="1607236"/>
          <a:ext cx="248837" cy="762851"/>
        </a:xfrm>
        <a:prstGeom xmlns:a="http://schemas.openxmlformats.org/drawingml/2006/main" prst="rect">
          <a:avLst/>
        </a:prstGeom>
      </cdr:spPr>
      <cdr:txBody>
        <a:bodyPr xmlns:a="http://schemas.openxmlformats.org/drawingml/2006/main" vertOverflow="clip" vert="vert270" wrap="square" rtlCol="0" anchor="ctr"/>
        <a:lstStyle xmlns:a="http://schemas.openxmlformats.org/drawingml/2006/main"/>
        <a:p xmlns:a="http://schemas.openxmlformats.org/drawingml/2006/main">
          <a:pPr algn="ctr"/>
          <a:endParaRPr lang="es-MX" sz="800">
            <a:latin typeface="Arial" pitchFamily="34" charset="0"/>
            <a:cs typeface="Arial" pitchFamily="34" charset="0"/>
          </a:endParaRPr>
        </a:p>
      </cdr:txBody>
    </cdr:sp>
  </cdr:relSizeAnchor>
  <cdr:relSizeAnchor xmlns:cdr="http://schemas.openxmlformats.org/drawingml/2006/chartDrawing">
    <cdr:from>
      <cdr:x>0.94619</cdr:x>
      <cdr:y>0.38791</cdr:y>
    </cdr:from>
    <cdr:to>
      <cdr:x>0.96986</cdr:x>
      <cdr:y>0.57911</cdr:y>
    </cdr:to>
    <cdr:sp macro="" textlink="">
      <cdr:nvSpPr>
        <cdr:cNvPr id="68" name="67 CuadroTexto"/>
        <cdr:cNvSpPr txBox="1"/>
      </cdr:nvSpPr>
      <cdr:spPr>
        <a:xfrm xmlns:a="http://schemas.openxmlformats.org/drawingml/2006/main">
          <a:off x="9949319" y="1547687"/>
          <a:ext cx="248892" cy="762854"/>
        </a:xfrm>
        <a:prstGeom xmlns:a="http://schemas.openxmlformats.org/drawingml/2006/main" prst="rect">
          <a:avLst/>
        </a:prstGeom>
      </cdr:spPr>
      <cdr:txBody>
        <a:bodyPr xmlns:a="http://schemas.openxmlformats.org/drawingml/2006/main" vertOverflow="clip" vert="vert270" wrap="square" rtlCol="0" anchor="ctr"/>
        <a:lstStyle xmlns:a="http://schemas.openxmlformats.org/drawingml/2006/main"/>
        <a:p xmlns:a="http://schemas.openxmlformats.org/drawingml/2006/main">
          <a:pPr algn="ctr"/>
          <a:endParaRPr lang="es-MX" sz="800">
            <a:latin typeface="Arial" pitchFamily="34" charset="0"/>
            <a:cs typeface="Arial" pitchFamily="34" charset="0"/>
          </a:endParaRPr>
        </a:p>
      </cdr:txBody>
    </cdr:sp>
  </cdr:relSizeAnchor>
  <cdr:relSizeAnchor xmlns:cdr="http://schemas.openxmlformats.org/drawingml/2006/chartDrawing">
    <cdr:from>
      <cdr:x>0.20789</cdr:x>
      <cdr:y>0.25682</cdr:y>
    </cdr:from>
    <cdr:to>
      <cdr:x>0.23951</cdr:x>
      <cdr:y>0.58091</cdr:y>
    </cdr:to>
    <cdr:sp macro="" textlink="">
      <cdr:nvSpPr>
        <cdr:cNvPr id="70" name="69 CuadroTexto"/>
        <cdr:cNvSpPr txBox="1"/>
      </cdr:nvSpPr>
      <cdr:spPr>
        <a:xfrm xmlns:a="http://schemas.openxmlformats.org/drawingml/2006/main">
          <a:off x="2203755" y="1024659"/>
          <a:ext cx="335198" cy="1293062"/>
        </a:xfrm>
        <a:prstGeom xmlns:a="http://schemas.openxmlformats.org/drawingml/2006/main" prst="rect">
          <a:avLst/>
        </a:prstGeom>
      </cdr:spPr>
      <cdr:txBody>
        <a:bodyPr xmlns:a="http://schemas.openxmlformats.org/drawingml/2006/main" vertOverflow="clip" vert="vert270" wrap="square" rtlCol="0" anchor="ctr"/>
        <a:lstStyle xmlns:a="http://schemas.openxmlformats.org/drawingml/2006/main"/>
        <a:p xmlns:a="http://schemas.openxmlformats.org/drawingml/2006/main">
          <a:pPr algn="ctr"/>
          <a:endParaRPr lang="es-MX" sz="800">
            <a:latin typeface="Arial" pitchFamily="34" charset="0"/>
            <a:cs typeface="Arial" pitchFamily="34" charset="0"/>
          </a:endParaRPr>
        </a:p>
      </cdr:txBody>
    </cdr:sp>
  </cdr:relSizeAnchor>
  <cdr:relSizeAnchor xmlns:cdr="http://schemas.openxmlformats.org/drawingml/2006/chartDrawing">
    <cdr:from>
      <cdr:x>0.94553</cdr:x>
      <cdr:y>0.31172</cdr:y>
    </cdr:from>
    <cdr:to>
      <cdr:x>0.97715</cdr:x>
      <cdr:y>0.63581</cdr:y>
    </cdr:to>
    <cdr:sp macro="" textlink="">
      <cdr:nvSpPr>
        <cdr:cNvPr id="71" name="70 CuadroTexto"/>
        <cdr:cNvSpPr txBox="1"/>
      </cdr:nvSpPr>
      <cdr:spPr>
        <a:xfrm xmlns:a="http://schemas.openxmlformats.org/drawingml/2006/main">
          <a:off x="9973535" y="1243725"/>
          <a:ext cx="333530" cy="1293063"/>
        </a:xfrm>
        <a:prstGeom xmlns:a="http://schemas.openxmlformats.org/drawingml/2006/main" prst="rect">
          <a:avLst/>
        </a:prstGeom>
      </cdr:spPr>
      <cdr:txBody>
        <a:bodyPr xmlns:a="http://schemas.openxmlformats.org/drawingml/2006/main" vertOverflow="clip" vert="vert270" wrap="square" rtlCol="0" anchor="ctr"/>
        <a:lstStyle xmlns:a="http://schemas.openxmlformats.org/drawingml/2006/main"/>
        <a:p xmlns:a="http://schemas.openxmlformats.org/drawingml/2006/main">
          <a:pPr algn="ctr"/>
          <a:endParaRPr lang="es-MX" sz="800">
            <a:latin typeface="Arial" pitchFamily="34" charset="0"/>
            <a:cs typeface="Arial" pitchFamily="34" charset="0"/>
          </a:endParaRPr>
        </a:p>
      </cdr:txBody>
    </cdr:sp>
  </cdr:relSizeAnchor>
  <cdr:relSizeAnchor xmlns:cdr="http://schemas.openxmlformats.org/drawingml/2006/chartDrawing">
    <cdr:from>
      <cdr:x>0.85986</cdr:x>
      <cdr:y>0.36295</cdr:y>
    </cdr:from>
    <cdr:to>
      <cdr:x>0.87305</cdr:x>
      <cdr:y>0.56098</cdr:y>
    </cdr:to>
    <cdr:sp macro="" textlink="">
      <cdr:nvSpPr>
        <cdr:cNvPr id="73" name="72 CuadroTexto"/>
        <cdr:cNvSpPr txBox="1"/>
      </cdr:nvSpPr>
      <cdr:spPr>
        <a:xfrm xmlns:a="http://schemas.openxmlformats.org/drawingml/2006/main">
          <a:off x="9069816" y="1448087"/>
          <a:ext cx="139213" cy="790114"/>
        </a:xfrm>
        <a:prstGeom xmlns:a="http://schemas.openxmlformats.org/drawingml/2006/main" prst="rect">
          <a:avLst/>
        </a:prstGeom>
      </cdr:spPr>
      <cdr:txBody>
        <a:bodyPr xmlns:a="http://schemas.openxmlformats.org/drawingml/2006/main" vertOverflow="clip" vert="vert270" wrap="square" rtlCol="0" anchor="ctr"/>
        <a:lstStyle xmlns:a="http://schemas.openxmlformats.org/drawingml/2006/main"/>
        <a:p xmlns:a="http://schemas.openxmlformats.org/drawingml/2006/main">
          <a:pPr algn="ctr"/>
          <a:endParaRPr lang="es-MX" sz="800">
            <a:latin typeface="Arial" pitchFamily="34" charset="0"/>
            <a:cs typeface="Arial" pitchFamily="34" charset="0"/>
          </a:endParaRPr>
        </a:p>
      </cdr:txBody>
    </cdr:sp>
  </cdr:relSizeAnchor>
  <cdr:relSizeAnchor xmlns:cdr="http://schemas.openxmlformats.org/drawingml/2006/chartDrawing">
    <cdr:from>
      <cdr:x>0.92446</cdr:x>
      <cdr:y>0.38607</cdr:y>
    </cdr:from>
    <cdr:to>
      <cdr:x>0.94346</cdr:x>
      <cdr:y>0.53894</cdr:y>
    </cdr:to>
    <cdr:sp macro="" textlink="">
      <cdr:nvSpPr>
        <cdr:cNvPr id="75" name="74 CuadroTexto"/>
        <cdr:cNvSpPr txBox="1"/>
      </cdr:nvSpPr>
      <cdr:spPr>
        <a:xfrm xmlns:a="http://schemas.openxmlformats.org/drawingml/2006/main">
          <a:off x="9751222" y="1540366"/>
          <a:ext cx="200492" cy="609911"/>
        </a:xfrm>
        <a:prstGeom xmlns:a="http://schemas.openxmlformats.org/drawingml/2006/main" prst="rect">
          <a:avLst/>
        </a:prstGeom>
      </cdr:spPr>
      <cdr:txBody>
        <a:bodyPr xmlns:a="http://schemas.openxmlformats.org/drawingml/2006/main" vertOverflow="clip" vert="vert270" wrap="square" rtlCol="0" anchor="ctr"/>
        <a:lstStyle xmlns:a="http://schemas.openxmlformats.org/drawingml/2006/main"/>
        <a:p xmlns:a="http://schemas.openxmlformats.org/drawingml/2006/main">
          <a:pPr algn="ctr"/>
          <a:endParaRPr lang="es-MX" sz="800">
            <a:latin typeface="Arial" pitchFamily="34" charset="0"/>
            <a:cs typeface="Arial" pitchFamily="34" charset="0"/>
          </a:endParaRPr>
        </a:p>
      </cdr:txBody>
    </cdr:sp>
  </cdr:relSizeAnchor>
  <cdr:relSizeAnchor xmlns:cdr="http://schemas.openxmlformats.org/drawingml/2006/chartDrawing">
    <cdr:from>
      <cdr:x>0.90552</cdr:x>
      <cdr:y>0.44043</cdr:y>
    </cdr:from>
    <cdr:to>
      <cdr:x>0.91802</cdr:x>
      <cdr:y>0.60248</cdr:y>
    </cdr:to>
    <cdr:sp macro="" textlink="">
      <cdr:nvSpPr>
        <cdr:cNvPr id="77" name="76 CuadroTexto"/>
        <cdr:cNvSpPr txBox="1"/>
      </cdr:nvSpPr>
      <cdr:spPr>
        <a:xfrm xmlns:a="http://schemas.openxmlformats.org/drawingml/2006/main">
          <a:off x="9538818" y="1757243"/>
          <a:ext cx="131677" cy="646551"/>
        </a:xfrm>
        <a:prstGeom xmlns:a="http://schemas.openxmlformats.org/drawingml/2006/main" prst="rect">
          <a:avLst/>
        </a:prstGeom>
      </cdr:spPr>
      <cdr:txBody>
        <a:bodyPr xmlns:a="http://schemas.openxmlformats.org/drawingml/2006/main" vertOverflow="clip" vert="vert270" wrap="square" rtlCol="0" anchor="ctr"/>
        <a:lstStyle xmlns:a="http://schemas.openxmlformats.org/drawingml/2006/main"/>
        <a:p xmlns:a="http://schemas.openxmlformats.org/drawingml/2006/main">
          <a:pPr algn="ctr"/>
          <a:endParaRPr lang="es-MX" sz="800">
            <a:latin typeface="Arial" pitchFamily="34" charset="0"/>
            <a:cs typeface="Arial" pitchFamily="34" charset="0"/>
          </a:endParaRPr>
        </a:p>
      </cdr:txBody>
    </cdr:sp>
  </cdr:relSizeAnchor>
  <cdr:relSizeAnchor xmlns:cdr="http://schemas.openxmlformats.org/drawingml/2006/chartDrawing">
    <cdr:from>
      <cdr:x>0.24656</cdr:x>
      <cdr:y>0.45497</cdr:y>
    </cdr:from>
    <cdr:to>
      <cdr:x>0.26904</cdr:x>
      <cdr:y>0.62686</cdr:y>
    </cdr:to>
    <cdr:sp macro="" textlink="">
      <cdr:nvSpPr>
        <cdr:cNvPr id="82" name="81 CuadroTexto"/>
        <cdr:cNvSpPr txBox="1"/>
      </cdr:nvSpPr>
      <cdr:spPr>
        <a:xfrm xmlns:a="http://schemas.openxmlformats.org/drawingml/2006/main">
          <a:off x="2613711" y="1815263"/>
          <a:ext cx="238307" cy="685810"/>
        </a:xfrm>
        <a:prstGeom xmlns:a="http://schemas.openxmlformats.org/drawingml/2006/main" prst="rect">
          <a:avLst/>
        </a:prstGeom>
      </cdr:spPr>
      <cdr:txBody>
        <a:bodyPr xmlns:a="http://schemas.openxmlformats.org/drawingml/2006/main" vertOverflow="clip" vert="vert270" wrap="square" rtlCol="0" anchor="ctr"/>
        <a:lstStyle xmlns:a="http://schemas.openxmlformats.org/drawingml/2006/main"/>
        <a:p xmlns:a="http://schemas.openxmlformats.org/drawingml/2006/main">
          <a:pPr algn="ctr"/>
          <a:endParaRPr lang="es-MX" sz="800">
            <a:latin typeface="Arial" pitchFamily="34" charset="0"/>
            <a:cs typeface="Arial" pitchFamily="34" charset="0"/>
          </a:endParaRPr>
        </a:p>
      </cdr:txBody>
    </cdr:sp>
  </cdr:relSizeAnchor>
  <cdr:relSizeAnchor xmlns:cdr="http://schemas.openxmlformats.org/drawingml/2006/chartDrawing">
    <cdr:from>
      <cdr:x>0.22858</cdr:x>
      <cdr:y>0.38574</cdr:y>
    </cdr:from>
    <cdr:to>
      <cdr:x>0.25106</cdr:x>
      <cdr:y>0.60119</cdr:y>
    </cdr:to>
    <cdr:sp macro="" textlink="">
      <cdr:nvSpPr>
        <cdr:cNvPr id="96" name="95 CuadroTexto"/>
        <cdr:cNvSpPr txBox="1"/>
      </cdr:nvSpPr>
      <cdr:spPr>
        <a:xfrm xmlns:a="http://schemas.openxmlformats.org/drawingml/2006/main">
          <a:off x="2423166" y="1539046"/>
          <a:ext cx="238306" cy="859614"/>
        </a:xfrm>
        <a:prstGeom xmlns:a="http://schemas.openxmlformats.org/drawingml/2006/main" prst="rect">
          <a:avLst/>
        </a:prstGeom>
      </cdr:spPr>
      <cdr:txBody>
        <a:bodyPr xmlns:a="http://schemas.openxmlformats.org/drawingml/2006/main" vertOverflow="clip" vert="vert270" wrap="square" rtlCol="0" anchor="ctr"/>
        <a:lstStyle xmlns:a="http://schemas.openxmlformats.org/drawingml/2006/main"/>
        <a:p xmlns:a="http://schemas.openxmlformats.org/drawingml/2006/main">
          <a:pPr algn="ctr"/>
          <a:endParaRPr lang="es-MX" sz="800">
            <a:latin typeface="Arial" pitchFamily="34" charset="0"/>
            <a:cs typeface="Arial" pitchFamily="34" charset="0"/>
          </a:endParaRPr>
        </a:p>
      </cdr:txBody>
    </cdr:sp>
  </cdr:relSizeAnchor>
  <cdr:relSizeAnchor xmlns:cdr="http://schemas.openxmlformats.org/drawingml/2006/chartDrawing">
    <cdr:from>
      <cdr:x>0.23757</cdr:x>
      <cdr:y>0.40245</cdr:y>
    </cdr:from>
    <cdr:to>
      <cdr:x>0.26005</cdr:x>
      <cdr:y>0.70146</cdr:y>
    </cdr:to>
    <cdr:sp macro="" textlink="">
      <cdr:nvSpPr>
        <cdr:cNvPr id="97" name="96 CuadroTexto"/>
        <cdr:cNvSpPr txBox="1"/>
      </cdr:nvSpPr>
      <cdr:spPr>
        <a:xfrm xmlns:a="http://schemas.openxmlformats.org/drawingml/2006/main">
          <a:off x="2518416" y="1605720"/>
          <a:ext cx="238306" cy="1192990"/>
        </a:xfrm>
        <a:prstGeom xmlns:a="http://schemas.openxmlformats.org/drawingml/2006/main" prst="rect">
          <a:avLst/>
        </a:prstGeom>
      </cdr:spPr>
      <cdr:txBody>
        <a:bodyPr xmlns:a="http://schemas.openxmlformats.org/drawingml/2006/main" vertOverflow="clip" vert="vert270" wrap="square" rtlCol="0" anchor="ctr"/>
        <a:lstStyle xmlns:a="http://schemas.openxmlformats.org/drawingml/2006/main"/>
        <a:p xmlns:a="http://schemas.openxmlformats.org/drawingml/2006/main">
          <a:pPr algn="ctr"/>
          <a:endParaRPr lang="es-MX" sz="800">
            <a:latin typeface="Arial" pitchFamily="34" charset="0"/>
            <a:cs typeface="Arial" pitchFamily="34" charset="0"/>
          </a:endParaRPr>
        </a:p>
      </cdr:txBody>
    </cdr:sp>
  </cdr:relSizeAnchor>
  <cdr:relSizeAnchor xmlns:cdr="http://schemas.openxmlformats.org/drawingml/2006/chartDrawing">
    <cdr:from>
      <cdr:x>0.16031</cdr:x>
      <cdr:y>0.37142</cdr:y>
    </cdr:from>
    <cdr:to>
      <cdr:x>0.18278</cdr:x>
      <cdr:y>0.67997</cdr:y>
    </cdr:to>
    <cdr:sp macro="" textlink="">
      <cdr:nvSpPr>
        <cdr:cNvPr id="103" name="102 CuadroTexto"/>
        <cdr:cNvSpPr txBox="1"/>
      </cdr:nvSpPr>
      <cdr:spPr>
        <a:xfrm xmlns:a="http://schemas.openxmlformats.org/drawingml/2006/main">
          <a:off x="1699363" y="1481920"/>
          <a:ext cx="238306" cy="1231060"/>
        </a:xfrm>
        <a:prstGeom xmlns:a="http://schemas.openxmlformats.org/drawingml/2006/main" prst="rect">
          <a:avLst/>
        </a:prstGeom>
      </cdr:spPr>
      <cdr:txBody>
        <a:bodyPr xmlns:a="http://schemas.openxmlformats.org/drawingml/2006/main" vertOverflow="clip" vert="vert270" wrap="square" rtlCol="0" anchor="ctr"/>
        <a:lstStyle xmlns:a="http://schemas.openxmlformats.org/drawingml/2006/main"/>
        <a:p xmlns:a="http://schemas.openxmlformats.org/drawingml/2006/main">
          <a:pPr algn="ctr"/>
          <a:endParaRPr lang="es-MX" sz="800">
            <a:latin typeface="Arial" pitchFamily="34" charset="0"/>
            <a:cs typeface="Arial" pitchFamily="34" charset="0"/>
          </a:endParaRPr>
        </a:p>
      </cdr:txBody>
    </cdr:sp>
  </cdr:relSizeAnchor>
  <cdr:relSizeAnchor xmlns:cdr="http://schemas.openxmlformats.org/drawingml/2006/chartDrawing">
    <cdr:from>
      <cdr:x>0.14951</cdr:x>
      <cdr:y>0.39291</cdr:y>
    </cdr:from>
    <cdr:to>
      <cdr:x>0.17199</cdr:x>
      <cdr:y>0.67043</cdr:y>
    </cdr:to>
    <cdr:sp macro="" textlink="">
      <cdr:nvSpPr>
        <cdr:cNvPr id="108" name="107 CuadroTexto"/>
        <cdr:cNvSpPr txBox="1"/>
      </cdr:nvSpPr>
      <cdr:spPr>
        <a:xfrm xmlns:a="http://schemas.openxmlformats.org/drawingml/2006/main">
          <a:off x="1584928" y="1567629"/>
          <a:ext cx="238307" cy="1107256"/>
        </a:xfrm>
        <a:prstGeom xmlns:a="http://schemas.openxmlformats.org/drawingml/2006/main" prst="rect">
          <a:avLst/>
        </a:prstGeom>
      </cdr:spPr>
      <cdr:txBody>
        <a:bodyPr xmlns:a="http://schemas.openxmlformats.org/drawingml/2006/main" vertOverflow="clip" vert="vert270" wrap="square" rtlCol="0" anchor="ctr"/>
        <a:lstStyle xmlns:a="http://schemas.openxmlformats.org/drawingml/2006/main"/>
        <a:p xmlns:a="http://schemas.openxmlformats.org/drawingml/2006/main">
          <a:pPr algn="ctr"/>
          <a:endParaRPr lang="es-MX" sz="800">
            <a:latin typeface="Arial" pitchFamily="34" charset="0"/>
            <a:cs typeface="Arial" pitchFamily="34" charset="0"/>
          </a:endParaRPr>
        </a:p>
      </cdr:txBody>
    </cdr:sp>
  </cdr:relSizeAnchor>
  <cdr:relSizeAnchor xmlns:cdr="http://schemas.openxmlformats.org/drawingml/2006/chartDrawing">
    <cdr:from>
      <cdr:x>0.20971</cdr:x>
      <cdr:y>0.37142</cdr:y>
    </cdr:from>
    <cdr:to>
      <cdr:x>0.23219</cdr:x>
      <cdr:y>0.56061</cdr:y>
    </cdr:to>
    <cdr:sp macro="" textlink="">
      <cdr:nvSpPr>
        <cdr:cNvPr id="109" name="108 CuadroTexto"/>
        <cdr:cNvSpPr txBox="1"/>
      </cdr:nvSpPr>
      <cdr:spPr>
        <a:xfrm xmlns:a="http://schemas.openxmlformats.org/drawingml/2006/main">
          <a:off x="2223141" y="1481896"/>
          <a:ext cx="238306" cy="754839"/>
        </a:xfrm>
        <a:prstGeom xmlns:a="http://schemas.openxmlformats.org/drawingml/2006/main" prst="rect">
          <a:avLst/>
        </a:prstGeom>
      </cdr:spPr>
      <cdr:txBody>
        <a:bodyPr xmlns:a="http://schemas.openxmlformats.org/drawingml/2006/main" vertOverflow="clip" vert="vert270" wrap="square" rtlCol="0" anchor="ctr"/>
        <a:lstStyle xmlns:a="http://schemas.openxmlformats.org/drawingml/2006/main"/>
        <a:p xmlns:a="http://schemas.openxmlformats.org/drawingml/2006/main">
          <a:pPr algn="ctr"/>
          <a:endParaRPr lang="es-MX" sz="800">
            <a:latin typeface="Arial" pitchFamily="34" charset="0"/>
            <a:cs typeface="Arial" pitchFamily="34" charset="0"/>
          </a:endParaRPr>
        </a:p>
      </cdr:txBody>
    </cdr:sp>
  </cdr:relSizeAnchor>
  <cdr:relSizeAnchor xmlns:cdr="http://schemas.openxmlformats.org/drawingml/2006/chartDrawing">
    <cdr:from>
      <cdr:x>0.57581</cdr:x>
      <cdr:y>0.00104</cdr:y>
    </cdr:from>
    <cdr:to>
      <cdr:x>0.95354</cdr:x>
      <cdr:y>0.11699</cdr:y>
    </cdr:to>
    <cdr:sp macro="" textlink="">
      <cdr:nvSpPr>
        <cdr:cNvPr id="2" name="1 CuadroTexto"/>
        <cdr:cNvSpPr txBox="1"/>
      </cdr:nvSpPr>
      <cdr:spPr>
        <a:xfrm xmlns:a="http://schemas.openxmlformats.org/drawingml/2006/main">
          <a:off x="6036080" y="4142"/>
          <a:ext cx="3959678" cy="462643"/>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s-CO" sz="1100"/>
        </a:p>
      </cdr:txBody>
    </cdr:sp>
  </cdr:relSizeAnchor>
  <cdr:relSizeAnchor xmlns:cdr="http://schemas.openxmlformats.org/drawingml/2006/chartDrawing">
    <cdr:from>
      <cdr:x>0.04864</cdr:x>
      <cdr:y>0.86472</cdr:y>
    </cdr:from>
    <cdr:to>
      <cdr:x>0.1021</cdr:x>
      <cdr:y>0.92056</cdr:y>
    </cdr:to>
    <cdr:sp macro="" textlink="">
      <cdr:nvSpPr>
        <cdr:cNvPr id="4" name="2 CuadroTexto"/>
        <cdr:cNvSpPr txBox="1"/>
      </cdr:nvSpPr>
      <cdr:spPr>
        <a:xfrm xmlns:a="http://schemas.openxmlformats.org/drawingml/2006/main">
          <a:off x="471880" y="3264033"/>
          <a:ext cx="518732" cy="210778"/>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tx1"/>
        </a:fontRef>
      </cdr:style>
      <cdr:txBody>
        <a:bodyPr xmlns:a="http://schemas.openxmlformats.org/drawingml/2006/main" wrap="square" rtlCol="0" anchor="ctr">
          <a:noAutofit/>
        </a:bodyPr>
        <a:lstStyle xmlns:a="http://schemas.openxmlformats.org/drawingml/2006/main">
          <a:lvl1pPr marL="0" indent="0">
            <a:defRPr sz="1100">
              <a:solidFill>
                <a:sysClr val="windowText" lastClr="000000"/>
              </a:solidFill>
              <a:latin typeface="Calibri"/>
            </a:defRPr>
          </a:lvl1pPr>
          <a:lvl2pPr marL="457200" indent="0">
            <a:defRPr sz="1100">
              <a:solidFill>
                <a:sysClr val="windowText" lastClr="000000"/>
              </a:solidFill>
              <a:latin typeface="Calibri"/>
            </a:defRPr>
          </a:lvl2pPr>
          <a:lvl3pPr marL="914400" indent="0">
            <a:defRPr sz="1100">
              <a:solidFill>
                <a:sysClr val="windowText" lastClr="000000"/>
              </a:solidFill>
              <a:latin typeface="Calibri"/>
            </a:defRPr>
          </a:lvl3pPr>
          <a:lvl4pPr marL="1371600" indent="0">
            <a:defRPr sz="1100">
              <a:solidFill>
                <a:sysClr val="windowText" lastClr="000000"/>
              </a:solidFill>
              <a:latin typeface="Calibri"/>
            </a:defRPr>
          </a:lvl4pPr>
          <a:lvl5pPr marL="1828800" indent="0">
            <a:defRPr sz="1100">
              <a:solidFill>
                <a:sysClr val="windowText" lastClr="000000"/>
              </a:solidFill>
              <a:latin typeface="Calibri"/>
            </a:defRPr>
          </a:lvl5pPr>
          <a:lvl6pPr marL="2286000" indent="0">
            <a:defRPr sz="1100">
              <a:solidFill>
                <a:sysClr val="windowText" lastClr="000000"/>
              </a:solidFill>
              <a:latin typeface="Calibri"/>
            </a:defRPr>
          </a:lvl6pPr>
          <a:lvl7pPr marL="2743200" indent="0">
            <a:defRPr sz="1100">
              <a:solidFill>
                <a:sysClr val="windowText" lastClr="000000"/>
              </a:solidFill>
              <a:latin typeface="Calibri"/>
            </a:defRPr>
          </a:lvl7pPr>
          <a:lvl8pPr marL="3200400" indent="0">
            <a:defRPr sz="1100">
              <a:solidFill>
                <a:sysClr val="windowText" lastClr="000000"/>
              </a:solidFill>
              <a:latin typeface="Calibri"/>
            </a:defRPr>
          </a:lvl8pPr>
          <a:lvl9pPr marL="3657600" indent="0">
            <a:defRPr sz="1100">
              <a:solidFill>
                <a:sysClr val="windowText" lastClr="000000"/>
              </a:solidFill>
              <a:latin typeface="Calibri"/>
            </a:defRPr>
          </a:lvl9pPr>
        </a:lstStyle>
        <a:p xmlns:a="http://schemas.openxmlformats.org/drawingml/2006/main">
          <a:pPr algn="ctr"/>
          <a:endParaRPr lang="es-CO" sz="800" b="0" i="0">
            <a:solidFill>
              <a:srgbClr val="0070C0"/>
            </a:solidFill>
            <a:latin typeface="Cambria"/>
          </a:endParaRPr>
        </a:p>
      </cdr:txBody>
    </cdr:sp>
  </cdr:relSizeAnchor>
  <cdr:relSizeAnchor xmlns:cdr="http://schemas.openxmlformats.org/drawingml/2006/chartDrawing">
    <cdr:from>
      <cdr:x>0.48364</cdr:x>
      <cdr:y>0.86056</cdr:y>
    </cdr:from>
    <cdr:to>
      <cdr:x>0.55218</cdr:x>
      <cdr:y>0.91641</cdr:y>
    </cdr:to>
    <cdr:sp macro="" textlink="">
      <cdr:nvSpPr>
        <cdr:cNvPr id="5" name="2 CuadroTexto"/>
        <cdr:cNvSpPr txBox="1"/>
      </cdr:nvSpPr>
      <cdr:spPr>
        <a:xfrm xmlns:a="http://schemas.openxmlformats.org/drawingml/2006/main">
          <a:off x="4692264" y="3248341"/>
          <a:ext cx="665026" cy="210815"/>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tx1"/>
        </a:fontRef>
      </cdr:style>
      <cdr:txBody>
        <a:bodyPr xmlns:a="http://schemas.openxmlformats.org/drawingml/2006/main" wrap="square" rtlCol="0" anchor="ctr">
          <a:noAutofit/>
        </a:bodyPr>
        <a:lstStyle xmlns:a="http://schemas.openxmlformats.org/drawingml/2006/main">
          <a:lvl1pPr marL="0" indent="0">
            <a:defRPr sz="1100">
              <a:solidFill>
                <a:sysClr val="windowText" lastClr="000000"/>
              </a:solidFill>
              <a:latin typeface="Calibri"/>
            </a:defRPr>
          </a:lvl1pPr>
          <a:lvl2pPr marL="457200" indent="0">
            <a:defRPr sz="1100">
              <a:solidFill>
                <a:sysClr val="windowText" lastClr="000000"/>
              </a:solidFill>
              <a:latin typeface="Calibri"/>
            </a:defRPr>
          </a:lvl2pPr>
          <a:lvl3pPr marL="914400" indent="0">
            <a:defRPr sz="1100">
              <a:solidFill>
                <a:sysClr val="windowText" lastClr="000000"/>
              </a:solidFill>
              <a:latin typeface="Calibri"/>
            </a:defRPr>
          </a:lvl3pPr>
          <a:lvl4pPr marL="1371600" indent="0">
            <a:defRPr sz="1100">
              <a:solidFill>
                <a:sysClr val="windowText" lastClr="000000"/>
              </a:solidFill>
              <a:latin typeface="Calibri"/>
            </a:defRPr>
          </a:lvl4pPr>
          <a:lvl5pPr marL="1828800" indent="0">
            <a:defRPr sz="1100">
              <a:solidFill>
                <a:sysClr val="windowText" lastClr="000000"/>
              </a:solidFill>
              <a:latin typeface="Calibri"/>
            </a:defRPr>
          </a:lvl5pPr>
          <a:lvl6pPr marL="2286000" indent="0">
            <a:defRPr sz="1100">
              <a:solidFill>
                <a:sysClr val="windowText" lastClr="000000"/>
              </a:solidFill>
              <a:latin typeface="Calibri"/>
            </a:defRPr>
          </a:lvl6pPr>
          <a:lvl7pPr marL="2743200" indent="0">
            <a:defRPr sz="1100">
              <a:solidFill>
                <a:sysClr val="windowText" lastClr="000000"/>
              </a:solidFill>
              <a:latin typeface="Calibri"/>
            </a:defRPr>
          </a:lvl7pPr>
          <a:lvl8pPr marL="3200400" indent="0">
            <a:defRPr sz="1100">
              <a:solidFill>
                <a:sysClr val="windowText" lastClr="000000"/>
              </a:solidFill>
              <a:latin typeface="Calibri"/>
            </a:defRPr>
          </a:lvl8pPr>
          <a:lvl9pPr marL="3657600" indent="0">
            <a:defRPr sz="1100">
              <a:solidFill>
                <a:sysClr val="windowText" lastClr="000000"/>
              </a:solidFill>
              <a:latin typeface="Calibri"/>
            </a:defRPr>
          </a:lvl9pPr>
        </a:lstStyle>
        <a:p xmlns:a="http://schemas.openxmlformats.org/drawingml/2006/main">
          <a:pPr algn="ctr"/>
          <a:endParaRPr lang="es-CO" sz="800" b="0" i="0">
            <a:solidFill>
              <a:srgbClr val="0070C0"/>
            </a:solidFill>
            <a:latin typeface="Cambria"/>
          </a:endParaRPr>
        </a:p>
      </cdr:txBody>
    </cdr:sp>
  </cdr:relSizeAnchor>
  <cdr:relSizeAnchor xmlns:cdr="http://schemas.openxmlformats.org/drawingml/2006/chartDrawing">
    <cdr:from>
      <cdr:x>0.92832</cdr:x>
      <cdr:y>0.8586</cdr:y>
    </cdr:from>
    <cdr:to>
      <cdr:x>0.99045</cdr:x>
      <cdr:y>0.91445</cdr:y>
    </cdr:to>
    <cdr:sp macro="" textlink="">
      <cdr:nvSpPr>
        <cdr:cNvPr id="7" name="2 CuadroTexto"/>
        <cdr:cNvSpPr txBox="1"/>
      </cdr:nvSpPr>
      <cdr:spPr>
        <a:xfrm xmlns:a="http://schemas.openxmlformats.org/drawingml/2006/main">
          <a:off x="9006512" y="3240949"/>
          <a:ext cx="602812" cy="210816"/>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tx1"/>
        </a:fontRef>
      </cdr:style>
      <cdr:txBody>
        <a:bodyPr xmlns:a="http://schemas.openxmlformats.org/drawingml/2006/main" wrap="square" rtlCol="0" anchor="ctr">
          <a:noAutofit/>
        </a:bodyPr>
        <a:lstStyle xmlns:a="http://schemas.openxmlformats.org/drawingml/2006/main">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xmlns:a="http://schemas.openxmlformats.org/drawingml/2006/main">
          <a:pPr algn="ctr"/>
          <a:endParaRPr lang="es-CO" sz="800" b="0" i="0">
            <a:solidFill>
              <a:srgbClr val="0070C0"/>
            </a:solidFill>
            <a:latin typeface="Cambria"/>
          </a:endParaRPr>
        </a:p>
      </cdr:txBody>
    </cdr:sp>
  </cdr:relSizeAnchor>
  <cdr:relSizeAnchor xmlns:cdr="http://schemas.openxmlformats.org/drawingml/2006/chartDrawing">
    <cdr:from>
      <cdr:x>0.87816</cdr:x>
      <cdr:y>0.01652</cdr:y>
    </cdr:from>
    <cdr:to>
      <cdr:x>0.90674</cdr:x>
      <cdr:y>0.30284</cdr:y>
    </cdr:to>
    <cdr:sp macro="" textlink="">
      <cdr:nvSpPr>
        <cdr:cNvPr id="9" name="2 CuadroTexto"/>
        <cdr:cNvSpPr txBox="1"/>
      </cdr:nvSpPr>
      <cdr:spPr>
        <a:xfrm xmlns:a="http://schemas.openxmlformats.org/drawingml/2006/main" rot="16200000">
          <a:off x="8062497" y="464976"/>
          <a:ext cx="1080764" cy="275501"/>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tx1"/>
        </a:fontRef>
      </cdr:style>
      <cdr:txBody>
        <a:bodyPr xmlns:a="http://schemas.openxmlformats.org/drawingml/2006/main" wrap="square" rtlCol="0" anchor="ctr">
          <a:noAutofit/>
        </a:bodyPr>
        <a:lstStyle xmlns:a="http://schemas.openxmlformats.org/drawingml/2006/main">
          <a:lvl1pPr marL="0" indent="0">
            <a:defRPr sz="1100">
              <a:solidFill>
                <a:sysClr val="windowText" lastClr="000000"/>
              </a:solidFill>
              <a:latin typeface="Calibri"/>
            </a:defRPr>
          </a:lvl1pPr>
          <a:lvl2pPr marL="457200" indent="0">
            <a:defRPr sz="1100">
              <a:solidFill>
                <a:sysClr val="windowText" lastClr="000000"/>
              </a:solidFill>
              <a:latin typeface="Calibri"/>
            </a:defRPr>
          </a:lvl2pPr>
          <a:lvl3pPr marL="914400" indent="0">
            <a:defRPr sz="1100">
              <a:solidFill>
                <a:sysClr val="windowText" lastClr="000000"/>
              </a:solidFill>
              <a:latin typeface="Calibri"/>
            </a:defRPr>
          </a:lvl3pPr>
          <a:lvl4pPr marL="1371600" indent="0">
            <a:defRPr sz="1100">
              <a:solidFill>
                <a:sysClr val="windowText" lastClr="000000"/>
              </a:solidFill>
              <a:latin typeface="Calibri"/>
            </a:defRPr>
          </a:lvl4pPr>
          <a:lvl5pPr marL="1828800" indent="0">
            <a:defRPr sz="1100">
              <a:solidFill>
                <a:sysClr val="windowText" lastClr="000000"/>
              </a:solidFill>
              <a:latin typeface="Calibri"/>
            </a:defRPr>
          </a:lvl5pPr>
          <a:lvl6pPr marL="2286000" indent="0">
            <a:defRPr sz="1100">
              <a:solidFill>
                <a:sysClr val="windowText" lastClr="000000"/>
              </a:solidFill>
              <a:latin typeface="Calibri"/>
            </a:defRPr>
          </a:lvl6pPr>
          <a:lvl7pPr marL="2743200" indent="0">
            <a:defRPr sz="1100">
              <a:solidFill>
                <a:sysClr val="windowText" lastClr="000000"/>
              </a:solidFill>
              <a:latin typeface="Calibri"/>
            </a:defRPr>
          </a:lvl7pPr>
          <a:lvl8pPr marL="3200400" indent="0">
            <a:defRPr sz="1100">
              <a:solidFill>
                <a:sysClr val="windowText" lastClr="000000"/>
              </a:solidFill>
              <a:latin typeface="Calibri"/>
            </a:defRPr>
          </a:lvl8pPr>
          <a:lvl9pPr marL="3657600" indent="0">
            <a:defRPr sz="1100">
              <a:solidFill>
                <a:sysClr val="windowText" lastClr="000000"/>
              </a:solidFill>
              <a:latin typeface="Calibri"/>
            </a:defRPr>
          </a:lvl9pPr>
        </a:lstStyle>
        <a:p xmlns:a="http://schemas.openxmlformats.org/drawingml/2006/main">
          <a:pPr algn="l"/>
          <a:endParaRPr lang="es-CO" sz="800" b="0" i="0">
            <a:latin typeface="Cambria"/>
          </a:endParaRPr>
        </a:p>
      </cdr:txBody>
    </cdr:sp>
  </cdr:relSizeAnchor>
  <cdr:relSizeAnchor xmlns:cdr="http://schemas.openxmlformats.org/drawingml/2006/chartDrawing">
    <cdr:from>
      <cdr:x>0.1396</cdr:x>
      <cdr:y>0.20264</cdr:y>
    </cdr:from>
    <cdr:to>
      <cdr:x>0.16152</cdr:x>
      <cdr:y>0.43164</cdr:y>
    </cdr:to>
    <cdr:sp macro="" textlink="">
      <cdr:nvSpPr>
        <cdr:cNvPr id="15" name="23 CuadroTexto"/>
        <cdr:cNvSpPr txBox="1"/>
      </cdr:nvSpPr>
      <cdr:spPr>
        <a:xfrm xmlns:a="http://schemas.openxmlformats.org/drawingml/2006/main" rot="16200000">
          <a:off x="970171" y="1162396"/>
          <a:ext cx="914400" cy="207818"/>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endParaRPr lang="es-ES" sz="800">
            <a:latin typeface="Cambria" pitchFamily="18" charset="0"/>
          </a:endParaRPr>
        </a:p>
      </cdr:txBody>
    </cdr:sp>
  </cdr:relSizeAnchor>
  <cdr:relSizeAnchor xmlns:cdr="http://schemas.openxmlformats.org/drawingml/2006/chartDrawing">
    <cdr:from>
      <cdr:x>0.35698</cdr:x>
      <cdr:y>0.17445</cdr:y>
    </cdr:from>
    <cdr:to>
      <cdr:x>0.3789</cdr:x>
      <cdr:y>0.40346</cdr:y>
    </cdr:to>
    <cdr:sp macro="" textlink="">
      <cdr:nvSpPr>
        <cdr:cNvPr id="17" name="24 CuadroTexto"/>
        <cdr:cNvSpPr txBox="1"/>
      </cdr:nvSpPr>
      <cdr:spPr>
        <a:xfrm xmlns:a="http://schemas.openxmlformats.org/drawingml/2006/main" rot="16200000">
          <a:off x="3030991" y="1049843"/>
          <a:ext cx="914409" cy="207808"/>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endParaRPr lang="es-ES" sz="800">
            <a:latin typeface="Cambria" pitchFamily="18" charset="0"/>
          </a:endParaRPr>
        </a:p>
      </cdr:txBody>
    </cdr:sp>
  </cdr:relSizeAnchor>
  <cdr:relSizeAnchor xmlns:cdr="http://schemas.openxmlformats.org/drawingml/2006/chartDrawing">
    <cdr:from>
      <cdr:x>0.9385</cdr:x>
      <cdr:y>0.18221</cdr:y>
    </cdr:from>
    <cdr:to>
      <cdr:x>0.95768</cdr:x>
      <cdr:y>0.41121</cdr:y>
    </cdr:to>
    <cdr:sp macro="" textlink="">
      <cdr:nvSpPr>
        <cdr:cNvPr id="18" name="31 CuadroTexto"/>
        <cdr:cNvSpPr txBox="1"/>
      </cdr:nvSpPr>
      <cdr:spPr>
        <a:xfrm xmlns:a="http://schemas.openxmlformats.org/drawingml/2006/main" rot="16200000">
          <a:off x="9529024" y="1082804"/>
          <a:ext cx="913670" cy="202016"/>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endParaRPr lang="es-ES" sz="800">
            <a:latin typeface="Cambria" pitchFamily="18" charset="0"/>
          </a:endParaRPr>
        </a:p>
      </cdr:txBody>
    </cdr:sp>
  </cdr:relSizeAnchor>
  <cdr:relSizeAnchor xmlns:cdr="http://schemas.openxmlformats.org/drawingml/2006/chartDrawing">
    <cdr:from>
      <cdr:x>0.7796</cdr:x>
      <cdr:y>0.15442</cdr:y>
    </cdr:from>
    <cdr:to>
      <cdr:x>0.79176</cdr:x>
      <cdr:y>0.36758</cdr:y>
    </cdr:to>
    <cdr:sp macro="" textlink="">
      <cdr:nvSpPr>
        <cdr:cNvPr id="20" name="2 CuadroTexto"/>
        <cdr:cNvSpPr txBox="1"/>
      </cdr:nvSpPr>
      <cdr:spPr>
        <a:xfrm xmlns:a="http://schemas.openxmlformats.org/drawingml/2006/main">
          <a:off x="7893113" y="616124"/>
          <a:ext cx="123149" cy="850447"/>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s-MX" sz="800"/>
        </a:p>
      </cdr:txBody>
    </cdr:sp>
  </cdr:relSizeAnchor>
  <cdr:relSizeAnchor xmlns:cdr="http://schemas.openxmlformats.org/drawingml/2006/chartDrawing">
    <cdr:from>
      <cdr:x>0.78807</cdr:x>
      <cdr:y>0.15715</cdr:y>
    </cdr:from>
    <cdr:to>
      <cdr:x>0.80308</cdr:x>
      <cdr:y>0.32324</cdr:y>
    </cdr:to>
    <cdr:sp macro="" textlink="">
      <cdr:nvSpPr>
        <cdr:cNvPr id="21" name="2 CuadroTexto"/>
        <cdr:cNvSpPr txBox="1"/>
      </cdr:nvSpPr>
      <cdr:spPr>
        <a:xfrm xmlns:a="http://schemas.openxmlformats.org/drawingml/2006/main" rot="16200000">
          <a:off x="7723484" y="882363"/>
          <a:ext cx="662667" cy="151959"/>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tx1"/>
        </a:fontRef>
      </cdr:style>
      <cdr:txBody>
        <a:bodyPr xmlns:a="http://schemas.openxmlformats.org/drawingml/2006/main" wrap="square" rtlCol="0" anchor="ctr">
          <a:noAutofit/>
        </a:bodyPr>
        <a:lstStyle xmlns:a="http://schemas.openxmlformats.org/drawingml/2006/main">
          <a:lvl1pPr marL="0" indent="0">
            <a:defRPr sz="1100">
              <a:solidFill>
                <a:sysClr val="windowText" lastClr="000000"/>
              </a:solidFill>
              <a:latin typeface="Calibri"/>
            </a:defRPr>
          </a:lvl1pPr>
          <a:lvl2pPr marL="457200" indent="0">
            <a:defRPr sz="1100">
              <a:solidFill>
                <a:sysClr val="windowText" lastClr="000000"/>
              </a:solidFill>
              <a:latin typeface="Calibri"/>
            </a:defRPr>
          </a:lvl2pPr>
          <a:lvl3pPr marL="914400" indent="0">
            <a:defRPr sz="1100">
              <a:solidFill>
                <a:sysClr val="windowText" lastClr="000000"/>
              </a:solidFill>
              <a:latin typeface="Calibri"/>
            </a:defRPr>
          </a:lvl3pPr>
          <a:lvl4pPr marL="1371600" indent="0">
            <a:defRPr sz="1100">
              <a:solidFill>
                <a:sysClr val="windowText" lastClr="000000"/>
              </a:solidFill>
              <a:latin typeface="Calibri"/>
            </a:defRPr>
          </a:lvl4pPr>
          <a:lvl5pPr marL="1828800" indent="0">
            <a:defRPr sz="1100">
              <a:solidFill>
                <a:sysClr val="windowText" lastClr="000000"/>
              </a:solidFill>
              <a:latin typeface="Calibri"/>
            </a:defRPr>
          </a:lvl5pPr>
          <a:lvl6pPr marL="2286000" indent="0">
            <a:defRPr sz="1100">
              <a:solidFill>
                <a:sysClr val="windowText" lastClr="000000"/>
              </a:solidFill>
              <a:latin typeface="Calibri"/>
            </a:defRPr>
          </a:lvl6pPr>
          <a:lvl7pPr marL="2743200" indent="0">
            <a:defRPr sz="1100">
              <a:solidFill>
                <a:sysClr val="windowText" lastClr="000000"/>
              </a:solidFill>
              <a:latin typeface="Calibri"/>
            </a:defRPr>
          </a:lvl7pPr>
          <a:lvl8pPr marL="3200400" indent="0">
            <a:defRPr sz="1100">
              <a:solidFill>
                <a:sysClr val="windowText" lastClr="000000"/>
              </a:solidFill>
              <a:latin typeface="Calibri"/>
            </a:defRPr>
          </a:lvl8pPr>
          <a:lvl9pPr marL="3657600" indent="0">
            <a:defRPr sz="1100">
              <a:solidFill>
                <a:sysClr val="windowText" lastClr="000000"/>
              </a:solidFill>
              <a:latin typeface="Calibri"/>
            </a:defRPr>
          </a:lvl9pPr>
        </a:lstStyle>
        <a:p xmlns:a="http://schemas.openxmlformats.org/drawingml/2006/main">
          <a:pPr algn="l"/>
          <a:endParaRPr lang="es-CO" sz="600" b="0" i="0" baseline="0">
            <a:latin typeface="Arial" pitchFamily="34" charset="0"/>
          </a:endParaRPr>
        </a:p>
      </cdr:txBody>
    </cdr:sp>
  </cdr:relSizeAnchor>
  <cdr:relSizeAnchor xmlns:cdr="http://schemas.openxmlformats.org/drawingml/2006/chartDrawing">
    <cdr:from>
      <cdr:x>0.79038</cdr:x>
      <cdr:y>0.46013</cdr:y>
    </cdr:from>
    <cdr:to>
      <cdr:x>0.83654</cdr:x>
      <cdr:y>0.78784</cdr:y>
    </cdr:to>
    <cdr:sp macro="" textlink="">
      <cdr:nvSpPr>
        <cdr:cNvPr id="22" name="4 CuadroTexto"/>
        <cdr:cNvSpPr txBox="1"/>
      </cdr:nvSpPr>
      <cdr:spPr>
        <a:xfrm xmlns:a="http://schemas.openxmlformats.org/drawingml/2006/main">
          <a:off x="8326001" y="1835819"/>
          <a:ext cx="486256" cy="1307505"/>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s-MX" sz="1100"/>
        </a:p>
      </cdr:txBody>
    </cdr:sp>
  </cdr:relSizeAnchor>
  <cdr:relSizeAnchor xmlns:cdr="http://schemas.openxmlformats.org/drawingml/2006/chartDrawing">
    <cdr:from>
      <cdr:x>0.84527</cdr:x>
      <cdr:y>0.37396</cdr:y>
    </cdr:from>
    <cdr:to>
      <cdr:x>0.86958</cdr:x>
      <cdr:y>0.572</cdr:y>
    </cdr:to>
    <cdr:sp macro="" textlink="">
      <cdr:nvSpPr>
        <cdr:cNvPr id="30" name="29 CuadroTexto"/>
        <cdr:cNvSpPr txBox="1"/>
      </cdr:nvSpPr>
      <cdr:spPr>
        <a:xfrm xmlns:a="http://schemas.openxmlformats.org/drawingml/2006/main">
          <a:off x="8915987" y="1492048"/>
          <a:ext cx="256408" cy="790114"/>
        </a:xfrm>
        <a:prstGeom xmlns:a="http://schemas.openxmlformats.org/drawingml/2006/main" prst="rect">
          <a:avLst/>
        </a:prstGeom>
      </cdr:spPr>
      <cdr:txBody>
        <a:bodyPr xmlns:a="http://schemas.openxmlformats.org/drawingml/2006/main" vertOverflow="clip" vert="vert270" wrap="square" rtlCol="0" anchor="ctr"/>
        <a:lstStyle xmlns:a="http://schemas.openxmlformats.org/drawingml/2006/main"/>
        <a:p xmlns:a="http://schemas.openxmlformats.org/drawingml/2006/main">
          <a:pPr algn="ctr"/>
          <a:endParaRPr lang="es-MX" sz="800">
            <a:latin typeface="Arial" pitchFamily="34" charset="0"/>
            <a:cs typeface="Arial" pitchFamily="34" charset="0"/>
          </a:endParaRPr>
        </a:p>
      </cdr:txBody>
    </cdr:sp>
  </cdr:relSizeAnchor>
  <cdr:relSizeAnchor xmlns:cdr="http://schemas.openxmlformats.org/drawingml/2006/chartDrawing">
    <cdr:from>
      <cdr:x>0.88069</cdr:x>
      <cdr:y>0.3553</cdr:y>
    </cdr:from>
    <cdr:to>
      <cdr:x>0.90702</cdr:x>
      <cdr:y>0.51539</cdr:y>
    </cdr:to>
    <cdr:sp macro="" textlink="">
      <cdr:nvSpPr>
        <cdr:cNvPr id="33" name="32 CuadroTexto"/>
        <cdr:cNvSpPr txBox="1"/>
      </cdr:nvSpPr>
      <cdr:spPr>
        <a:xfrm xmlns:a="http://schemas.openxmlformats.org/drawingml/2006/main">
          <a:off x="9184031" y="1417583"/>
          <a:ext cx="274544" cy="638736"/>
        </a:xfrm>
        <a:prstGeom xmlns:a="http://schemas.openxmlformats.org/drawingml/2006/main" prst="rect">
          <a:avLst/>
        </a:prstGeom>
      </cdr:spPr>
      <cdr:txBody>
        <a:bodyPr xmlns:a="http://schemas.openxmlformats.org/drawingml/2006/main" vertOverflow="clip" vert="vert270" wrap="square" rtlCol="0"/>
        <a:lstStyle xmlns:a="http://schemas.openxmlformats.org/drawingml/2006/main"/>
        <a:p xmlns:a="http://schemas.openxmlformats.org/drawingml/2006/main">
          <a:endParaRPr lang="es-MX" sz="800">
            <a:latin typeface="Arial" pitchFamily="34" charset="0"/>
            <a:cs typeface="Arial" pitchFamily="34" charset="0"/>
          </a:endParaRPr>
        </a:p>
      </cdr:txBody>
    </cdr:sp>
  </cdr:relSizeAnchor>
  <cdr:relSizeAnchor xmlns:cdr="http://schemas.openxmlformats.org/drawingml/2006/chartDrawing">
    <cdr:from>
      <cdr:x>0.70519</cdr:x>
      <cdr:y>0.32137</cdr:y>
    </cdr:from>
    <cdr:to>
      <cdr:x>0.73152</cdr:x>
      <cdr:y>0.48146</cdr:y>
    </cdr:to>
    <cdr:sp macro="" textlink="">
      <cdr:nvSpPr>
        <cdr:cNvPr id="34" name="33 CuadroTexto"/>
        <cdr:cNvSpPr txBox="1"/>
      </cdr:nvSpPr>
      <cdr:spPr>
        <a:xfrm xmlns:a="http://schemas.openxmlformats.org/drawingml/2006/main">
          <a:off x="7427516" y="1282216"/>
          <a:ext cx="277324" cy="638730"/>
        </a:xfrm>
        <a:prstGeom xmlns:a="http://schemas.openxmlformats.org/drawingml/2006/main" prst="rect">
          <a:avLst/>
        </a:prstGeom>
      </cdr:spPr>
      <cdr:txBody>
        <a:bodyPr xmlns:a="http://schemas.openxmlformats.org/drawingml/2006/main" vertOverflow="clip" vert="vert270" wrap="square" rtlCol="0" anchor="ctr"/>
        <a:lstStyle xmlns:a="http://schemas.openxmlformats.org/drawingml/2006/main"/>
        <a:p xmlns:a="http://schemas.openxmlformats.org/drawingml/2006/main">
          <a:pPr algn="ctr"/>
          <a:endParaRPr lang="es-MX" sz="800">
            <a:latin typeface="Arial" pitchFamily="34" charset="0"/>
            <a:cs typeface="Arial" pitchFamily="34" charset="0"/>
          </a:endParaRPr>
        </a:p>
      </cdr:txBody>
    </cdr:sp>
  </cdr:relSizeAnchor>
  <cdr:relSizeAnchor xmlns:cdr="http://schemas.openxmlformats.org/drawingml/2006/chartDrawing">
    <cdr:from>
      <cdr:x>0.62709</cdr:x>
      <cdr:y>0.37636</cdr:y>
    </cdr:from>
    <cdr:to>
      <cdr:x>0.65342</cdr:x>
      <cdr:y>0.53646</cdr:y>
    </cdr:to>
    <cdr:sp macro="" textlink="">
      <cdr:nvSpPr>
        <cdr:cNvPr id="36" name="35 CuadroTexto"/>
        <cdr:cNvSpPr txBox="1"/>
      </cdr:nvSpPr>
      <cdr:spPr>
        <a:xfrm xmlns:a="http://schemas.openxmlformats.org/drawingml/2006/main">
          <a:off x="6539441" y="1501627"/>
          <a:ext cx="274544" cy="638736"/>
        </a:xfrm>
        <a:prstGeom xmlns:a="http://schemas.openxmlformats.org/drawingml/2006/main" prst="rect">
          <a:avLst/>
        </a:prstGeom>
      </cdr:spPr>
      <cdr:txBody>
        <a:bodyPr xmlns:a="http://schemas.openxmlformats.org/drawingml/2006/main" vertOverflow="clip" vert="vert270" wrap="square" rtlCol="0" anchor="ctr"/>
        <a:lstStyle xmlns:a="http://schemas.openxmlformats.org/drawingml/2006/main"/>
        <a:p xmlns:a="http://schemas.openxmlformats.org/drawingml/2006/main">
          <a:pPr algn="ctr"/>
          <a:endParaRPr lang="es-MX" sz="800">
            <a:latin typeface="Arial" pitchFamily="34" charset="0"/>
            <a:cs typeface="Arial" pitchFamily="34" charset="0"/>
          </a:endParaRPr>
        </a:p>
      </cdr:txBody>
    </cdr:sp>
  </cdr:relSizeAnchor>
  <cdr:relSizeAnchor xmlns:cdr="http://schemas.openxmlformats.org/drawingml/2006/chartDrawing">
    <cdr:from>
      <cdr:x>0.65573</cdr:x>
      <cdr:y>0.38335</cdr:y>
    </cdr:from>
    <cdr:to>
      <cdr:x>0.68049</cdr:x>
      <cdr:y>0.57911</cdr:y>
    </cdr:to>
    <cdr:sp macro="" textlink="">
      <cdr:nvSpPr>
        <cdr:cNvPr id="48" name="47 CuadroTexto"/>
        <cdr:cNvSpPr txBox="1"/>
      </cdr:nvSpPr>
      <cdr:spPr>
        <a:xfrm xmlns:a="http://schemas.openxmlformats.org/drawingml/2006/main">
          <a:off x="6832570" y="1529496"/>
          <a:ext cx="258061" cy="781059"/>
        </a:xfrm>
        <a:prstGeom xmlns:a="http://schemas.openxmlformats.org/drawingml/2006/main" prst="rect">
          <a:avLst/>
        </a:prstGeom>
      </cdr:spPr>
      <cdr:txBody>
        <a:bodyPr xmlns:a="http://schemas.openxmlformats.org/drawingml/2006/main" vertOverflow="clip" vert="vert270" wrap="square" rtlCol="0" anchor="ctr"/>
        <a:lstStyle xmlns:a="http://schemas.openxmlformats.org/drawingml/2006/main"/>
        <a:p xmlns:a="http://schemas.openxmlformats.org/drawingml/2006/main">
          <a:pPr algn="ctr"/>
          <a:endParaRPr lang="es-MX" sz="800">
            <a:latin typeface="Arial" pitchFamily="34" charset="0"/>
            <a:cs typeface="Arial" pitchFamily="34" charset="0"/>
          </a:endParaRPr>
        </a:p>
      </cdr:txBody>
    </cdr:sp>
  </cdr:relSizeAnchor>
  <cdr:relSizeAnchor xmlns:cdr="http://schemas.openxmlformats.org/drawingml/2006/chartDrawing">
    <cdr:from>
      <cdr:x>0.94596</cdr:x>
      <cdr:y>0.38932</cdr:y>
    </cdr:from>
    <cdr:to>
      <cdr:x>0.97073</cdr:x>
      <cdr:y>0.58508</cdr:y>
    </cdr:to>
    <cdr:sp macro="" textlink="">
      <cdr:nvSpPr>
        <cdr:cNvPr id="28" name="48 CuadroTexto"/>
        <cdr:cNvSpPr txBox="1"/>
      </cdr:nvSpPr>
      <cdr:spPr>
        <a:xfrm xmlns:a="http://schemas.openxmlformats.org/drawingml/2006/main">
          <a:off x="9856757" y="1553308"/>
          <a:ext cx="258061" cy="781059"/>
        </a:xfrm>
        <a:prstGeom xmlns:a="http://schemas.openxmlformats.org/drawingml/2006/main" prst="rect">
          <a:avLst/>
        </a:prstGeom>
      </cdr:spPr>
      <cdr:txBody>
        <a:bodyPr xmlns:a="http://schemas.openxmlformats.org/drawingml/2006/main" vertOverflow="clip" vert="vert270" wrap="square" rtlCol="0" anchor="ctr"/>
        <a:lstStyle xmlns:a="http://schemas.openxmlformats.org/drawingml/2006/main"/>
        <a:p xmlns:a="http://schemas.openxmlformats.org/drawingml/2006/main">
          <a:pPr algn="ctr"/>
          <a:endParaRPr lang="es-MX" sz="800">
            <a:latin typeface="Arial" pitchFamily="34" charset="0"/>
            <a:cs typeface="Arial" pitchFamily="34" charset="0"/>
          </a:endParaRPr>
        </a:p>
      </cdr:txBody>
    </cdr:sp>
  </cdr:relSizeAnchor>
  <cdr:relSizeAnchor xmlns:cdr="http://schemas.openxmlformats.org/drawingml/2006/chartDrawing">
    <cdr:from>
      <cdr:x>0.57117</cdr:x>
      <cdr:y>0.19535</cdr:y>
    </cdr:from>
    <cdr:to>
      <cdr:x>0.59708</cdr:x>
      <cdr:y>0.58508</cdr:y>
    </cdr:to>
    <cdr:sp macro="" textlink="">
      <cdr:nvSpPr>
        <cdr:cNvPr id="54" name="53 CuadroTexto"/>
        <cdr:cNvSpPr txBox="1"/>
      </cdr:nvSpPr>
      <cdr:spPr>
        <a:xfrm xmlns:a="http://schemas.openxmlformats.org/drawingml/2006/main">
          <a:off x="5951508" y="779400"/>
          <a:ext cx="269969" cy="1554966"/>
        </a:xfrm>
        <a:prstGeom xmlns:a="http://schemas.openxmlformats.org/drawingml/2006/main" prst="rect">
          <a:avLst/>
        </a:prstGeom>
      </cdr:spPr>
      <cdr:txBody>
        <a:bodyPr xmlns:a="http://schemas.openxmlformats.org/drawingml/2006/main" vertOverflow="clip" vert="vert270" wrap="square" rtlCol="0" anchor="ctr"/>
        <a:lstStyle xmlns:a="http://schemas.openxmlformats.org/drawingml/2006/main"/>
        <a:p xmlns:a="http://schemas.openxmlformats.org/drawingml/2006/main">
          <a:pPr algn="ctr"/>
          <a:endParaRPr lang="es-MX" sz="800">
            <a:latin typeface="Arial" pitchFamily="34" charset="0"/>
            <a:cs typeface="Arial" pitchFamily="34" charset="0"/>
          </a:endParaRPr>
        </a:p>
      </cdr:txBody>
    </cdr:sp>
  </cdr:relSizeAnchor>
  <cdr:relSizeAnchor xmlns:cdr="http://schemas.openxmlformats.org/drawingml/2006/chartDrawing">
    <cdr:from>
      <cdr:x>0.66565</cdr:x>
      <cdr:y>0.41916</cdr:y>
    </cdr:from>
    <cdr:to>
      <cdr:x>0.6927</cdr:x>
      <cdr:y>0.56419</cdr:y>
    </cdr:to>
    <cdr:sp macro="" textlink="">
      <cdr:nvSpPr>
        <cdr:cNvPr id="55" name="54 CuadroTexto"/>
        <cdr:cNvSpPr txBox="1"/>
      </cdr:nvSpPr>
      <cdr:spPr>
        <a:xfrm xmlns:a="http://schemas.openxmlformats.org/drawingml/2006/main">
          <a:off x="7056435" y="1672388"/>
          <a:ext cx="286752" cy="578644"/>
        </a:xfrm>
        <a:prstGeom xmlns:a="http://schemas.openxmlformats.org/drawingml/2006/main" prst="rect">
          <a:avLst/>
        </a:prstGeom>
      </cdr:spPr>
      <cdr:txBody>
        <a:bodyPr xmlns:a="http://schemas.openxmlformats.org/drawingml/2006/main" vertOverflow="clip" vert="vert270" wrap="square" rtlCol="0" anchor="ctr"/>
        <a:lstStyle xmlns:a="http://schemas.openxmlformats.org/drawingml/2006/main"/>
        <a:p xmlns:a="http://schemas.openxmlformats.org/drawingml/2006/main">
          <a:pPr algn="ctr"/>
          <a:endParaRPr lang="es-MX" sz="800">
            <a:latin typeface="Arial" pitchFamily="34" charset="0"/>
            <a:cs typeface="Arial" pitchFamily="34" charset="0"/>
          </a:endParaRPr>
        </a:p>
      </cdr:txBody>
    </cdr:sp>
  </cdr:relSizeAnchor>
  <cdr:relSizeAnchor xmlns:cdr="http://schemas.openxmlformats.org/drawingml/2006/chartDrawing">
    <cdr:from>
      <cdr:x>0.65132</cdr:x>
      <cdr:y>0.30874</cdr:y>
    </cdr:from>
    <cdr:to>
      <cdr:x>0.68294</cdr:x>
      <cdr:y>0.63283</cdr:y>
    </cdr:to>
    <cdr:sp macro="" textlink="">
      <cdr:nvSpPr>
        <cdr:cNvPr id="56" name="55 CuadroTexto"/>
        <cdr:cNvSpPr txBox="1"/>
      </cdr:nvSpPr>
      <cdr:spPr>
        <a:xfrm xmlns:a="http://schemas.openxmlformats.org/drawingml/2006/main">
          <a:off x="6848637" y="1231819"/>
          <a:ext cx="332487" cy="1293063"/>
        </a:xfrm>
        <a:prstGeom xmlns:a="http://schemas.openxmlformats.org/drawingml/2006/main" prst="rect">
          <a:avLst/>
        </a:prstGeom>
      </cdr:spPr>
      <cdr:txBody>
        <a:bodyPr xmlns:a="http://schemas.openxmlformats.org/drawingml/2006/main" vertOverflow="clip" vert="vert270" wrap="square" rtlCol="0" anchor="ctr"/>
        <a:lstStyle xmlns:a="http://schemas.openxmlformats.org/drawingml/2006/main"/>
        <a:p xmlns:a="http://schemas.openxmlformats.org/drawingml/2006/main">
          <a:pPr algn="ctr"/>
          <a:endParaRPr lang="es-MX" sz="800">
            <a:latin typeface="Arial" pitchFamily="34" charset="0"/>
            <a:cs typeface="Arial" pitchFamily="34" charset="0"/>
          </a:endParaRPr>
        </a:p>
      </cdr:txBody>
    </cdr:sp>
  </cdr:relSizeAnchor>
  <cdr:relSizeAnchor xmlns:cdr="http://schemas.openxmlformats.org/drawingml/2006/chartDrawing">
    <cdr:from>
      <cdr:x>0.69478</cdr:x>
      <cdr:y>0.38036</cdr:y>
    </cdr:from>
    <cdr:to>
      <cdr:x>0.72642</cdr:x>
      <cdr:y>0.56121</cdr:y>
    </cdr:to>
    <cdr:sp macro="" textlink="">
      <cdr:nvSpPr>
        <cdr:cNvPr id="58" name="57 CuadroTexto"/>
        <cdr:cNvSpPr txBox="1"/>
      </cdr:nvSpPr>
      <cdr:spPr>
        <a:xfrm xmlns:a="http://schemas.openxmlformats.org/drawingml/2006/main">
          <a:off x="7305630" y="1517580"/>
          <a:ext cx="332690" cy="721537"/>
        </a:xfrm>
        <a:prstGeom xmlns:a="http://schemas.openxmlformats.org/drawingml/2006/main" prst="rect">
          <a:avLst/>
        </a:prstGeom>
      </cdr:spPr>
      <cdr:txBody>
        <a:bodyPr xmlns:a="http://schemas.openxmlformats.org/drawingml/2006/main" vertOverflow="clip" vert="vert270" wrap="square" rtlCol="0" anchor="ctr"/>
        <a:lstStyle xmlns:a="http://schemas.openxmlformats.org/drawingml/2006/main"/>
        <a:p xmlns:a="http://schemas.openxmlformats.org/drawingml/2006/main">
          <a:pPr algn="ctr"/>
          <a:endParaRPr lang="es-MX" sz="800">
            <a:latin typeface="Arial" pitchFamily="34" charset="0"/>
            <a:cs typeface="Arial" pitchFamily="34" charset="0"/>
          </a:endParaRPr>
        </a:p>
      </cdr:txBody>
    </cdr:sp>
  </cdr:relSizeAnchor>
  <cdr:relSizeAnchor xmlns:cdr="http://schemas.openxmlformats.org/drawingml/2006/chartDrawing">
    <cdr:from>
      <cdr:x>0.65406</cdr:x>
      <cdr:y>0.38194</cdr:y>
    </cdr:from>
    <cdr:to>
      <cdr:x>0.67773</cdr:x>
      <cdr:y>0.57314</cdr:y>
    </cdr:to>
    <cdr:sp macro="" textlink="">
      <cdr:nvSpPr>
        <cdr:cNvPr id="61" name="60 CuadroTexto"/>
        <cdr:cNvSpPr txBox="1"/>
      </cdr:nvSpPr>
      <cdr:spPr>
        <a:xfrm xmlns:a="http://schemas.openxmlformats.org/drawingml/2006/main">
          <a:off x="6877505" y="1523893"/>
          <a:ext cx="248892" cy="762854"/>
        </a:xfrm>
        <a:prstGeom xmlns:a="http://schemas.openxmlformats.org/drawingml/2006/main" prst="rect">
          <a:avLst/>
        </a:prstGeom>
      </cdr:spPr>
      <cdr:txBody>
        <a:bodyPr xmlns:a="http://schemas.openxmlformats.org/drawingml/2006/main" vertOverflow="clip" vert="vert270" wrap="square" rtlCol="0" anchor="ctr"/>
        <a:lstStyle xmlns:a="http://schemas.openxmlformats.org/drawingml/2006/main"/>
        <a:p xmlns:a="http://schemas.openxmlformats.org/drawingml/2006/main">
          <a:pPr algn="ctr"/>
          <a:endParaRPr lang="es-MX" sz="800">
            <a:latin typeface="Arial" pitchFamily="34" charset="0"/>
            <a:cs typeface="Arial" pitchFamily="34" charset="0"/>
          </a:endParaRPr>
        </a:p>
      </cdr:txBody>
    </cdr:sp>
  </cdr:relSizeAnchor>
  <cdr:relSizeAnchor xmlns:cdr="http://schemas.openxmlformats.org/drawingml/2006/chartDrawing">
    <cdr:from>
      <cdr:x>0.95186</cdr:x>
      <cdr:y>0.40283</cdr:y>
    </cdr:from>
    <cdr:to>
      <cdr:x>0.97552</cdr:x>
      <cdr:y>0.59403</cdr:y>
    </cdr:to>
    <cdr:sp macro="" textlink="">
      <cdr:nvSpPr>
        <cdr:cNvPr id="31" name="61 CuadroTexto"/>
        <cdr:cNvSpPr txBox="1"/>
      </cdr:nvSpPr>
      <cdr:spPr>
        <a:xfrm xmlns:a="http://schemas.openxmlformats.org/drawingml/2006/main">
          <a:off x="10008857" y="1607236"/>
          <a:ext cx="248837" cy="762851"/>
        </a:xfrm>
        <a:prstGeom xmlns:a="http://schemas.openxmlformats.org/drawingml/2006/main" prst="rect">
          <a:avLst/>
        </a:prstGeom>
      </cdr:spPr>
      <cdr:txBody>
        <a:bodyPr xmlns:a="http://schemas.openxmlformats.org/drawingml/2006/main" vertOverflow="clip" vert="vert270" wrap="square" rtlCol="0" anchor="ctr"/>
        <a:lstStyle xmlns:a="http://schemas.openxmlformats.org/drawingml/2006/main"/>
        <a:p xmlns:a="http://schemas.openxmlformats.org/drawingml/2006/main">
          <a:pPr algn="ctr"/>
          <a:endParaRPr lang="es-MX" sz="800">
            <a:latin typeface="Arial" pitchFamily="34" charset="0"/>
            <a:cs typeface="Arial" pitchFamily="34" charset="0"/>
          </a:endParaRPr>
        </a:p>
      </cdr:txBody>
    </cdr:sp>
  </cdr:relSizeAnchor>
  <cdr:relSizeAnchor xmlns:cdr="http://schemas.openxmlformats.org/drawingml/2006/chartDrawing">
    <cdr:from>
      <cdr:x>0.75144</cdr:x>
      <cdr:y>0.38791</cdr:y>
    </cdr:from>
    <cdr:to>
      <cdr:x>0.78416</cdr:x>
      <cdr:y>0.68953</cdr:y>
    </cdr:to>
    <cdr:sp macro="" textlink="">
      <cdr:nvSpPr>
        <cdr:cNvPr id="65" name="64 CuadroTexto"/>
        <cdr:cNvSpPr txBox="1"/>
      </cdr:nvSpPr>
      <cdr:spPr>
        <a:xfrm xmlns:a="http://schemas.openxmlformats.org/drawingml/2006/main">
          <a:off x="7901451" y="1547703"/>
          <a:ext cx="344088" cy="1203382"/>
        </a:xfrm>
        <a:prstGeom xmlns:a="http://schemas.openxmlformats.org/drawingml/2006/main" prst="rect">
          <a:avLst/>
        </a:prstGeom>
      </cdr:spPr>
      <cdr:txBody>
        <a:bodyPr xmlns:a="http://schemas.openxmlformats.org/drawingml/2006/main" vertOverflow="clip" vert="vert270" wrap="square" rtlCol="0" anchor="ctr"/>
        <a:lstStyle xmlns:a="http://schemas.openxmlformats.org/drawingml/2006/main"/>
        <a:p xmlns:a="http://schemas.openxmlformats.org/drawingml/2006/main">
          <a:pPr algn="ctr"/>
          <a:endParaRPr lang="es-MX" sz="800">
            <a:latin typeface="Arial" pitchFamily="34" charset="0"/>
            <a:cs typeface="Arial" pitchFamily="34" charset="0"/>
          </a:endParaRPr>
        </a:p>
      </cdr:txBody>
    </cdr:sp>
  </cdr:relSizeAnchor>
  <cdr:relSizeAnchor xmlns:cdr="http://schemas.openxmlformats.org/drawingml/2006/chartDrawing">
    <cdr:from>
      <cdr:x>0.65746</cdr:x>
      <cdr:y>0.39388</cdr:y>
    </cdr:from>
    <cdr:to>
      <cdr:x>0.68113</cdr:x>
      <cdr:y>0.58508</cdr:y>
    </cdr:to>
    <cdr:sp macro="" textlink="">
      <cdr:nvSpPr>
        <cdr:cNvPr id="67" name="66 CuadroTexto"/>
        <cdr:cNvSpPr txBox="1"/>
      </cdr:nvSpPr>
      <cdr:spPr>
        <a:xfrm xmlns:a="http://schemas.openxmlformats.org/drawingml/2006/main">
          <a:off x="6913224" y="1571499"/>
          <a:ext cx="248892" cy="762854"/>
        </a:xfrm>
        <a:prstGeom xmlns:a="http://schemas.openxmlformats.org/drawingml/2006/main" prst="rect">
          <a:avLst/>
        </a:prstGeom>
      </cdr:spPr>
      <cdr:txBody>
        <a:bodyPr xmlns:a="http://schemas.openxmlformats.org/drawingml/2006/main" vertOverflow="clip" vert="vert270" wrap="square" rtlCol="0" anchor="ctr"/>
        <a:lstStyle xmlns:a="http://schemas.openxmlformats.org/drawingml/2006/main"/>
        <a:p xmlns:a="http://schemas.openxmlformats.org/drawingml/2006/main">
          <a:pPr algn="ctr"/>
          <a:endParaRPr lang="es-MX" sz="800">
            <a:latin typeface="Arial" pitchFamily="34" charset="0"/>
            <a:cs typeface="Arial" pitchFamily="34" charset="0"/>
          </a:endParaRPr>
        </a:p>
      </cdr:txBody>
    </cdr:sp>
  </cdr:relSizeAnchor>
  <cdr:relSizeAnchor xmlns:cdr="http://schemas.openxmlformats.org/drawingml/2006/chartDrawing">
    <cdr:from>
      <cdr:x>0.94619</cdr:x>
      <cdr:y>0.38791</cdr:y>
    </cdr:from>
    <cdr:to>
      <cdr:x>0.96986</cdr:x>
      <cdr:y>0.57911</cdr:y>
    </cdr:to>
    <cdr:sp macro="" textlink="">
      <cdr:nvSpPr>
        <cdr:cNvPr id="35" name="67 CuadroTexto"/>
        <cdr:cNvSpPr txBox="1"/>
      </cdr:nvSpPr>
      <cdr:spPr>
        <a:xfrm xmlns:a="http://schemas.openxmlformats.org/drawingml/2006/main">
          <a:off x="9949319" y="1547687"/>
          <a:ext cx="248892" cy="762854"/>
        </a:xfrm>
        <a:prstGeom xmlns:a="http://schemas.openxmlformats.org/drawingml/2006/main" prst="rect">
          <a:avLst/>
        </a:prstGeom>
      </cdr:spPr>
      <cdr:txBody>
        <a:bodyPr xmlns:a="http://schemas.openxmlformats.org/drawingml/2006/main" vertOverflow="clip" vert="vert270" wrap="square" rtlCol="0" anchor="ctr"/>
        <a:lstStyle xmlns:a="http://schemas.openxmlformats.org/drawingml/2006/main"/>
        <a:p xmlns:a="http://schemas.openxmlformats.org/drawingml/2006/main">
          <a:pPr algn="ctr"/>
          <a:endParaRPr lang="es-MX" sz="800">
            <a:latin typeface="Arial" pitchFamily="34" charset="0"/>
            <a:cs typeface="Arial" pitchFamily="34" charset="0"/>
          </a:endParaRPr>
        </a:p>
      </cdr:txBody>
    </cdr:sp>
  </cdr:relSizeAnchor>
  <cdr:relSizeAnchor xmlns:cdr="http://schemas.openxmlformats.org/drawingml/2006/chartDrawing">
    <cdr:from>
      <cdr:x>0.20789</cdr:x>
      <cdr:y>0.25682</cdr:y>
    </cdr:from>
    <cdr:to>
      <cdr:x>0.23951</cdr:x>
      <cdr:y>0.58091</cdr:y>
    </cdr:to>
    <cdr:sp macro="" textlink="">
      <cdr:nvSpPr>
        <cdr:cNvPr id="37" name="69 CuadroTexto"/>
        <cdr:cNvSpPr txBox="1"/>
      </cdr:nvSpPr>
      <cdr:spPr>
        <a:xfrm xmlns:a="http://schemas.openxmlformats.org/drawingml/2006/main">
          <a:off x="2203755" y="1024659"/>
          <a:ext cx="335198" cy="1293062"/>
        </a:xfrm>
        <a:prstGeom xmlns:a="http://schemas.openxmlformats.org/drawingml/2006/main" prst="rect">
          <a:avLst/>
        </a:prstGeom>
      </cdr:spPr>
      <cdr:txBody>
        <a:bodyPr xmlns:a="http://schemas.openxmlformats.org/drawingml/2006/main" vertOverflow="clip" vert="vert270" wrap="square" rtlCol="0" anchor="ctr"/>
        <a:lstStyle xmlns:a="http://schemas.openxmlformats.org/drawingml/2006/main"/>
        <a:p xmlns:a="http://schemas.openxmlformats.org/drawingml/2006/main">
          <a:pPr algn="ctr"/>
          <a:endParaRPr lang="es-MX" sz="800">
            <a:latin typeface="Arial" pitchFamily="34" charset="0"/>
            <a:cs typeface="Arial" pitchFamily="34" charset="0"/>
          </a:endParaRPr>
        </a:p>
      </cdr:txBody>
    </cdr:sp>
  </cdr:relSizeAnchor>
  <cdr:relSizeAnchor xmlns:cdr="http://schemas.openxmlformats.org/drawingml/2006/chartDrawing">
    <cdr:from>
      <cdr:x>0.94553</cdr:x>
      <cdr:y>0.31172</cdr:y>
    </cdr:from>
    <cdr:to>
      <cdr:x>0.97715</cdr:x>
      <cdr:y>0.63581</cdr:y>
    </cdr:to>
    <cdr:sp macro="" textlink="">
      <cdr:nvSpPr>
        <cdr:cNvPr id="38" name="70 CuadroTexto"/>
        <cdr:cNvSpPr txBox="1"/>
      </cdr:nvSpPr>
      <cdr:spPr>
        <a:xfrm xmlns:a="http://schemas.openxmlformats.org/drawingml/2006/main">
          <a:off x="9973535" y="1243725"/>
          <a:ext cx="333530" cy="1293063"/>
        </a:xfrm>
        <a:prstGeom xmlns:a="http://schemas.openxmlformats.org/drawingml/2006/main" prst="rect">
          <a:avLst/>
        </a:prstGeom>
      </cdr:spPr>
      <cdr:txBody>
        <a:bodyPr xmlns:a="http://schemas.openxmlformats.org/drawingml/2006/main" vertOverflow="clip" vert="vert270" wrap="square" rtlCol="0" anchor="ctr"/>
        <a:lstStyle xmlns:a="http://schemas.openxmlformats.org/drawingml/2006/main"/>
        <a:p xmlns:a="http://schemas.openxmlformats.org/drawingml/2006/main">
          <a:pPr algn="ctr"/>
          <a:endParaRPr lang="es-MX" sz="800">
            <a:latin typeface="Arial" pitchFamily="34" charset="0"/>
            <a:cs typeface="Arial" pitchFamily="34" charset="0"/>
          </a:endParaRPr>
        </a:p>
      </cdr:txBody>
    </cdr:sp>
  </cdr:relSizeAnchor>
  <cdr:relSizeAnchor xmlns:cdr="http://schemas.openxmlformats.org/drawingml/2006/chartDrawing">
    <cdr:from>
      <cdr:x>0.85986</cdr:x>
      <cdr:y>0.36295</cdr:y>
    </cdr:from>
    <cdr:to>
      <cdr:x>0.87305</cdr:x>
      <cdr:y>0.56098</cdr:y>
    </cdr:to>
    <cdr:sp macro="" textlink="">
      <cdr:nvSpPr>
        <cdr:cNvPr id="39" name="72 CuadroTexto"/>
        <cdr:cNvSpPr txBox="1"/>
      </cdr:nvSpPr>
      <cdr:spPr>
        <a:xfrm xmlns:a="http://schemas.openxmlformats.org/drawingml/2006/main">
          <a:off x="9069816" y="1448087"/>
          <a:ext cx="139213" cy="790114"/>
        </a:xfrm>
        <a:prstGeom xmlns:a="http://schemas.openxmlformats.org/drawingml/2006/main" prst="rect">
          <a:avLst/>
        </a:prstGeom>
      </cdr:spPr>
      <cdr:txBody>
        <a:bodyPr xmlns:a="http://schemas.openxmlformats.org/drawingml/2006/main" vertOverflow="clip" vert="vert270" wrap="square" rtlCol="0" anchor="ctr"/>
        <a:lstStyle xmlns:a="http://schemas.openxmlformats.org/drawingml/2006/main"/>
        <a:p xmlns:a="http://schemas.openxmlformats.org/drawingml/2006/main">
          <a:pPr algn="ctr"/>
          <a:endParaRPr lang="es-MX" sz="800">
            <a:latin typeface="Arial" pitchFamily="34" charset="0"/>
            <a:cs typeface="Arial" pitchFamily="34" charset="0"/>
          </a:endParaRPr>
        </a:p>
      </cdr:txBody>
    </cdr:sp>
  </cdr:relSizeAnchor>
  <cdr:relSizeAnchor xmlns:cdr="http://schemas.openxmlformats.org/drawingml/2006/chartDrawing">
    <cdr:from>
      <cdr:x>0.87167</cdr:x>
      <cdr:y>0.36478</cdr:y>
    </cdr:from>
    <cdr:to>
      <cdr:x>0.88486</cdr:x>
      <cdr:y>0.56281</cdr:y>
    </cdr:to>
    <cdr:sp macro="" textlink="">
      <cdr:nvSpPr>
        <cdr:cNvPr id="74" name="73 CuadroTexto"/>
        <cdr:cNvSpPr txBox="1"/>
      </cdr:nvSpPr>
      <cdr:spPr>
        <a:xfrm xmlns:a="http://schemas.openxmlformats.org/drawingml/2006/main">
          <a:off x="9194374" y="1455414"/>
          <a:ext cx="139213" cy="790114"/>
        </a:xfrm>
        <a:prstGeom xmlns:a="http://schemas.openxmlformats.org/drawingml/2006/main" prst="rect">
          <a:avLst/>
        </a:prstGeom>
      </cdr:spPr>
      <cdr:txBody>
        <a:bodyPr xmlns:a="http://schemas.openxmlformats.org/drawingml/2006/main" vertOverflow="clip" vert="vert270" wrap="square" rtlCol="0" anchor="ctr"/>
        <a:lstStyle xmlns:a="http://schemas.openxmlformats.org/drawingml/2006/main"/>
        <a:p xmlns:a="http://schemas.openxmlformats.org/drawingml/2006/main">
          <a:pPr algn="ctr"/>
          <a:endParaRPr lang="es-MX" sz="800">
            <a:latin typeface="Arial" pitchFamily="34" charset="0"/>
            <a:cs typeface="Arial" pitchFamily="34" charset="0"/>
          </a:endParaRPr>
        </a:p>
      </cdr:txBody>
    </cdr:sp>
  </cdr:relSizeAnchor>
  <cdr:relSizeAnchor xmlns:cdr="http://schemas.openxmlformats.org/drawingml/2006/chartDrawing">
    <cdr:from>
      <cdr:x>0.92446</cdr:x>
      <cdr:y>0.38607</cdr:y>
    </cdr:from>
    <cdr:to>
      <cdr:x>0.94346</cdr:x>
      <cdr:y>0.53894</cdr:y>
    </cdr:to>
    <cdr:sp macro="" textlink="">
      <cdr:nvSpPr>
        <cdr:cNvPr id="40" name="74 CuadroTexto"/>
        <cdr:cNvSpPr txBox="1"/>
      </cdr:nvSpPr>
      <cdr:spPr>
        <a:xfrm xmlns:a="http://schemas.openxmlformats.org/drawingml/2006/main">
          <a:off x="9751222" y="1540366"/>
          <a:ext cx="200492" cy="609911"/>
        </a:xfrm>
        <a:prstGeom xmlns:a="http://schemas.openxmlformats.org/drawingml/2006/main" prst="rect">
          <a:avLst/>
        </a:prstGeom>
      </cdr:spPr>
      <cdr:txBody>
        <a:bodyPr xmlns:a="http://schemas.openxmlformats.org/drawingml/2006/main" vertOverflow="clip" vert="vert270" wrap="square" rtlCol="0" anchor="ctr"/>
        <a:lstStyle xmlns:a="http://schemas.openxmlformats.org/drawingml/2006/main"/>
        <a:p xmlns:a="http://schemas.openxmlformats.org/drawingml/2006/main">
          <a:pPr algn="ctr"/>
          <a:endParaRPr lang="es-MX" sz="800">
            <a:latin typeface="Arial" pitchFamily="34" charset="0"/>
            <a:cs typeface="Arial" pitchFamily="34" charset="0"/>
          </a:endParaRPr>
        </a:p>
      </cdr:txBody>
    </cdr:sp>
  </cdr:relSizeAnchor>
  <cdr:relSizeAnchor xmlns:cdr="http://schemas.openxmlformats.org/drawingml/2006/chartDrawing">
    <cdr:from>
      <cdr:x>0.90552</cdr:x>
      <cdr:y>0.44043</cdr:y>
    </cdr:from>
    <cdr:to>
      <cdr:x>0.91802</cdr:x>
      <cdr:y>0.60248</cdr:y>
    </cdr:to>
    <cdr:sp macro="" textlink="">
      <cdr:nvSpPr>
        <cdr:cNvPr id="41" name="76 CuadroTexto"/>
        <cdr:cNvSpPr txBox="1"/>
      </cdr:nvSpPr>
      <cdr:spPr>
        <a:xfrm xmlns:a="http://schemas.openxmlformats.org/drawingml/2006/main">
          <a:off x="9538818" y="1757243"/>
          <a:ext cx="131677" cy="646551"/>
        </a:xfrm>
        <a:prstGeom xmlns:a="http://schemas.openxmlformats.org/drawingml/2006/main" prst="rect">
          <a:avLst/>
        </a:prstGeom>
      </cdr:spPr>
      <cdr:txBody>
        <a:bodyPr xmlns:a="http://schemas.openxmlformats.org/drawingml/2006/main" vertOverflow="clip" vert="vert270" wrap="square" rtlCol="0" anchor="ctr"/>
        <a:lstStyle xmlns:a="http://schemas.openxmlformats.org/drawingml/2006/main"/>
        <a:p xmlns:a="http://schemas.openxmlformats.org/drawingml/2006/main">
          <a:pPr algn="ctr"/>
          <a:endParaRPr lang="es-MX" sz="800">
            <a:latin typeface="Arial" pitchFamily="34" charset="0"/>
            <a:cs typeface="Arial" pitchFamily="34" charset="0"/>
          </a:endParaRPr>
        </a:p>
      </cdr:txBody>
    </cdr:sp>
  </cdr:relSizeAnchor>
  <cdr:relSizeAnchor xmlns:cdr="http://schemas.openxmlformats.org/drawingml/2006/chartDrawing">
    <cdr:from>
      <cdr:x>0.24656</cdr:x>
      <cdr:y>0.45497</cdr:y>
    </cdr:from>
    <cdr:to>
      <cdr:x>0.26904</cdr:x>
      <cdr:y>0.62686</cdr:y>
    </cdr:to>
    <cdr:sp macro="" textlink="">
      <cdr:nvSpPr>
        <cdr:cNvPr id="43" name="81 CuadroTexto"/>
        <cdr:cNvSpPr txBox="1"/>
      </cdr:nvSpPr>
      <cdr:spPr>
        <a:xfrm xmlns:a="http://schemas.openxmlformats.org/drawingml/2006/main">
          <a:off x="2613711" y="1815263"/>
          <a:ext cx="238307" cy="685810"/>
        </a:xfrm>
        <a:prstGeom xmlns:a="http://schemas.openxmlformats.org/drawingml/2006/main" prst="rect">
          <a:avLst/>
        </a:prstGeom>
      </cdr:spPr>
      <cdr:txBody>
        <a:bodyPr xmlns:a="http://schemas.openxmlformats.org/drawingml/2006/main" vertOverflow="clip" vert="vert270" wrap="square" rtlCol="0" anchor="ctr"/>
        <a:lstStyle xmlns:a="http://schemas.openxmlformats.org/drawingml/2006/main"/>
        <a:p xmlns:a="http://schemas.openxmlformats.org/drawingml/2006/main">
          <a:pPr algn="ctr"/>
          <a:endParaRPr lang="es-MX" sz="800">
            <a:latin typeface="Arial" pitchFamily="34" charset="0"/>
            <a:cs typeface="Arial" pitchFamily="34" charset="0"/>
          </a:endParaRPr>
        </a:p>
      </cdr:txBody>
    </cdr:sp>
  </cdr:relSizeAnchor>
  <cdr:relSizeAnchor xmlns:cdr="http://schemas.openxmlformats.org/drawingml/2006/chartDrawing">
    <cdr:from>
      <cdr:x>0.54494</cdr:x>
      <cdr:y>0.38275</cdr:y>
    </cdr:from>
    <cdr:to>
      <cdr:x>0.57085</cdr:x>
      <cdr:y>0.54867</cdr:y>
    </cdr:to>
    <cdr:sp macro="" textlink="">
      <cdr:nvSpPr>
        <cdr:cNvPr id="90" name="89 CuadroTexto"/>
        <cdr:cNvSpPr txBox="1"/>
      </cdr:nvSpPr>
      <cdr:spPr>
        <a:xfrm xmlns:a="http://schemas.openxmlformats.org/drawingml/2006/main">
          <a:off x="5776755" y="1527119"/>
          <a:ext cx="274667" cy="661991"/>
        </a:xfrm>
        <a:prstGeom xmlns:a="http://schemas.openxmlformats.org/drawingml/2006/main" prst="rect">
          <a:avLst/>
        </a:prstGeom>
      </cdr:spPr>
      <cdr:txBody>
        <a:bodyPr xmlns:a="http://schemas.openxmlformats.org/drawingml/2006/main" vertOverflow="clip" vert="vert270" wrap="square" rtlCol="0" anchor="ctr"/>
        <a:lstStyle xmlns:a="http://schemas.openxmlformats.org/drawingml/2006/main"/>
        <a:p xmlns:a="http://schemas.openxmlformats.org/drawingml/2006/main">
          <a:pPr algn="ctr"/>
          <a:endParaRPr lang="es-MX" sz="800">
            <a:latin typeface="Arial" pitchFamily="34" charset="0"/>
            <a:cs typeface="Arial" pitchFamily="34" charset="0"/>
          </a:endParaRPr>
        </a:p>
      </cdr:txBody>
    </cdr:sp>
  </cdr:relSizeAnchor>
  <cdr:relSizeAnchor xmlns:cdr="http://schemas.openxmlformats.org/drawingml/2006/chartDrawing">
    <cdr:from>
      <cdr:x>0.22858</cdr:x>
      <cdr:y>0.38574</cdr:y>
    </cdr:from>
    <cdr:to>
      <cdr:x>0.25106</cdr:x>
      <cdr:y>0.60119</cdr:y>
    </cdr:to>
    <cdr:sp macro="" textlink="">
      <cdr:nvSpPr>
        <cdr:cNvPr id="44" name="95 CuadroTexto"/>
        <cdr:cNvSpPr txBox="1"/>
      </cdr:nvSpPr>
      <cdr:spPr>
        <a:xfrm xmlns:a="http://schemas.openxmlformats.org/drawingml/2006/main">
          <a:off x="2423166" y="1539046"/>
          <a:ext cx="238306" cy="859614"/>
        </a:xfrm>
        <a:prstGeom xmlns:a="http://schemas.openxmlformats.org/drawingml/2006/main" prst="rect">
          <a:avLst/>
        </a:prstGeom>
      </cdr:spPr>
      <cdr:txBody>
        <a:bodyPr xmlns:a="http://schemas.openxmlformats.org/drawingml/2006/main" vertOverflow="clip" vert="vert270" wrap="square" rtlCol="0" anchor="ctr"/>
        <a:lstStyle xmlns:a="http://schemas.openxmlformats.org/drawingml/2006/main"/>
        <a:p xmlns:a="http://schemas.openxmlformats.org/drawingml/2006/main">
          <a:pPr algn="ctr"/>
          <a:endParaRPr lang="es-MX" sz="800">
            <a:latin typeface="Arial" pitchFamily="34" charset="0"/>
            <a:cs typeface="Arial" pitchFamily="34" charset="0"/>
          </a:endParaRPr>
        </a:p>
      </cdr:txBody>
    </cdr:sp>
  </cdr:relSizeAnchor>
  <cdr:relSizeAnchor xmlns:cdr="http://schemas.openxmlformats.org/drawingml/2006/chartDrawing">
    <cdr:from>
      <cdr:x>0.16031</cdr:x>
      <cdr:y>0.37142</cdr:y>
    </cdr:from>
    <cdr:to>
      <cdr:x>0.18278</cdr:x>
      <cdr:y>0.67997</cdr:y>
    </cdr:to>
    <cdr:sp macro="" textlink="">
      <cdr:nvSpPr>
        <cdr:cNvPr id="46" name="102 CuadroTexto"/>
        <cdr:cNvSpPr txBox="1"/>
      </cdr:nvSpPr>
      <cdr:spPr>
        <a:xfrm xmlns:a="http://schemas.openxmlformats.org/drawingml/2006/main">
          <a:off x="1699363" y="1481920"/>
          <a:ext cx="238306" cy="1231060"/>
        </a:xfrm>
        <a:prstGeom xmlns:a="http://schemas.openxmlformats.org/drawingml/2006/main" prst="rect">
          <a:avLst/>
        </a:prstGeom>
      </cdr:spPr>
      <cdr:txBody>
        <a:bodyPr xmlns:a="http://schemas.openxmlformats.org/drawingml/2006/main" vertOverflow="clip" vert="vert270" wrap="square" rtlCol="0" anchor="ctr"/>
        <a:lstStyle xmlns:a="http://schemas.openxmlformats.org/drawingml/2006/main"/>
        <a:p xmlns:a="http://schemas.openxmlformats.org/drawingml/2006/main">
          <a:pPr algn="ctr"/>
          <a:endParaRPr lang="es-MX" sz="800">
            <a:latin typeface="Arial" pitchFamily="34" charset="0"/>
            <a:cs typeface="Arial" pitchFamily="34" charset="0"/>
          </a:endParaRPr>
        </a:p>
      </cdr:txBody>
    </cdr:sp>
  </cdr:relSizeAnchor>
  <cdr:relSizeAnchor xmlns:cdr="http://schemas.openxmlformats.org/drawingml/2006/chartDrawing">
    <cdr:from>
      <cdr:x>0.14951</cdr:x>
      <cdr:y>0.39291</cdr:y>
    </cdr:from>
    <cdr:to>
      <cdr:x>0.17199</cdr:x>
      <cdr:y>0.67043</cdr:y>
    </cdr:to>
    <cdr:sp macro="" textlink="">
      <cdr:nvSpPr>
        <cdr:cNvPr id="47" name="107 CuadroTexto"/>
        <cdr:cNvSpPr txBox="1"/>
      </cdr:nvSpPr>
      <cdr:spPr>
        <a:xfrm xmlns:a="http://schemas.openxmlformats.org/drawingml/2006/main">
          <a:off x="1584928" y="1567629"/>
          <a:ext cx="238307" cy="1107256"/>
        </a:xfrm>
        <a:prstGeom xmlns:a="http://schemas.openxmlformats.org/drawingml/2006/main" prst="rect">
          <a:avLst/>
        </a:prstGeom>
      </cdr:spPr>
      <cdr:txBody>
        <a:bodyPr xmlns:a="http://schemas.openxmlformats.org/drawingml/2006/main" vertOverflow="clip" vert="vert270" wrap="square" rtlCol="0" anchor="ctr"/>
        <a:lstStyle xmlns:a="http://schemas.openxmlformats.org/drawingml/2006/main"/>
        <a:p xmlns:a="http://schemas.openxmlformats.org/drawingml/2006/main">
          <a:pPr algn="ctr"/>
          <a:endParaRPr lang="es-MX" sz="800">
            <a:latin typeface="Arial" pitchFamily="34" charset="0"/>
            <a:cs typeface="Arial" pitchFamily="34" charset="0"/>
          </a:endParaRPr>
        </a:p>
      </cdr:txBody>
    </cdr:sp>
  </cdr:relSizeAnchor>
  <cdr:relSizeAnchor xmlns:cdr="http://schemas.openxmlformats.org/drawingml/2006/chartDrawing">
    <cdr:from>
      <cdr:x>0.20971</cdr:x>
      <cdr:y>0.37142</cdr:y>
    </cdr:from>
    <cdr:to>
      <cdr:x>0.23219</cdr:x>
      <cdr:y>0.56061</cdr:y>
    </cdr:to>
    <cdr:sp macro="" textlink="">
      <cdr:nvSpPr>
        <cdr:cNvPr id="50" name="108 CuadroTexto"/>
        <cdr:cNvSpPr txBox="1"/>
      </cdr:nvSpPr>
      <cdr:spPr>
        <a:xfrm xmlns:a="http://schemas.openxmlformats.org/drawingml/2006/main">
          <a:off x="2223141" y="1481896"/>
          <a:ext cx="238306" cy="754839"/>
        </a:xfrm>
        <a:prstGeom xmlns:a="http://schemas.openxmlformats.org/drawingml/2006/main" prst="rect">
          <a:avLst/>
        </a:prstGeom>
      </cdr:spPr>
      <cdr:txBody>
        <a:bodyPr xmlns:a="http://schemas.openxmlformats.org/drawingml/2006/main" vertOverflow="clip" vert="vert270" wrap="square" rtlCol="0" anchor="ctr"/>
        <a:lstStyle xmlns:a="http://schemas.openxmlformats.org/drawingml/2006/main"/>
        <a:p xmlns:a="http://schemas.openxmlformats.org/drawingml/2006/main">
          <a:pPr algn="ctr"/>
          <a:endParaRPr lang="es-MX" sz="800">
            <a:latin typeface="Arial" pitchFamily="34" charset="0"/>
            <a:cs typeface="Arial" pitchFamily="34" charset="0"/>
          </a:endParaRPr>
        </a:p>
      </cdr:txBody>
    </cdr:sp>
  </cdr:relSizeAnchor>
  <cdr:relSizeAnchor xmlns:cdr="http://schemas.openxmlformats.org/drawingml/2006/chartDrawing">
    <cdr:from>
      <cdr:x>0.06568</cdr:x>
      <cdr:y>0.00239</cdr:y>
    </cdr:from>
    <cdr:to>
      <cdr:x>0.98796</cdr:x>
      <cdr:y>0.06123</cdr:y>
    </cdr:to>
    <cdr:sp macro="" textlink="">
      <cdr:nvSpPr>
        <cdr:cNvPr id="8" name="CuadroTexto 1">
          <a:extLst xmlns:a="http://schemas.openxmlformats.org/drawingml/2006/main">
            <a:ext uri="{FF2B5EF4-FFF2-40B4-BE49-F238E27FC236}">
              <a16:creationId xmlns:a16="http://schemas.microsoft.com/office/drawing/2014/main" id="{AFEC78C2-1B8E-198A-9550-53F5ABF675A8}"/>
            </a:ext>
          </a:extLst>
        </cdr:cNvPr>
        <cdr:cNvSpPr txBox="1"/>
      </cdr:nvSpPr>
      <cdr:spPr>
        <a:xfrm xmlns:a="http://schemas.openxmlformats.org/drawingml/2006/main">
          <a:off x="689833" y="9517"/>
          <a:ext cx="9686887" cy="234290"/>
        </a:xfrm>
        <a:prstGeom xmlns:a="http://schemas.openxmlformats.org/drawingml/2006/main" prst="rect">
          <a:avLst/>
        </a:prstGeom>
        <a:noFill xmlns:a="http://schemas.openxmlformats.org/drawingml/2006/mai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tx1"/>
        </a:fontRef>
      </cdr:style>
      <cdr:txBody>
        <a:bodyPr xmlns:a="http://schemas.openxmlformats.org/drawingml/2006/main" wrap="square" rtlCol="0" anchor="t">
          <a:noAutofit/>
        </a:bodyPr>
        <a:lstStyle xmlns:a="http://schemas.openxmlformats.org/drawingml/2006/main">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xmlns:a="http://schemas.openxmlformats.org/drawingml/2006/main">
          <a:pPr algn="ctr"/>
          <a:r>
            <a:rPr lang="es-CO" sz="1500" b="1" spc="-10" baseline="0">
              <a:latin typeface="Arial" panose="020B0604020202020204" pitchFamily="34" charset="0"/>
              <a:cs typeface="Arial" panose="020B0604020202020204" pitchFamily="34" charset="0"/>
            </a:rPr>
            <a:t>PERFIL RESISTIVIDAD ELÉCTRICA DEL TERRENO </a:t>
          </a:r>
          <a:r>
            <a:rPr lang="es-CO" sz="1500" b="1" spc="0" baseline="0">
              <a:latin typeface="Arial" panose="020B0604020202020204" pitchFamily="34" charset="0"/>
              <a:cs typeface="Arial" panose="020B0604020202020204" pitchFamily="34" charset="0"/>
            </a:rPr>
            <a:t>RAMAL VILLA MARÍA</a:t>
          </a:r>
          <a:endParaRPr lang="es-CO" sz="1500" b="1">
            <a:latin typeface="Arial" panose="020B0604020202020204" pitchFamily="34" charset="0"/>
            <a:cs typeface="Arial" panose="020B0604020202020204" pitchFamily="34" charset="0"/>
          </a:endParaRPr>
        </a:p>
      </cdr:txBody>
    </cdr:sp>
  </cdr:relSizeAnchor>
</c:userShapes>
</file>

<file path=xl/drawings/drawing8.xml><?xml version="1.0" encoding="utf-8"?>
<xdr:wsDr xmlns:xdr="http://schemas.openxmlformats.org/drawingml/2006/spreadsheetDrawing" xmlns:a="http://schemas.openxmlformats.org/drawingml/2006/main">
  <xdr:twoCellAnchor>
    <xdr:from>
      <xdr:col>0</xdr:col>
      <xdr:colOff>783167</xdr:colOff>
      <xdr:row>0</xdr:row>
      <xdr:rowOff>71361</xdr:rowOff>
    </xdr:from>
    <xdr:to>
      <xdr:col>2</xdr:col>
      <xdr:colOff>648197</xdr:colOff>
      <xdr:row>3</xdr:row>
      <xdr:rowOff>126032</xdr:rowOff>
    </xdr:to>
    <xdr:pic>
      <xdr:nvPicPr>
        <xdr:cNvPr id="2" name="Imagen 1" descr="image007">
          <a:extLst>
            <a:ext uri="{FF2B5EF4-FFF2-40B4-BE49-F238E27FC236}">
              <a16:creationId xmlns:a16="http://schemas.microsoft.com/office/drawing/2014/main" id="{00000000-0008-0000-07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83117" y="73266"/>
          <a:ext cx="1697640" cy="64522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mc:AlternateContent xmlns:mc="http://schemas.openxmlformats.org/markup-compatibility/2006">
    <mc:Choice xmlns:a14="http://schemas.microsoft.com/office/drawing/2010/main" Requires="a14">
      <xdr:twoCellAnchor>
        <xdr:from>
          <xdr:col>12</xdr:col>
          <xdr:colOff>3055620</xdr:colOff>
          <xdr:row>0</xdr:row>
          <xdr:rowOff>0</xdr:rowOff>
        </xdr:from>
        <xdr:to>
          <xdr:col>12</xdr:col>
          <xdr:colOff>3589020</xdr:colOff>
          <xdr:row>3</xdr:row>
          <xdr:rowOff>175260</xdr:rowOff>
        </xdr:to>
        <xdr:sp macro="" textlink="">
          <xdr:nvSpPr>
            <xdr:cNvPr id="4097" name="Object 1" hidden="1">
              <a:extLst>
                <a:ext uri="{63B3BB69-23CF-44E3-9099-C40C66FF867C}">
                  <a14:compatExt spid="_x0000_s4097"/>
                </a:ext>
                <a:ext uri="{FF2B5EF4-FFF2-40B4-BE49-F238E27FC236}">
                  <a16:creationId xmlns:a16="http://schemas.microsoft.com/office/drawing/2014/main" id="{00000000-0008-0000-0700-000001100000}"/>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5" Type="http://schemas.openxmlformats.org/officeDocument/2006/relationships/image" Target="../media/image1.emf"/><Relationship Id="rId4" Type="http://schemas.openxmlformats.org/officeDocument/2006/relationships/oleObject" Target="../embeddings/oleObject1.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image" Target="../media/image1.emf"/><Relationship Id="rId4" Type="http://schemas.openxmlformats.org/officeDocument/2006/relationships/oleObject" Target="../embeddings/oleObject2.bin"/></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3.xml"/><Relationship Id="rId1" Type="http://schemas.openxmlformats.org/officeDocument/2006/relationships/printerSettings" Target="../printerSettings/printerSettings3.bin"/><Relationship Id="rId5" Type="http://schemas.openxmlformats.org/officeDocument/2006/relationships/image" Target="../media/image1.emf"/><Relationship Id="rId4" Type="http://schemas.openxmlformats.org/officeDocument/2006/relationships/oleObject" Target="../embeddings/oleObject3.bin"/></Relationships>
</file>

<file path=xl/worksheets/_rels/sheet6.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5.xml"/><Relationship Id="rId1" Type="http://schemas.openxmlformats.org/officeDocument/2006/relationships/printerSettings" Target="../printerSettings/printerSettings4.bin"/><Relationship Id="rId5" Type="http://schemas.openxmlformats.org/officeDocument/2006/relationships/image" Target="../media/image1.emf"/><Relationship Id="rId4" Type="http://schemas.openxmlformats.org/officeDocument/2006/relationships/oleObject" Target="../embeddings/oleObject4.bin"/></Relationships>
</file>

<file path=xl/worksheets/_rels/sheet7.xml.rels><?xml version="1.0" encoding="UTF-8" standalone="yes"?>
<Relationships xmlns="http://schemas.openxmlformats.org/package/2006/relationships"><Relationship Id="rId3" Type="http://schemas.openxmlformats.org/officeDocument/2006/relationships/vmlDrawing" Target="../drawings/vmlDrawing5.vml"/><Relationship Id="rId2" Type="http://schemas.openxmlformats.org/officeDocument/2006/relationships/drawing" Target="../drawings/drawing6.xml"/><Relationship Id="rId1" Type="http://schemas.openxmlformats.org/officeDocument/2006/relationships/printerSettings" Target="../printerSettings/printerSettings5.bin"/><Relationship Id="rId5" Type="http://schemas.openxmlformats.org/officeDocument/2006/relationships/image" Target="../media/image1.emf"/><Relationship Id="rId4" Type="http://schemas.openxmlformats.org/officeDocument/2006/relationships/oleObject" Target="../embeddings/oleObject5.bin"/></Relationships>
</file>

<file path=xl/worksheets/_rels/sheet8.xml.rels><?xml version="1.0" encoding="UTF-8" standalone="yes"?>
<Relationships xmlns="http://schemas.openxmlformats.org/package/2006/relationships"><Relationship Id="rId3" Type="http://schemas.openxmlformats.org/officeDocument/2006/relationships/vmlDrawing" Target="../drawings/vmlDrawing6.vml"/><Relationship Id="rId2" Type="http://schemas.openxmlformats.org/officeDocument/2006/relationships/drawing" Target="../drawings/drawing8.xml"/><Relationship Id="rId1" Type="http://schemas.openxmlformats.org/officeDocument/2006/relationships/printerSettings" Target="../printerSettings/printerSettings6.bin"/><Relationship Id="rId5" Type="http://schemas.openxmlformats.org/officeDocument/2006/relationships/image" Target="../media/image1.emf"/><Relationship Id="rId4" Type="http://schemas.openxmlformats.org/officeDocument/2006/relationships/oleObject" Target="../embeddings/oleObject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FB571B-2113-47DD-8067-C630297D2C5F}">
  <dimension ref="A1:B87"/>
  <sheetViews>
    <sheetView workbookViewId="0">
      <selection activeCell="A24" sqref="A24"/>
    </sheetView>
  </sheetViews>
  <sheetFormatPr baseColWidth="10" defaultColWidth="11.44140625" defaultRowHeight="14.4"/>
  <cols>
    <col min="1" max="1" width="34.109375" bestFit="1" customWidth="1"/>
  </cols>
  <sheetData>
    <row r="1" spans="1:1">
      <c r="A1" s="66" t="s">
        <v>0</v>
      </c>
    </row>
    <row r="2" spans="1:1">
      <c r="A2" t="s">
        <v>1</v>
      </c>
    </row>
    <row r="3" spans="1:1">
      <c r="A3" t="s">
        <v>2</v>
      </c>
    </row>
    <row r="4" spans="1:1">
      <c r="A4" t="s">
        <v>3</v>
      </c>
    </row>
    <row r="5" spans="1:1">
      <c r="A5" s="66" t="s">
        <v>4</v>
      </c>
    </row>
    <row r="6" spans="1:1">
      <c r="A6" t="s">
        <v>5</v>
      </c>
    </row>
    <row r="7" spans="1:1">
      <c r="A7" t="s">
        <v>6</v>
      </c>
    </row>
    <row r="8" spans="1:1">
      <c r="A8" t="s">
        <v>7</v>
      </c>
    </row>
    <row r="9" spans="1:1">
      <c r="A9" s="66" t="s">
        <v>8</v>
      </c>
    </row>
    <row r="10" spans="1:1">
      <c r="A10" t="s">
        <v>9</v>
      </c>
    </row>
    <row r="11" spans="1:1">
      <c r="A11" t="s">
        <v>10</v>
      </c>
    </row>
    <row r="12" spans="1:1">
      <c r="A12" t="s">
        <v>11</v>
      </c>
    </row>
    <row r="13" spans="1:1">
      <c r="A13" t="s">
        <v>12</v>
      </c>
    </row>
    <row r="14" spans="1:1">
      <c r="A14" s="66" t="s">
        <v>13</v>
      </c>
    </row>
    <row r="15" spans="1:1">
      <c r="A15" t="s">
        <v>14</v>
      </c>
    </row>
    <row r="16" spans="1:1">
      <c r="A16" t="s">
        <v>15</v>
      </c>
    </row>
    <row r="17" spans="1:1">
      <c r="A17" t="s">
        <v>16</v>
      </c>
    </row>
    <row r="18" spans="1:1">
      <c r="A18" s="66" t="s">
        <v>17</v>
      </c>
    </row>
    <row r="19" spans="1:1">
      <c r="A19" t="s">
        <v>18</v>
      </c>
    </row>
    <row r="20" spans="1:1">
      <c r="A20" t="s">
        <v>19</v>
      </c>
    </row>
    <row r="21" spans="1:1">
      <c r="A21" t="s">
        <v>20</v>
      </c>
    </row>
    <row r="22" spans="1:1">
      <c r="A22" s="66" t="s">
        <v>21</v>
      </c>
    </row>
    <row r="23" spans="1:1">
      <c r="A23" t="s">
        <v>22</v>
      </c>
    </row>
    <row r="24" spans="1:1">
      <c r="A24" t="s">
        <v>23</v>
      </c>
    </row>
    <row r="25" spans="1:1">
      <c r="A25" t="s">
        <v>24</v>
      </c>
    </row>
    <row r="26" spans="1:1">
      <c r="A26" t="s">
        <v>25</v>
      </c>
    </row>
    <row r="27" spans="1:1">
      <c r="A27" t="s">
        <v>26</v>
      </c>
    </row>
    <row r="28" spans="1:1">
      <c r="A28" t="s">
        <v>27</v>
      </c>
    </row>
    <row r="29" spans="1:1">
      <c r="A29" t="s">
        <v>28</v>
      </c>
    </row>
    <row r="30" spans="1:1">
      <c r="A30" t="s">
        <v>29</v>
      </c>
    </row>
    <row r="31" spans="1:1">
      <c r="A31" t="s">
        <v>30</v>
      </c>
    </row>
    <row r="32" spans="1:1">
      <c r="A32" t="s">
        <v>31</v>
      </c>
    </row>
    <row r="33" spans="1:2">
      <c r="A33" t="s">
        <v>32</v>
      </c>
    </row>
    <row r="34" spans="1:2">
      <c r="A34" t="s">
        <v>33</v>
      </c>
    </row>
    <row r="35" spans="1:2">
      <c r="A35" t="s">
        <v>34</v>
      </c>
    </row>
    <row r="36" spans="1:2">
      <c r="A36" t="s">
        <v>35</v>
      </c>
    </row>
    <row r="37" spans="1:2">
      <c r="A37" t="s">
        <v>36</v>
      </c>
    </row>
    <row r="38" spans="1:2">
      <c r="A38" t="s">
        <v>37</v>
      </c>
    </row>
    <row r="39" spans="1:2">
      <c r="A39" t="s">
        <v>38</v>
      </c>
    </row>
    <row r="40" spans="1:2">
      <c r="A40" t="s">
        <v>39</v>
      </c>
    </row>
    <row r="41" spans="1:2">
      <c r="A41" t="s">
        <v>40</v>
      </c>
    </row>
    <row r="42" spans="1:2">
      <c r="A42" t="s">
        <v>41</v>
      </c>
      <c r="B42" t="s">
        <v>42</v>
      </c>
    </row>
    <row r="43" spans="1:2">
      <c r="A43" t="s">
        <v>43</v>
      </c>
      <c r="B43" t="s">
        <v>44</v>
      </c>
    </row>
    <row r="44" spans="1:2">
      <c r="A44" t="s">
        <v>45</v>
      </c>
      <c r="B44" t="s">
        <v>45</v>
      </c>
    </row>
    <row r="45" spans="1:2">
      <c r="A45" t="s">
        <v>46</v>
      </c>
    </row>
    <row r="46" spans="1:2">
      <c r="A46" t="s">
        <v>47</v>
      </c>
      <c r="B46" t="s">
        <v>48</v>
      </c>
    </row>
    <row r="47" spans="1:2">
      <c r="A47" t="s">
        <v>49</v>
      </c>
      <c r="B47" t="s">
        <v>50</v>
      </c>
    </row>
    <row r="48" spans="1:2">
      <c r="A48" t="s">
        <v>51</v>
      </c>
    </row>
    <row r="50" spans="1:1">
      <c r="A50" t="s">
        <v>52</v>
      </c>
    </row>
    <row r="51" spans="1:1">
      <c r="A51" t="s">
        <v>53</v>
      </c>
    </row>
    <row r="52" spans="1:1">
      <c r="A52" t="s">
        <v>54</v>
      </c>
    </row>
    <row r="54" spans="1:1">
      <c r="A54" t="s">
        <v>52</v>
      </c>
    </row>
    <row r="55" spans="1:1">
      <c r="A55" t="s">
        <v>54</v>
      </c>
    </row>
    <row r="58" spans="1:1">
      <c r="A58" t="s">
        <v>55</v>
      </c>
    </row>
    <row r="59" spans="1:1">
      <c r="A59" t="s">
        <v>56</v>
      </c>
    </row>
    <row r="62" spans="1:1">
      <c r="A62" s="66" t="s">
        <v>57</v>
      </c>
    </row>
    <row r="63" spans="1:1">
      <c r="A63" t="s">
        <v>47</v>
      </c>
    </row>
    <row r="64" spans="1:1">
      <c r="A64" t="s">
        <v>49</v>
      </c>
    </row>
    <row r="65" spans="1:1">
      <c r="A65" t="s">
        <v>58</v>
      </c>
    </row>
    <row r="66" spans="1:1">
      <c r="A66" t="s">
        <v>51</v>
      </c>
    </row>
    <row r="67" spans="1:1">
      <c r="A67" t="s">
        <v>59</v>
      </c>
    </row>
    <row r="68" spans="1:1">
      <c r="A68" t="s">
        <v>60</v>
      </c>
    </row>
    <row r="69" spans="1:1">
      <c r="A69" t="s">
        <v>61</v>
      </c>
    </row>
    <row r="70" spans="1:1">
      <c r="A70" t="s">
        <v>62</v>
      </c>
    </row>
    <row r="71" spans="1:1">
      <c r="A71" t="s">
        <v>63</v>
      </c>
    </row>
    <row r="72" spans="1:1">
      <c r="A72" t="s">
        <v>64</v>
      </c>
    </row>
    <row r="73" spans="1:1">
      <c r="A73" t="s">
        <v>65</v>
      </c>
    </row>
    <row r="74" spans="1:1">
      <c r="A74" t="s">
        <v>66</v>
      </c>
    </row>
    <row r="77" spans="1:1">
      <c r="A77" s="66" t="s">
        <v>67</v>
      </c>
    </row>
    <row r="78" spans="1:1">
      <c r="A78" t="s">
        <v>68</v>
      </c>
    </row>
    <row r="79" spans="1:1">
      <c r="A79" t="s">
        <v>69</v>
      </c>
    </row>
    <row r="80" spans="1:1">
      <c r="A80" t="s">
        <v>70</v>
      </c>
    </row>
    <row r="83" spans="1:1">
      <c r="A83" s="66" t="s">
        <v>71</v>
      </c>
    </row>
    <row r="84" spans="1:1">
      <c r="A84" t="s">
        <v>72</v>
      </c>
    </row>
    <row r="85" spans="1:1">
      <c r="A85" t="s">
        <v>73</v>
      </c>
    </row>
    <row r="86" spans="1:1">
      <c r="A86" t="s">
        <v>74</v>
      </c>
    </row>
    <row r="87" spans="1:1">
      <c r="A87" t="s">
        <v>75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Hoja3"/>
  <dimension ref="A1:AX101"/>
  <sheetViews>
    <sheetView showGridLines="0" view="pageBreakPreview" topLeftCell="A28" zoomScale="80" zoomScaleNormal="70" zoomScaleSheetLayoutView="80" workbookViewId="0">
      <selection activeCell="G32" sqref="G32:J32"/>
    </sheetView>
  </sheetViews>
  <sheetFormatPr baseColWidth="10" defaultColWidth="11.44140625" defaultRowHeight="13.2"/>
  <cols>
    <col min="1" max="1" width="3.6640625" style="2" customWidth="1"/>
    <col min="2" max="4" width="5.6640625" style="2" customWidth="1"/>
    <col min="5" max="5" width="4.109375" style="2" customWidth="1"/>
    <col min="6" max="6" width="8.6640625" style="2" customWidth="1"/>
    <col min="7" max="7" width="3.6640625" style="2" customWidth="1"/>
    <col min="8" max="8" width="5.6640625" style="2" customWidth="1"/>
    <col min="9" max="9" width="5.109375" style="2" bestFit="1" customWidth="1"/>
    <col min="10" max="10" width="5.33203125" style="2" customWidth="1"/>
    <col min="11" max="11" width="5.5546875" style="2" customWidth="1"/>
    <col min="12" max="12" width="5.44140625" style="2" customWidth="1"/>
    <col min="13" max="13" width="3.6640625" style="2" customWidth="1"/>
    <col min="14" max="14" width="14" style="2" customWidth="1"/>
    <col min="15" max="18" width="8.6640625" style="2" customWidth="1"/>
    <col min="19" max="19" width="10.6640625" style="2" customWidth="1"/>
    <col min="20" max="20" width="4.109375" style="2" customWidth="1"/>
    <col min="21" max="21" width="20.109375" style="2" customWidth="1"/>
    <col min="22" max="22" width="18.44140625" style="2" customWidth="1"/>
    <col min="23" max="23" width="4.5546875" style="2" customWidth="1"/>
    <col min="24" max="26" width="3.6640625" style="2" customWidth="1"/>
    <col min="27" max="27" width="8" style="2" customWidth="1"/>
    <col min="28" max="28" width="3.33203125" style="2" customWidth="1"/>
    <col min="29" max="29" width="3.6640625" style="2" customWidth="1"/>
    <col min="30" max="30" width="4.6640625" style="2" customWidth="1"/>
    <col min="31" max="31" width="3.6640625" style="2" customWidth="1"/>
    <col min="32" max="32" width="5.5546875" style="2" customWidth="1"/>
    <col min="33" max="33" width="8.5546875" style="2" customWidth="1"/>
    <col min="34" max="34" width="4.33203125" style="2" customWidth="1"/>
    <col min="35" max="35" width="8.44140625" style="2" customWidth="1"/>
    <col min="36" max="44" width="11.44140625" style="2"/>
    <col min="45" max="45" width="11.44140625" style="2" customWidth="1"/>
    <col min="46" max="16384" width="11.44140625" style="2"/>
  </cols>
  <sheetData>
    <row r="1" spans="1:34" ht="8.6999999999999993" customHeight="1">
      <c r="A1" s="338"/>
      <c r="B1" s="339"/>
      <c r="C1" s="339"/>
      <c r="D1" s="339"/>
      <c r="E1" s="339"/>
      <c r="F1" s="339"/>
      <c r="G1" s="340"/>
      <c r="H1" s="347" t="s">
        <v>76</v>
      </c>
      <c r="I1" s="348"/>
      <c r="J1" s="348"/>
      <c r="K1" s="348"/>
      <c r="L1" s="348"/>
      <c r="M1" s="348"/>
      <c r="N1" s="348"/>
      <c r="O1" s="348"/>
      <c r="P1" s="348"/>
      <c r="Q1" s="348"/>
      <c r="R1" s="348"/>
      <c r="S1" s="348"/>
      <c r="T1" s="348"/>
      <c r="U1" s="348"/>
      <c r="V1" s="348"/>
      <c r="W1" s="348"/>
      <c r="X1" s="348"/>
      <c r="Y1" s="348"/>
      <c r="Z1" s="348"/>
      <c r="AA1" s="348"/>
      <c r="AB1" s="349"/>
      <c r="AC1" s="307" t="s">
        <v>77</v>
      </c>
      <c r="AD1" s="308"/>
      <c r="AE1" s="308"/>
      <c r="AF1" s="308"/>
      <c r="AG1" s="308"/>
      <c r="AH1" s="309"/>
    </row>
    <row r="2" spans="1:34" ht="8.6999999999999993" customHeight="1">
      <c r="A2" s="341"/>
      <c r="B2" s="342"/>
      <c r="C2" s="342"/>
      <c r="D2" s="342"/>
      <c r="E2" s="342"/>
      <c r="F2" s="342"/>
      <c r="G2" s="343"/>
      <c r="H2" s="350"/>
      <c r="I2" s="351"/>
      <c r="J2" s="351"/>
      <c r="K2" s="351"/>
      <c r="L2" s="351"/>
      <c r="M2" s="351"/>
      <c r="N2" s="351"/>
      <c r="O2" s="351"/>
      <c r="P2" s="351"/>
      <c r="Q2" s="351"/>
      <c r="R2" s="351"/>
      <c r="S2" s="351"/>
      <c r="T2" s="351"/>
      <c r="U2" s="351"/>
      <c r="V2" s="351"/>
      <c r="W2" s="351"/>
      <c r="X2" s="351"/>
      <c r="Y2" s="351"/>
      <c r="Z2" s="351"/>
      <c r="AA2" s="351"/>
      <c r="AB2" s="352"/>
      <c r="AC2" s="310"/>
      <c r="AD2" s="311"/>
      <c r="AE2" s="311"/>
      <c r="AF2" s="311"/>
      <c r="AG2" s="311"/>
      <c r="AH2" s="312"/>
    </row>
    <row r="3" spans="1:34" ht="15.9" customHeight="1">
      <c r="A3" s="341"/>
      <c r="B3" s="342"/>
      <c r="C3" s="342"/>
      <c r="D3" s="342"/>
      <c r="E3" s="342"/>
      <c r="F3" s="342"/>
      <c r="G3" s="343"/>
      <c r="H3" s="350"/>
      <c r="I3" s="351"/>
      <c r="J3" s="351"/>
      <c r="K3" s="351"/>
      <c r="L3" s="351"/>
      <c r="M3" s="351"/>
      <c r="N3" s="351"/>
      <c r="O3" s="351"/>
      <c r="P3" s="351"/>
      <c r="Q3" s="351"/>
      <c r="R3" s="351"/>
      <c r="S3" s="351"/>
      <c r="T3" s="351"/>
      <c r="U3" s="351"/>
      <c r="V3" s="351"/>
      <c r="W3" s="351"/>
      <c r="X3" s="351"/>
      <c r="Y3" s="351"/>
      <c r="Z3" s="351"/>
      <c r="AA3" s="351"/>
      <c r="AB3" s="352"/>
      <c r="AC3" s="310" t="s">
        <v>78</v>
      </c>
      <c r="AD3" s="311"/>
      <c r="AE3" s="311"/>
      <c r="AF3" s="311"/>
      <c r="AG3" s="311"/>
      <c r="AH3" s="312"/>
    </row>
    <row r="4" spans="1:34" ht="15.9" customHeight="1">
      <c r="A4" s="341"/>
      <c r="B4" s="342"/>
      <c r="C4" s="342"/>
      <c r="D4" s="342"/>
      <c r="E4" s="342"/>
      <c r="F4" s="342"/>
      <c r="G4" s="343"/>
      <c r="H4" s="350"/>
      <c r="I4" s="351"/>
      <c r="J4" s="351"/>
      <c r="K4" s="351"/>
      <c r="L4" s="351"/>
      <c r="M4" s="351"/>
      <c r="N4" s="351"/>
      <c r="O4" s="351"/>
      <c r="P4" s="351"/>
      <c r="Q4" s="351"/>
      <c r="R4" s="351"/>
      <c r="S4" s="351"/>
      <c r="T4" s="351"/>
      <c r="U4" s="351"/>
      <c r="V4" s="351"/>
      <c r="W4" s="351"/>
      <c r="X4" s="351"/>
      <c r="Y4" s="351"/>
      <c r="Z4" s="351"/>
      <c r="AA4" s="351"/>
      <c r="AB4" s="352"/>
      <c r="AC4" s="310" t="s">
        <v>79</v>
      </c>
      <c r="AD4" s="311"/>
      <c r="AE4" s="311"/>
      <c r="AF4" s="311"/>
      <c r="AG4" s="311"/>
      <c r="AH4" s="312"/>
    </row>
    <row r="5" spans="1:34" ht="15.9" customHeight="1" thickBot="1">
      <c r="A5" s="344"/>
      <c r="B5" s="345"/>
      <c r="C5" s="345"/>
      <c r="D5" s="345"/>
      <c r="E5" s="345"/>
      <c r="F5" s="345"/>
      <c r="G5" s="346"/>
      <c r="H5" s="353"/>
      <c r="I5" s="354"/>
      <c r="J5" s="354"/>
      <c r="K5" s="354"/>
      <c r="L5" s="354"/>
      <c r="M5" s="354"/>
      <c r="N5" s="354"/>
      <c r="O5" s="354"/>
      <c r="P5" s="354"/>
      <c r="Q5" s="354"/>
      <c r="R5" s="354"/>
      <c r="S5" s="354"/>
      <c r="T5" s="354"/>
      <c r="U5" s="354"/>
      <c r="V5" s="354"/>
      <c r="W5" s="354"/>
      <c r="X5" s="354"/>
      <c r="Y5" s="354"/>
      <c r="Z5" s="354"/>
      <c r="AA5" s="354"/>
      <c r="AB5" s="355"/>
      <c r="AC5" s="313" t="s">
        <v>80</v>
      </c>
      <c r="AD5" s="314"/>
      <c r="AE5" s="314"/>
      <c r="AF5" s="314"/>
      <c r="AG5" s="314"/>
      <c r="AH5" s="315"/>
    </row>
    <row r="6" spans="1:34" s="3" customFormat="1" ht="15" customHeight="1">
      <c r="A6" s="318" t="s">
        <v>81</v>
      </c>
      <c r="B6" s="318"/>
      <c r="C6" s="318"/>
      <c r="D6" s="318"/>
      <c r="E6" s="318"/>
      <c r="F6" s="318"/>
      <c r="G6" s="227"/>
      <c r="H6" s="227"/>
      <c r="I6" s="227"/>
      <c r="J6" s="227"/>
      <c r="K6" s="227"/>
      <c r="L6" s="227"/>
      <c r="M6" s="227"/>
      <c r="N6" s="227"/>
      <c r="O6" s="227"/>
      <c r="P6" s="227"/>
      <c r="Q6" s="227"/>
      <c r="R6" s="318" t="s">
        <v>82</v>
      </c>
      <c r="S6" s="318"/>
      <c r="T6" s="318"/>
      <c r="U6" s="319"/>
      <c r="V6" s="319"/>
      <c r="W6" s="319"/>
      <c r="X6" s="319"/>
      <c r="Y6" s="319"/>
      <c r="Z6" s="319"/>
      <c r="AA6" s="265" t="s">
        <v>83</v>
      </c>
      <c r="AB6" s="265"/>
      <c r="AC6" s="265"/>
      <c r="AD6" s="265"/>
      <c r="AE6" s="320">
        <v>551007370</v>
      </c>
      <c r="AF6" s="321"/>
      <c r="AG6" s="321"/>
      <c r="AH6" s="229"/>
    </row>
    <row r="7" spans="1:34" s="3" customFormat="1" ht="15.75" customHeight="1">
      <c r="A7" s="363" t="s">
        <v>84</v>
      </c>
      <c r="B7" s="363"/>
      <c r="C7" s="363"/>
      <c r="D7" s="363"/>
      <c r="E7" s="363"/>
      <c r="F7" s="363"/>
      <c r="G7" s="245" t="s">
        <v>85</v>
      </c>
      <c r="H7" s="245"/>
      <c r="I7" s="245"/>
      <c r="J7" s="245"/>
      <c r="K7" s="245"/>
      <c r="L7" s="245"/>
      <c r="M7" s="245"/>
      <c r="N7" s="245"/>
      <c r="O7" s="245"/>
      <c r="P7" s="245"/>
      <c r="Q7" s="245"/>
      <c r="R7" s="363" t="s">
        <v>86</v>
      </c>
      <c r="S7" s="363"/>
      <c r="T7" s="363"/>
      <c r="U7" s="364"/>
      <c r="V7" s="357"/>
      <c r="W7" s="357"/>
      <c r="X7" s="357"/>
      <c r="Y7" s="357"/>
      <c r="Z7" s="357"/>
      <c r="AA7" s="273" t="s">
        <v>87</v>
      </c>
      <c r="AB7" s="273"/>
      <c r="AC7" s="273"/>
      <c r="AD7" s="273"/>
      <c r="AE7" s="358" t="s">
        <v>88</v>
      </c>
      <c r="AF7" s="359"/>
      <c r="AG7" s="359"/>
      <c r="AH7" s="360"/>
    </row>
    <row r="8" spans="1:34" s="3" customFormat="1" ht="15.75" customHeight="1">
      <c r="A8" s="363" t="s">
        <v>89</v>
      </c>
      <c r="B8" s="363"/>
      <c r="C8" s="363"/>
      <c r="D8" s="363"/>
      <c r="E8" s="363"/>
      <c r="F8" s="363"/>
      <c r="G8" s="245"/>
      <c r="H8" s="245"/>
      <c r="I8" s="245"/>
      <c r="J8" s="245"/>
      <c r="K8" s="245"/>
      <c r="L8" s="245"/>
      <c r="M8" s="245"/>
      <c r="N8" s="245"/>
      <c r="O8" s="245"/>
      <c r="P8" s="245"/>
      <c r="Q8" s="245"/>
      <c r="R8" s="363" t="s">
        <v>90</v>
      </c>
      <c r="S8" s="363"/>
      <c r="T8" s="363"/>
      <c r="U8" s="357"/>
      <c r="V8" s="357"/>
      <c r="W8" s="357"/>
      <c r="X8" s="357"/>
      <c r="Y8" s="357"/>
      <c r="Z8" s="357"/>
      <c r="AA8" s="273" t="s">
        <v>91</v>
      </c>
      <c r="AB8" s="273"/>
      <c r="AC8" s="273"/>
      <c r="AD8" s="273"/>
      <c r="AE8" s="358"/>
      <c r="AF8" s="359"/>
      <c r="AG8" s="359"/>
      <c r="AH8" s="360"/>
    </row>
    <row r="9" spans="1:34" s="3" customFormat="1" ht="15.75" customHeight="1">
      <c r="A9" s="363" t="s">
        <v>92</v>
      </c>
      <c r="B9" s="363"/>
      <c r="C9" s="363"/>
      <c r="D9" s="363"/>
      <c r="E9" s="363"/>
      <c r="F9" s="363"/>
      <c r="G9" s="245"/>
      <c r="H9" s="245"/>
      <c r="I9" s="245"/>
      <c r="J9" s="245"/>
      <c r="K9" s="245"/>
      <c r="L9" s="245"/>
      <c r="M9" s="245"/>
      <c r="N9" s="245"/>
      <c r="O9" s="245"/>
      <c r="P9" s="245"/>
      <c r="Q9" s="245"/>
      <c r="R9" s="363" t="s">
        <v>93</v>
      </c>
      <c r="S9" s="363"/>
      <c r="T9" s="363"/>
      <c r="U9" s="357"/>
      <c r="V9" s="357"/>
      <c r="W9" s="357"/>
      <c r="X9" s="357"/>
      <c r="Y9" s="357"/>
      <c r="Z9" s="357"/>
      <c r="AA9" s="392" t="s">
        <v>94</v>
      </c>
      <c r="AB9" s="393"/>
      <c r="AC9" s="393"/>
      <c r="AD9" s="394"/>
      <c r="AE9" s="358" t="s">
        <v>95</v>
      </c>
      <c r="AF9" s="359"/>
      <c r="AG9" s="359"/>
      <c r="AH9" s="360"/>
    </row>
    <row r="10" spans="1:34" s="3" customFormat="1" ht="15.75" customHeight="1">
      <c r="A10" s="48"/>
      <c r="B10" s="45"/>
      <c r="C10" s="45"/>
      <c r="D10" s="45"/>
      <c r="E10" s="45"/>
      <c r="F10" s="45"/>
      <c r="G10" s="45"/>
      <c r="H10" s="45"/>
      <c r="I10" s="45"/>
      <c r="J10" s="45"/>
      <c r="K10" s="45"/>
      <c r="L10" s="45"/>
      <c r="M10" s="45"/>
      <c r="N10" s="45"/>
      <c r="O10" s="45"/>
      <c r="P10" s="45"/>
      <c r="Q10" s="45"/>
      <c r="R10" s="45"/>
      <c r="S10" s="45"/>
      <c r="T10" s="45"/>
      <c r="U10" s="45"/>
      <c r="V10" s="45"/>
      <c r="W10" s="45"/>
      <c r="X10" s="45"/>
      <c r="Y10" s="45"/>
      <c r="Z10" s="45"/>
      <c r="AA10" s="46"/>
      <c r="AB10" s="46"/>
      <c r="AC10" s="46"/>
      <c r="AD10" s="46"/>
      <c r="AE10" s="46"/>
      <c r="AF10" s="46"/>
      <c r="AG10" s="46"/>
      <c r="AH10" s="47"/>
    </row>
    <row r="11" spans="1:34" ht="24.9" customHeight="1">
      <c r="A11" s="368" t="s">
        <v>96</v>
      </c>
      <c r="B11" s="369"/>
      <c r="C11" s="369"/>
      <c r="D11" s="369"/>
      <c r="E11" s="369"/>
      <c r="F11" s="369"/>
      <c r="G11" s="369"/>
      <c r="H11" s="369"/>
      <c r="I11" s="369"/>
      <c r="J11" s="369"/>
      <c r="K11" s="369"/>
      <c r="L11" s="369"/>
      <c r="M11" s="369"/>
      <c r="N11" s="369"/>
      <c r="O11" s="369"/>
      <c r="P11" s="369"/>
      <c r="Q11" s="369"/>
      <c r="R11" s="369"/>
      <c r="S11" s="369"/>
      <c r="T11" s="369"/>
      <c r="U11" s="369"/>
      <c r="V11" s="369"/>
      <c r="W11" s="369"/>
      <c r="X11" s="369"/>
      <c r="Y11" s="369"/>
      <c r="Z11" s="369"/>
      <c r="AA11" s="369"/>
      <c r="AB11" s="369"/>
      <c r="AC11" s="369"/>
      <c r="AD11" s="369"/>
      <c r="AE11" s="369"/>
      <c r="AF11" s="369"/>
      <c r="AG11" s="369"/>
      <c r="AH11" s="370"/>
    </row>
    <row r="12" spans="1:34" ht="36.6" customHeight="1">
      <c r="A12" s="371" t="s">
        <v>97</v>
      </c>
      <c r="B12" s="372"/>
      <c r="C12" s="372"/>
      <c r="D12" s="372"/>
      <c r="E12" s="372"/>
      <c r="F12" s="372"/>
      <c r="G12" s="372"/>
      <c r="H12" s="372"/>
      <c r="I12" s="372"/>
      <c r="J12" s="372"/>
      <c r="K12" s="372"/>
      <c r="L12" s="372"/>
      <c r="M12" s="372"/>
      <c r="N12" s="372"/>
      <c r="O12" s="372"/>
      <c r="P12" s="372"/>
      <c r="Q12" s="372"/>
      <c r="R12" s="372"/>
      <c r="S12" s="372"/>
      <c r="T12" s="372"/>
      <c r="U12" s="372"/>
      <c r="V12" s="372"/>
      <c r="W12" s="372"/>
      <c r="X12" s="372"/>
      <c r="Y12" s="372"/>
      <c r="Z12" s="372"/>
      <c r="AA12" s="372"/>
      <c r="AB12" s="372"/>
      <c r="AC12" s="372"/>
      <c r="AD12" s="372"/>
      <c r="AE12" s="372"/>
      <c r="AF12" s="372"/>
      <c r="AG12" s="372"/>
      <c r="AH12" s="373"/>
    </row>
    <row r="13" spans="1:34" ht="24.9" customHeight="1">
      <c r="A13" s="365" t="s">
        <v>98</v>
      </c>
      <c r="B13" s="366"/>
      <c r="C13" s="366"/>
      <c r="D13" s="366"/>
      <c r="E13" s="366"/>
      <c r="F13" s="366"/>
      <c r="G13" s="366"/>
      <c r="H13" s="366"/>
      <c r="I13" s="366"/>
      <c r="J13" s="366"/>
      <c r="K13" s="366"/>
      <c r="L13" s="366"/>
      <c r="M13" s="366"/>
      <c r="N13" s="366"/>
      <c r="O13" s="366"/>
      <c r="P13" s="366"/>
      <c r="Q13" s="366"/>
      <c r="R13" s="366"/>
      <c r="S13" s="366"/>
      <c r="T13" s="366"/>
      <c r="U13" s="366"/>
      <c r="V13" s="366"/>
      <c r="W13" s="366"/>
      <c r="X13" s="366"/>
      <c r="Y13" s="366"/>
      <c r="Z13" s="366"/>
      <c r="AA13" s="366"/>
      <c r="AB13" s="366"/>
      <c r="AC13" s="366"/>
      <c r="AD13" s="366"/>
      <c r="AE13" s="366"/>
      <c r="AF13" s="366"/>
      <c r="AG13" s="366"/>
      <c r="AH13" s="367"/>
    </row>
    <row r="14" spans="1:34">
      <c r="A14" s="322" t="s">
        <v>99</v>
      </c>
      <c r="B14" s="323"/>
      <c r="C14" s="323"/>
      <c r="D14" s="323"/>
      <c r="E14" s="323"/>
      <c r="F14" s="323"/>
      <c r="G14" s="323"/>
      <c r="H14" s="323"/>
      <c r="I14" s="323"/>
      <c r="J14" s="323"/>
      <c r="K14" s="323"/>
      <c r="L14" s="323"/>
      <c r="M14" s="323"/>
      <c r="N14" s="323"/>
      <c r="O14" s="323"/>
      <c r="P14" s="323"/>
      <c r="Q14" s="323"/>
      <c r="R14" s="323"/>
      <c r="S14" s="323"/>
      <c r="T14" s="323"/>
      <c r="U14" s="323"/>
      <c r="V14" s="323"/>
      <c r="W14" s="323"/>
      <c r="X14" s="323"/>
      <c r="Y14" s="323"/>
      <c r="Z14" s="323"/>
      <c r="AA14" s="323"/>
      <c r="AB14" s="323"/>
      <c r="AC14" s="323"/>
      <c r="AD14" s="323"/>
      <c r="AE14" s="323"/>
      <c r="AF14" s="323"/>
      <c r="AG14" s="323"/>
      <c r="AH14" s="324"/>
    </row>
    <row r="15" spans="1:34">
      <c r="A15" s="322" t="s">
        <v>100</v>
      </c>
      <c r="B15" s="323"/>
      <c r="C15" s="323"/>
      <c r="D15" s="323"/>
      <c r="E15" s="323"/>
      <c r="F15" s="323"/>
      <c r="G15" s="323"/>
      <c r="H15" s="323"/>
      <c r="I15" s="323"/>
      <c r="J15" s="323"/>
      <c r="K15" s="323"/>
      <c r="L15" s="323"/>
      <c r="M15" s="323"/>
      <c r="N15" s="323"/>
      <c r="O15" s="323"/>
      <c r="P15" s="323"/>
      <c r="Q15" s="323"/>
      <c r="R15" s="323"/>
      <c r="S15" s="323"/>
      <c r="T15" s="323"/>
      <c r="U15" s="323"/>
      <c r="V15" s="323"/>
      <c r="W15" s="323"/>
      <c r="X15" s="323"/>
      <c r="Y15" s="323"/>
      <c r="Z15" s="323"/>
      <c r="AA15" s="323"/>
      <c r="AB15" s="323"/>
      <c r="AC15" s="323"/>
      <c r="AD15" s="323"/>
      <c r="AE15" s="323"/>
      <c r="AF15" s="323"/>
      <c r="AG15" s="323"/>
      <c r="AH15" s="324"/>
    </row>
    <row r="16" spans="1:34">
      <c r="A16" s="322" t="s">
        <v>100</v>
      </c>
      <c r="B16" s="323"/>
      <c r="C16" s="323"/>
      <c r="D16" s="323"/>
      <c r="E16" s="323"/>
      <c r="F16" s="323"/>
      <c r="G16" s="323"/>
      <c r="H16" s="323"/>
      <c r="I16" s="323"/>
      <c r="J16" s="323"/>
      <c r="K16" s="323"/>
      <c r="L16" s="323"/>
      <c r="M16" s="323"/>
      <c r="N16" s="323"/>
      <c r="O16" s="323"/>
      <c r="P16" s="323"/>
      <c r="Q16" s="323"/>
      <c r="R16" s="323"/>
      <c r="S16" s="323"/>
      <c r="T16" s="323"/>
      <c r="U16" s="323"/>
      <c r="V16" s="323"/>
      <c r="W16" s="323"/>
      <c r="X16" s="323"/>
      <c r="Y16" s="323"/>
      <c r="Z16" s="323"/>
      <c r="AA16" s="323"/>
      <c r="AB16" s="323"/>
      <c r="AC16" s="323"/>
      <c r="AD16" s="323"/>
      <c r="AE16" s="323"/>
      <c r="AF16" s="323"/>
      <c r="AG16" s="323"/>
      <c r="AH16" s="324"/>
    </row>
    <row r="17" spans="1:50">
      <c r="A17" s="325"/>
      <c r="B17" s="325"/>
      <c r="C17" s="325"/>
      <c r="D17" s="325"/>
      <c r="E17" s="325"/>
      <c r="F17" s="325"/>
      <c r="G17" s="325"/>
      <c r="H17" s="325"/>
      <c r="I17" s="325"/>
      <c r="J17" s="325"/>
      <c r="K17" s="325"/>
      <c r="L17" s="325"/>
      <c r="M17" s="325"/>
      <c r="N17" s="325"/>
      <c r="O17" s="325"/>
      <c r="P17" s="325"/>
      <c r="Q17" s="325"/>
      <c r="R17" s="325"/>
      <c r="S17" s="325"/>
      <c r="T17" s="325"/>
      <c r="U17" s="325"/>
      <c r="V17" s="325"/>
      <c r="W17" s="325"/>
      <c r="X17" s="325"/>
      <c r="Y17" s="325"/>
      <c r="Z17" s="325"/>
      <c r="AA17" s="325"/>
      <c r="AB17" s="325"/>
      <c r="AC17" s="325"/>
      <c r="AD17" s="325"/>
      <c r="AE17" s="325"/>
      <c r="AF17" s="325"/>
      <c r="AG17" s="325"/>
      <c r="AH17" s="325"/>
    </row>
    <row r="18" spans="1:50" ht="24.9" customHeight="1">
      <c r="A18" s="326" t="s">
        <v>101</v>
      </c>
      <c r="B18" s="327"/>
      <c r="C18" s="327"/>
      <c r="D18" s="327"/>
      <c r="E18" s="327"/>
      <c r="F18" s="327"/>
      <c r="G18" s="327"/>
      <c r="H18" s="327"/>
      <c r="I18" s="327"/>
      <c r="J18" s="327"/>
      <c r="K18" s="327"/>
      <c r="L18" s="327"/>
      <c r="M18" s="327"/>
      <c r="N18" s="327"/>
      <c r="O18" s="327"/>
      <c r="P18" s="327"/>
      <c r="Q18" s="327"/>
      <c r="R18" s="327"/>
      <c r="S18" s="327"/>
      <c r="T18" s="327"/>
      <c r="U18" s="327"/>
      <c r="V18" s="327"/>
      <c r="W18" s="327"/>
      <c r="X18" s="327"/>
      <c r="Y18" s="327"/>
      <c r="Z18" s="327"/>
      <c r="AA18" s="327"/>
      <c r="AB18" s="327"/>
      <c r="AC18" s="327"/>
      <c r="AD18" s="327"/>
      <c r="AE18" s="327"/>
      <c r="AF18" s="327"/>
      <c r="AG18" s="327"/>
      <c r="AH18" s="328"/>
    </row>
    <row r="19" spans="1:50" s="5" customFormat="1" ht="30" customHeight="1">
      <c r="A19" s="361" t="s">
        <v>102</v>
      </c>
      <c r="B19" s="362"/>
      <c r="C19" s="362"/>
      <c r="D19" s="362"/>
      <c r="E19" s="362"/>
      <c r="F19" s="362"/>
      <c r="G19" s="362"/>
      <c r="H19" s="362"/>
      <c r="I19" s="362"/>
      <c r="J19" s="362"/>
      <c r="K19" s="362"/>
      <c r="L19" s="362"/>
      <c r="M19" s="362"/>
      <c r="N19" s="362"/>
      <c r="O19" s="362"/>
      <c r="P19" s="362"/>
      <c r="Q19" s="362"/>
      <c r="R19" s="362"/>
      <c r="S19" s="362" t="s">
        <v>103</v>
      </c>
      <c r="T19" s="362"/>
      <c r="U19" s="362"/>
      <c r="V19" s="362"/>
      <c r="W19" s="362"/>
      <c r="X19" s="362"/>
      <c r="Y19" s="362"/>
      <c r="Z19" s="362"/>
      <c r="AA19" s="362"/>
      <c r="AB19" s="362"/>
      <c r="AC19" s="362"/>
      <c r="AD19" s="362"/>
      <c r="AE19" s="362"/>
      <c r="AF19" s="362"/>
      <c r="AG19" s="362"/>
      <c r="AH19" s="362"/>
      <c r="AI19" s="362"/>
    </row>
    <row r="20" spans="1:50" s="5" customFormat="1" ht="30" customHeight="1">
      <c r="A20" s="361" t="s">
        <v>104</v>
      </c>
      <c r="B20" s="362"/>
      <c r="C20" s="362"/>
      <c r="D20" s="362"/>
      <c r="E20" s="362"/>
      <c r="F20" s="362"/>
      <c r="G20" s="362"/>
      <c r="H20" s="362"/>
      <c r="I20" s="362"/>
      <c r="J20" s="362"/>
      <c r="K20" s="362"/>
      <c r="L20" s="362"/>
      <c r="M20" s="362"/>
      <c r="N20" s="362"/>
      <c r="O20" s="362"/>
      <c r="P20" s="362"/>
      <c r="Q20" s="362"/>
      <c r="R20" s="362"/>
      <c r="S20" s="362" t="s">
        <v>105</v>
      </c>
      <c r="T20" s="362"/>
      <c r="U20" s="362"/>
      <c r="V20" s="362"/>
      <c r="W20" s="362"/>
      <c r="X20" s="362"/>
      <c r="Y20" s="362"/>
      <c r="Z20" s="362"/>
      <c r="AA20" s="362"/>
      <c r="AB20" s="362"/>
      <c r="AC20" s="362"/>
      <c r="AD20" s="362"/>
      <c r="AE20" s="362"/>
      <c r="AF20" s="362"/>
      <c r="AG20" s="362"/>
      <c r="AH20" s="362"/>
      <c r="AI20" s="362"/>
    </row>
    <row r="21" spans="1:50" s="5" customFormat="1" ht="30" customHeight="1">
      <c r="A21" s="361" t="s">
        <v>106</v>
      </c>
      <c r="B21" s="362"/>
      <c r="C21" s="362"/>
      <c r="D21" s="362"/>
      <c r="E21" s="362"/>
      <c r="F21" s="362"/>
      <c r="G21" s="362"/>
      <c r="H21" s="362"/>
      <c r="I21" s="362"/>
      <c r="J21" s="362"/>
      <c r="K21" s="362"/>
      <c r="L21" s="362"/>
      <c r="M21" s="362"/>
      <c r="N21" s="362"/>
      <c r="O21" s="362"/>
      <c r="P21" s="362"/>
      <c r="Q21" s="362"/>
      <c r="R21" s="362"/>
      <c r="S21" s="362" t="s">
        <v>107</v>
      </c>
      <c r="T21" s="362"/>
      <c r="U21" s="362"/>
      <c r="V21" s="362"/>
      <c r="W21" s="362"/>
      <c r="X21" s="362"/>
      <c r="Y21" s="362"/>
      <c r="Z21" s="362"/>
      <c r="AA21" s="362"/>
      <c r="AB21" s="205"/>
      <c r="AC21" s="205"/>
      <c r="AD21" s="205"/>
      <c r="AE21" s="205"/>
      <c r="AF21" s="205"/>
      <c r="AG21" s="205"/>
      <c r="AH21" s="205"/>
      <c r="AI21" s="205"/>
    </row>
    <row r="22" spans="1:50" s="5" customFormat="1" ht="30" customHeight="1">
      <c r="A22" s="361" t="s">
        <v>108</v>
      </c>
      <c r="B22" s="362"/>
      <c r="C22" s="362"/>
      <c r="D22" s="362"/>
      <c r="E22" s="362"/>
      <c r="F22" s="362"/>
      <c r="G22" s="362"/>
      <c r="H22" s="362"/>
      <c r="I22" s="362"/>
      <c r="J22" s="362"/>
      <c r="K22" s="362"/>
      <c r="L22" s="362"/>
      <c r="M22" s="362"/>
      <c r="N22" s="362"/>
      <c r="O22" s="362"/>
      <c r="P22" s="362"/>
      <c r="Q22" s="362"/>
      <c r="R22" s="362"/>
      <c r="AB22" s="205"/>
      <c r="AC22" s="205"/>
      <c r="AD22" s="205"/>
      <c r="AE22" s="205"/>
      <c r="AF22" s="205"/>
      <c r="AG22" s="205"/>
      <c r="AH22" s="205"/>
      <c r="AI22" s="205"/>
    </row>
    <row r="23" spans="1:50" s="5" customFormat="1" ht="30" customHeight="1">
      <c r="A23" s="361" t="s">
        <v>109</v>
      </c>
      <c r="B23" s="362"/>
      <c r="C23" s="362"/>
      <c r="D23" s="362"/>
      <c r="E23" s="362"/>
      <c r="F23" s="362"/>
      <c r="G23" s="362"/>
      <c r="H23" s="362"/>
      <c r="I23" s="362"/>
      <c r="J23" s="362"/>
      <c r="K23" s="362"/>
      <c r="L23" s="362"/>
      <c r="M23" s="362"/>
      <c r="N23" s="362"/>
      <c r="O23" s="362"/>
      <c r="P23" s="362"/>
      <c r="Q23" s="362"/>
      <c r="R23" s="362"/>
      <c r="S23" s="362"/>
      <c r="T23" s="362"/>
      <c r="U23" s="362"/>
      <c r="V23" s="362"/>
      <c r="W23" s="362"/>
      <c r="X23" s="362"/>
      <c r="Y23" s="362"/>
      <c r="Z23" s="362"/>
      <c r="AA23" s="362"/>
      <c r="AB23" s="480"/>
      <c r="AC23" s="480"/>
      <c r="AD23" s="480"/>
      <c r="AE23" s="480"/>
      <c r="AF23" s="480"/>
      <c r="AG23" s="480"/>
      <c r="AH23" s="480"/>
      <c r="AI23" s="480"/>
    </row>
    <row r="24" spans="1:50" s="7" customFormat="1" ht="9" customHeight="1" thickBot="1">
      <c r="A24" s="21"/>
      <c r="B24" s="6"/>
      <c r="C24" s="6"/>
      <c r="D24" s="6"/>
      <c r="E24" s="5"/>
      <c r="F24" s="5"/>
      <c r="G24" s="5"/>
      <c r="H24" s="5"/>
      <c r="I24" s="5"/>
      <c r="J24" s="5"/>
      <c r="K24" s="5"/>
      <c r="L24" s="5"/>
      <c r="M24" s="5"/>
      <c r="N24" s="5"/>
      <c r="O24" s="5"/>
      <c r="P24" s="5"/>
      <c r="Q24" s="5"/>
      <c r="R24" s="5"/>
      <c r="S24" s="6"/>
      <c r="T24" s="6"/>
      <c r="U24" s="6"/>
      <c r="V24" s="6"/>
      <c r="W24" s="6"/>
      <c r="X24" s="6"/>
      <c r="Y24" s="5"/>
      <c r="Z24" s="5"/>
      <c r="AA24" s="5"/>
      <c r="AB24" s="5"/>
      <c r="AC24" s="5"/>
      <c r="AD24" s="5"/>
      <c r="AE24" s="5"/>
      <c r="AF24" s="5"/>
      <c r="AG24" s="5"/>
      <c r="AH24" s="22"/>
    </row>
    <row r="25" spans="1:50" ht="24.9" customHeight="1" thickBot="1">
      <c r="A25" s="329" t="s">
        <v>110</v>
      </c>
      <c r="B25" s="330"/>
      <c r="C25" s="330"/>
      <c r="D25" s="330"/>
      <c r="E25" s="330"/>
      <c r="F25" s="330"/>
      <c r="G25" s="330"/>
      <c r="H25" s="330"/>
      <c r="I25" s="330"/>
      <c r="J25" s="330"/>
      <c r="K25" s="330"/>
      <c r="L25" s="330"/>
      <c r="M25" s="330"/>
      <c r="N25" s="330"/>
      <c r="O25" s="330"/>
      <c r="P25" s="330"/>
      <c r="Q25" s="330"/>
      <c r="R25" s="330"/>
      <c r="S25" s="330"/>
      <c r="T25" s="330"/>
      <c r="U25" s="330"/>
      <c r="V25" s="330"/>
      <c r="W25" s="330"/>
      <c r="X25" s="330"/>
      <c r="Y25" s="330"/>
      <c r="Z25" s="330"/>
      <c r="AA25" s="330"/>
      <c r="AB25" s="330"/>
      <c r="AC25" s="330"/>
      <c r="AD25" s="330"/>
      <c r="AE25" s="330"/>
      <c r="AF25" s="330"/>
      <c r="AG25" s="330"/>
      <c r="AH25" s="331"/>
      <c r="AJ25" s="51"/>
      <c r="AK25" s="51"/>
      <c r="AL25" s="51"/>
      <c r="AM25" s="51"/>
      <c r="AN25" s="51"/>
      <c r="AO25" s="51"/>
      <c r="AP25" s="51"/>
      <c r="AQ25" s="51"/>
      <c r="AR25" s="51"/>
      <c r="AS25" s="51"/>
      <c r="AT25" s="51"/>
      <c r="AU25" s="51"/>
      <c r="AV25" s="51"/>
      <c r="AW25" s="51"/>
      <c r="AX25" s="51"/>
    </row>
    <row r="26" spans="1:50" ht="29.4" customHeight="1" thickBot="1">
      <c r="A26" s="332"/>
      <c r="B26" s="333"/>
      <c r="C26" s="333"/>
      <c r="D26" s="333"/>
      <c r="E26" s="333"/>
      <c r="F26" s="333"/>
      <c r="G26" s="333"/>
      <c r="H26" s="333"/>
      <c r="I26" s="333"/>
      <c r="J26" s="333"/>
      <c r="K26" s="333"/>
      <c r="L26" s="333"/>
      <c r="M26" s="333"/>
      <c r="N26" s="333"/>
      <c r="O26" s="333"/>
      <c r="P26" s="333"/>
      <c r="Q26" s="333"/>
      <c r="R26" s="333"/>
      <c r="S26" s="333"/>
      <c r="T26" s="333"/>
      <c r="U26" s="333"/>
      <c r="V26" s="333"/>
      <c r="W26" s="333"/>
      <c r="X26" s="333"/>
      <c r="Y26" s="333"/>
      <c r="Z26" s="333"/>
      <c r="AA26" s="333"/>
      <c r="AB26" s="333"/>
      <c r="AC26" s="333"/>
      <c r="AD26" s="333"/>
      <c r="AE26" s="333"/>
      <c r="AF26" s="333"/>
      <c r="AG26" s="333"/>
      <c r="AH26" s="334"/>
      <c r="AJ26" s="51"/>
      <c r="AK26" s="51"/>
      <c r="AL26" s="51"/>
      <c r="AM26" s="51"/>
      <c r="AN26" s="51"/>
      <c r="AO26" s="51"/>
      <c r="AP26" s="51"/>
      <c r="AQ26" s="51"/>
      <c r="AR26" s="51"/>
      <c r="AS26" s="51"/>
      <c r="AT26" s="51"/>
      <c r="AU26" s="51"/>
      <c r="AV26" s="51"/>
      <c r="AW26" s="51"/>
      <c r="AX26" s="51"/>
    </row>
    <row r="27" spans="1:50" ht="24.9" customHeight="1" thickBot="1">
      <c r="A27" s="329" t="s">
        <v>111</v>
      </c>
      <c r="B27" s="330"/>
      <c r="C27" s="330"/>
      <c r="D27" s="330"/>
      <c r="E27" s="330"/>
      <c r="F27" s="330"/>
      <c r="G27" s="330"/>
      <c r="H27" s="330"/>
      <c r="I27" s="330"/>
      <c r="J27" s="330"/>
      <c r="K27" s="330"/>
      <c r="L27" s="330"/>
      <c r="M27" s="330"/>
      <c r="N27" s="330"/>
      <c r="O27" s="330"/>
      <c r="P27" s="330"/>
      <c r="Q27" s="330"/>
      <c r="R27" s="330"/>
      <c r="S27" s="330"/>
      <c r="T27" s="330"/>
      <c r="U27" s="330"/>
      <c r="V27" s="330"/>
      <c r="W27" s="330"/>
      <c r="X27" s="330"/>
      <c r="Y27" s="330"/>
      <c r="Z27" s="330"/>
      <c r="AA27" s="330"/>
      <c r="AB27" s="330"/>
      <c r="AC27" s="330"/>
      <c r="AD27" s="330"/>
      <c r="AE27" s="330"/>
      <c r="AF27" s="330"/>
      <c r="AG27" s="330"/>
      <c r="AH27" s="331"/>
      <c r="AJ27" s="51"/>
      <c r="AK27" s="51"/>
      <c r="AL27" s="51"/>
      <c r="AM27" s="51"/>
      <c r="AN27" s="51"/>
      <c r="AO27" s="51"/>
      <c r="AP27" s="51"/>
      <c r="AQ27" s="51"/>
      <c r="AR27" s="51"/>
      <c r="AS27" s="51"/>
      <c r="AT27" s="51"/>
      <c r="AU27" s="51"/>
      <c r="AV27" s="51"/>
      <c r="AW27" s="51"/>
      <c r="AX27" s="51"/>
    </row>
    <row r="28" spans="1:50" ht="297.75" customHeight="1" thickBot="1">
      <c r="A28" s="335"/>
      <c r="B28" s="336"/>
      <c r="C28" s="336"/>
      <c r="D28" s="336"/>
      <c r="E28" s="336"/>
      <c r="F28" s="336"/>
      <c r="G28" s="336"/>
      <c r="H28" s="336"/>
      <c r="I28" s="336"/>
      <c r="J28" s="336"/>
      <c r="K28" s="336"/>
      <c r="L28" s="336"/>
      <c r="M28" s="336"/>
      <c r="N28" s="336"/>
      <c r="O28" s="336"/>
      <c r="P28" s="336"/>
      <c r="Q28" s="336"/>
      <c r="R28" s="336"/>
      <c r="S28" s="336"/>
      <c r="T28" s="336"/>
      <c r="U28" s="336"/>
      <c r="V28" s="336"/>
      <c r="W28" s="336"/>
      <c r="X28" s="336"/>
      <c r="Y28" s="336"/>
      <c r="Z28" s="336"/>
      <c r="AA28" s="336"/>
      <c r="AB28" s="336"/>
      <c r="AC28" s="336"/>
      <c r="AD28" s="336"/>
      <c r="AE28" s="336"/>
      <c r="AF28" s="336"/>
      <c r="AG28" s="336"/>
      <c r="AH28" s="337"/>
      <c r="AJ28" s="51"/>
      <c r="AK28" s="51"/>
      <c r="AL28" s="51"/>
      <c r="AM28" s="51"/>
      <c r="AN28" s="51"/>
      <c r="AO28" s="51"/>
      <c r="AP28" s="51"/>
      <c r="AQ28" s="51"/>
      <c r="AR28" s="51"/>
      <c r="AS28" s="51"/>
      <c r="AT28" s="51"/>
      <c r="AU28" s="51"/>
      <c r="AV28" s="51"/>
      <c r="AW28" s="51"/>
      <c r="AX28" s="51"/>
    </row>
    <row r="29" spans="1:50" ht="24.9" customHeight="1" thickBot="1">
      <c r="A29" s="481" t="s">
        <v>112</v>
      </c>
      <c r="B29" s="482"/>
      <c r="C29" s="482"/>
      <c r="D29" s="482"/>
      <c r="E29" s="482"/>
      <c r="F29" s="482"/>
      <c r="G29" s="482"/>
      <c r="H29" s="482"/>
      <c r="I29" s="482"/>
      <c r="J29" s="482"/>
      <c r="K29" s="482"/>
      <c r="L29" s="482"/>
      <c r="M29" s="482"/>
      <c r="N29" s="482"/>
      <c r="O29" s="482"/>
      <c r="P29" s="482"/>
      <c r="Q29" s="482"/>
      <c r="R29" s="482"/>
      <c r="S29" s="482"/>
      <c r="T29" s="482"/>
      <c r="U29" s="482"/>
      <c r="V29" s="482"/>
      <c r="W29" s="482"/>
      <c r="X29" s="482"/>
      <c r="Y29" s="482"/>
      <c r="Z29" s="482"/>
      <c r="AA29" s="482"/>
      <c r="AB29" s="482"/>
      <c r="AC29" s="482"/>
      <c r="AD29" s="482"/>
      <c r="AE29" s="482"/>
      <c r="AF29" s="482"/>
      <c r="AG29" s="482"/>
      <c r="AH29" s="483"/>
      <c r="AJ29" s="51"/>
      <c r="AK29" s="51"/>
      <c r="AL29" s="51"/>
      <c r="AM29" s="51"/>
      <c r="AN29" s="51"/>
      <c r="AO29" s="51"/>
      <c r="AP29" s="51"/>
      <c r="AQ29" s="51"/>
      <c r="AR29" s="51"/>
      <c r="AS29" s="51"/>
      <c r="AT29" s="51"/>
      <c r="AU29" s="51"/>
      <c r="AV29" s="51"/>
      <c r="AW29" s="51"/>
      <c r="AX29" s="51"/>
    </row>
    <row r="30" spans="1:50" s="4" customFormat="1" ht="9" customHeight="1">
      <c r="A30" s="484" t="s">
        <v>113</v>
      </c>
      <c r="B30" s="484"/>
      <c r="C30" s="484"/>
      <c r="D30" s="484"/>
      <c r="E30" s="484"/>
      <c r="F30" s="484"/>
      <c r="G30" s="52"/>
      <c r="H30" s="53"/>
      <c r="I30" s="54"/>
      <c r="J30" s="52"/>
      <c r="K30" s="52"/>
      <c r="L30" s="53"/>
      <c r="M30" s="52"/>
      <c r="N30" s="52"/>
      <c r="O30" s="52"/>
      <c r="P30" s="52"/>
      <c r="Q30" s="52"/>
      <c r="R30" s="9"/>
      <c r="S30" s="9"/>
      <c r="T30" s="53"/>
      <c r="U30" s="485"/>
      <c r="V30" s="485"/>
      <c r="W30" s="52"/>
      <c r="X30" s="52"/>
      <c r="Y30" s="52"/>
      <c r="Z30" s="52"/>
      <c r="AA30" s="52"/>
      <c r="AB30" s="53"/>
      <c r="AC30" s="52"/>
      <c r="AD30" s="485"/>
      <c r="AE30" s="485"/>
      <c r="AF30" s="485"/>
      <c r="AG30" s="485"/>
      <c r="AH30" s="55"/>
    </row>
    <row r="31" spans="1:50" s="4" customFormat="1" ht="24" customHeight="1">
      <c r="A31" s="463"/>
      <c r="B31" s="463"/>
      <c r="C31" s="463"/>
      <c r="D31" s="463"/>
      <c r="E31" s="463"/>
      <c r="F31" s="463"/>
      <c r="G31" s="465">
        <v>0</v>
      </c>
      <c r="H31" s="466"/>
      <c r="I31" s="466"/>
      <c r="J31" s="467"/>
      <c r="L31" s="442" t="s">
        <v>114</v>
      </c>
      <c r="M31" s="442"/>
      <c r="N31" s="442"/>
      <c r="O31" s="443"/>
      <c r="P31" s="444">
        <v>5.01388883333333</v>
      </c>
      <c r="Q31" s="444"/>
      <c r="R31" s="444"/>
      <c r="S31" s="444"/>
      <c r="U31" s="56" t="s">
        <v>115</v>
      </c>
      <c r="V31" s="160">
        <v>-75.495525833333303</v>
      </c>
      <c r="W31" s="2"/>
      <c r="X31" s="57"/>
      <c r="Y31" s="57"/>
      <c r="Z31" s="57"/>
      <c r="AA31" s="56" t="s">
        <v>116</v>
      </c>
      <c r="AB31" s="468" t="s">
        <v>117</v>
      </c>
      <c r="AC31" s="468"/>
      <c r="AD31" s="468"/>
      <c r="AE31" s="468"/>
      <c r="AF31" s="468"/>
      <c r="AG31" s="468"/>
      <c r="AH31" s="58"/>
    </row>
    <row r="32" spans="1:50" s="4" customFormat="1" ht="24" customHeight="1">
      <c r="A32" s="463" t="s">
        <v>118</v>
      </c>
      <c r="B32" s="463"/>
      <c r="C32" s="463"/>
      <c r="D32" s="463"/>
      <c r="E32" s="463"/>
      <c r="F32" s="463"/>
      <c r="G32" s="465">
        <v>4000</v>
      </c>
      <c r="H32" s="466"/>
      <c r="I32" s="466"/>
      <c r="J32" s="467"/>
      <c r="L32" s="442" t="s">
        <v>114</v>
      </c>
      <c r="M32" s="442"/>
      <c r="N32" s="442"/>
      <c r="O32" s="443"/>
      <c r="P32" s="444">
        <v>5.0338190000000003</v>
      </c>
      <c r="Q32" s="444"/>
      <c r="R32" s="444"/>
      <c r="S32" s="444"/>
      <c r="U32" s="56" t="s">
        <v>115</v>
      </c>
      <c r="V32" s="160">
        <v>-75.508275999999995</v>
      </c>
      <c r="W32" s="2"/>
      <c r="X32" s="57"/>
      <c r="Y32" s="57"/>
      <c r="Z32" s="57"/>
      <c r="AA32" s="56" t="s">
        <v>116</v>
      </c>
      <c r="AB32" s="468" t="s">
        <v>119</v>
      </c>
      <c r="AC32" s="468"/>
      <c r="AD32" s="468"/>
      <c r="AE32" s="468"/>
      <c r="AF32" s="468"/>
      <c r="AG32" s="468"/>
      <c r="AH32" s="58"/>
    </row>
    <row r="33" spans="1:35" s="4" customFormat="1" ht="24" customHeight="1">
      <c r="A33" s="463" t="s">
        <v>120</v>
      </c>
      <c r="B33" s="463"/>
      <c r="C33" s="463"/>
      <c r="D33" s="463"/>
      <c r="E33" s="463"/>
      <c r="F33" s="464"/>
      <c r="G33" s="465" t="s">
        <v>121</v>
      </c>
      <c r="H33" s="466"/>
      <c r="I33" s="466"/>
      <c r="J33" s="467"/>
      <c r="L33" s="442" t="s">
        <v>122</v>
      </c>
      <c r="M33" s="442"/>
      <c r="N33" s="442"/>
      <c r="O33" s="443"/>
      <c r="P33" s="469" t="s">
        <v>123</v>
      </c>
      <c r="Q33" s="469"/>
      <c r="R33" s="469"/>
      <c r="S33" s="469"/>
      <c r="U33" s="56" t="s">
        <v>124</v>
      </c>
      <c r="V33" s="158" t="s">
        <v>9</v>
      </c>
      <c r="W33" s="2"/>
      <c r="X33" s="57"/>
      <c r="Y33" s="57"/>
      <c r="Z33" s="57"/>
      <c r="AA33" s="56" t="s">
        <v>125</v>
      </c>
      <c r="AB33" s="468" t="s">
        <v>19</v>
      </c>
      <c r="AC33" s="468"/>
      <c r="AD33" s="468"/>
      <c r="AE33" s="468"/>
      <c r="AF33" s="468"/>
      <c r="AG33" s="468"/>
      <c r="AH33" s="58"/>
      <c r="AI33" s="10"/>
    </row>
    <row r="34" spans="1:35" s="4" customFormat="1" ht="24" customHeight="1">
      <c r="A34" s="463" t="s">
        <v>126</v>
      </c>
      <c r="B34" s="463"/>
      <c r="C34" s="463"/>
      <c r="D34" s="463"/>
      <c r="E34" s="463"/>
      <c r="F34" s="464"/>
      <c r="G34" s="465" t="s">
        <v>127</v>
      </c>
      <c r="H34" s="466"/>
      <c r="I34" s="466"/>
      <c r="J34" s="467"/>
      <c r="L34" s="442" t="s">
        <v>128</v>
      </c>
      <c r="M34" s="442"/>
      <c r="N34" s="442"/>
      <c r="O34" s="443"/>
      <c r="P34" s="468" t="s">
        <v>7</v>
      </c>
      <c r="Q34" s="468"/>
      <c r="R34" s="468"/>
      <c r="S34" s="468"/>
      <c r="U34" s="56" t="s">
        <v>129</v>
      </c>
      <c r="V34" s="158" t="s">
        <v>14</v>
      </c>
      <c r="W34" s="430" t="s">
        <v>130</v>
      </c>
      <c r="X34" s="430"/>
      <c r="Y34" s="430"/>
      <c r="Z34" s="430"/>
      <c r="AA34" s="430"/>
      <c r="AB34" s="468" t="s">
        <v>131</v>
      </c>
      <c r="AC34" s="468"/>
      <c r="AD34" s="468"/>
      <c r="AE34" s="468"/>
      <c r="AF34" s="468"/>
      <c r="AG34" s="468"/>
      <c r="AH34" s="58"/>
    </row>
    <row r="35" spans="1:35" s="4" customFormat="1" ht="44.25" customHeight="1">
      <c r="A35" s="427" t="s">
        <v>132</v>
      </c>
      <c r="B35" s="427"/>
      <c r="C35" s="427"/>
      <c r="D35" s="427"/>
      <c r="E35" s="427"/>
      <c r="F35" s="428"/>
      <c r="G35" s="486">
        <v>0</v>
      </c>
      <c r="H35" s="487"/>
      <c r="I35" s="487"/>
      <c r="J35" s="488"/>
      <c r="L35" s="430" t="s">
        <v>133</v>
      </c>
      <c r="M35" s="430"/>
      <c r="N35" s="430"/>
      <c r="O35" s="432"/>
      <c r="P35" s="433">
        <v>0</v>
      </c>
      <c r="Q35" s="433"/>
      <c r="R35" s="433"/>
      <c r="S35" s="433"/>
      <c r="T35" s="429"/>
      <c r="U35" s="429"/>
      <c r="V35" s="59"/>
      <c r="W35" s="430"/>
      <c r="X35" s="430"/>
      <c r="Y35" s="430"/>
      <c r="Z35" s="430"/>
      <c r="AA35" s="430"/>
      <c r="AB35" s="470"/>
      <c r="AC35" s="470"/>
      <c r="AD35" s="470"/>
      <c r="AE35" s="470"/>
      <c r="AF35" s="470"/>
      <c r="AG35" s="470"/>
      <c r="AH35" s="58"/>
      <c r="AI35" s="10"/>
    </row>
    <row r="36" spans="1:35" s="4" customFormat="1" ht="36" customHeight="1">
      <c r="A36" s="427" t="s">
        <v>134</v>
      </c>
      <c r="B36" s="427"/>
      <c r="C36" s="427"/>
      <c r="D36" s="427"/>
      <c r="E36" s="427"/>
      <c r="F36" s="428"/>
      <c r="G36" s="379">
        <v>4</v>
      </c>
      <c r="H36" s="380"/>
      <c r="I36" s="380"/>
      <c r="J36" s="381"/>
      <c r="L36" s="430" t="s">
        <v>135</v>
      </c>
      <c r="M36" s="430"/>
      <c r="N36" s="430"/>
      <c r="O36" s="432"/>
      <c r="P36" s="433">
        <v>4</v>
      </c>
      <c r="Q36" s="433"/>
      <c r="R36" s="433"/>
      <c r="S36" s="433"/>
      <c r="T36" s="429"/>
      <c r="U36" s="429"/>
      <c r="V36" s="65"/>
      <c r="W36" s="430"/>
      <c r="X36" s="430"/>
      <c r="Y36" s="430"/>
      <c r="Z36" s="430"/>
      <c r="AA36" s="430"/>
      <c r="AB36" s="431"/>
      <c r="AC36" s="431"/>
      <c r="AD36" s="431"/>
      <c r="AE36" s="431"/>
      <c r="AF36" s="431"/>
      <c r="AG36" s="431"/>
      <c r="AH36" s="58"/>
      <c r="AI36" s="10"/>
    </row>
    <row r="37" spans="1:35" s="4" customFormat="1" ht="12" customHeight="1">
      <c r="A37" s="60"/>
      <c r="B37" s="61"/>
      <c r="C37" s="62"/>
      <c r="D37" s="61"/>
      <c r="E37" s="63"/>
      <c r="F37" s="63"/>
      <c r="G37" s="63"/>
      <c r="H37" s="64"/>
      <c r="I37" s="61"/>
      <c r="J37" s="63"/>
      <c r="K37" s="63"/>
      <c r="L37" s="64"/>
      <c r="M37" s="63"/>
      <c r="N37" s="63"/>
      <c r="O37" s="63"/>
      <c r="P37" s="63"/>
      <c r="Q37" s="63"/>
      <c r="R37" s="63"/>
      <c r="S37" s="52"/>
      <c r="T37" s="53"/>
      <c r="U37" s="52"/>
      <c r="V37" s="63"/>
      <c r="W37" s="63"/>
      <c r="X37" s="63"/>
      <c r="Y37" s="63"/>
      <c r="Z37" s="63"/>
      <c r="AA37" s="63"/>
      <c r="AB37" s="64"/>
      <c r="AC37" s="63"/>
      <c r="AD37" s="63"/>
      <c r="AE37" s="63"/>
      <c r="AF37" s="63"/>
      <c r="AG37" s="63"/>
      <c r="AH37" s="58"/>
    </row>
    <row r="38" spans="1:35" s="4" customFormat="1" ht="24.9" customHeight="1">
      <c r="A38" s="368" t="s">
        <v>136</v>
      </c>
      <c r="B38" s="375"/>
      <c r="C38" s="375"/>
      <c r="D38" s="375"/>
      <c r="E38" s="375"/>
      <c r="F38" s="375"/>
      <c r="G38" s="375"/>
      <c r="H38" s="375"/>
      <c r="I38" s="375"/>
      <c r="J38" s="375"/>
      <c r="K38" s="375"/>
      <c r="L38" s="375"/>
      <c r="M38" s="375"/>
      <c r="N38" s="375"/>
      <c r="O38" s="375"/>
      <c r="P38" s="375"/>
      <c r="Q38" s="375"/>
      <c r="R38" s="375"/>
      <c r="S38" s="375"/>
      <c r="T38" s="375"/>
      <c r="U38" s="375"/>
      <c r="V38" s="375"/>
      <c r="W38" s="375"/>
      <c r="X38" s="375"/>
      <c r="Y38" s="375"/>
      <c r="Z38" s="375"/>
      <c r="AA38" s="375"/>
      <c r="AB38" s="375"/>
      <c r="AC38" s="375"/>
      <c r="AD38" s="375"/>
      <c r="AE38" s="375"/>
      <c r="AF38" s="375"/>
      <c r="AG38" s="375"/>
      <c r="AH38" s="376"/>
    </row>
    <row r="39" spans="1:35" s="4" customFormat="1" ht="9" customHeight="1">
      <c r="A39" s="68"/>
      <c r="B39" s="61"/>
      <c r="C39" s="62"/>
      <c r="D39" s="61"/>
      <c r="E39" s="49"/>
      <c r="F39" s="49"/>
      <c r="G39" s="49"/>
      <c r="H39" s="69"/>
      <c r="I39" s="61"/>
      <c r="J39" s="49"/>
      <c r="K39" s="49"/>
      <c r="L39" s="69"/>
      <c r="M39" s="49"/>
      <c r="N39" s="49"/>
      <c r="O39" s="49"/>
      <c r="P39" s="49"/>
      <c r="Q39" s="49"/>
      <c r="R39" s="49"/>
      <c r="S39" s="49"/>
      <c r="T39" s="69"/>
      <c r="U39" s="49"/>
      <c r="V39" s="49"/>
      <c r="W39" s="49"/>
      <c r="X39" s="49"/>
      <c r="Y39" s="49"/>
      <c r="Z39" s="49"/>
      <c r="AA39" s="49"/>
      <c r="AB39" s="69"/>
      <c r="AC39" s="49"/>
      <c r="AD39" s="49"/>
      <c r="AE39" s="49"/>
      <c r="AF39" s="49"/>
      <c r="AG39" s="49"/>
      <c r="AH39" s="70"/>
    </row>
    <row r="40" spans="1:35" s="4" customFormat="1" ht="24" customHeight="1">
      <c r="A40" s="377" t="s">
        <v>137</v>
      </c>
      <c r="B40" s="378"/>
      <c r="C40" s="378"/>
      <c r="D40" s="378"/>
      <c r="E40" s="378"/>
      <c r="F40" s="378"/>
      <c r="G40" s="379">
        <f>T58/(P36*1000)*1000</f>
        <v>0</v>
      </c>
      <c r="H40" s="380"/>
      <c r="I40" s="380"/>
      <c r="J40" s="381"/>
      <c r="K40" s="73"/>
      <c r="L40" s="442" t="s">
        <v>138</v>
      </c>
      <c r="M40" s="442"/>
      <c r="N40" s="442"/>
      <c r="O40" s="442"/>
      <c r="P40" s="437">
        <v>1.6</v>
      </c>
      <c r="Q40" s="437"/>
      <c r="R40" s="437"/>
      <c r="S40" s="437"/>
      <c r="U40" s="56" t="s">
        <v>139</v>
      </c>
      <c r="V40" s="159">
        <v>0.4</v>
      </c>
      <c r="W40" s="2"/>
      <c r="X40" s="57"/>
      <c r="Y40" s="57"/>
      <c r="Z40" s="57"/>
      <c r="AA40" s="56"/>
      <c r="AB40" s="431"/>
      <c r="AC40" s="431"/>
      <c r="AD40" s="431"/>
      <c r="AE40" s="431"/>
      <c r="AF40" s="431"/>
      <c r="AG40" s="431"/>
      <c r="AH40" s="67"/>
    </row>
    <row r="41" spans="1:35" s="9" customFormat="1" ht="6" customHeight="1">
      <c r="A41" s="23"/>
      <c r="B41" s="8"/>
      <c r="C41" s="11"/>
      <c r="D41" s="8"/>
      <c r="E41" s="8"/>
      <c r="F41" s="8"/>
      <c r="G41" s="8"/>
      <c r="H41" s="71"/>
      <c r="I41" s="8"/>
      <c r="J41" s="8"/>
      <c r="K41" s="8"/>
      <c r="L41" s="71"/>
      <c r="M41" s="8"/>
      <c r="N41" s="8"/>
      <c r="O41" s="8"/>
      <c r="P41" s="8"/>
      <c r="Q41" s="8"/>
      <c r="R41" s="8"/>
      <c r="S41" s="8"/>
      <c r="T41" s="71"/>
      <c r="U41" s="8"/>
      <c r="V41" s="8"/>
      <c r="W41" s="8"/>
      <c r="X41" s="8"/>
      <c r="Y41" s="8"/>
      <c r="Z41" s="8"/>
      <c r="AA41" s="8"/>
      <c r="AB41" s="71"/>
      <c r="AC41" s="8"/>
      <c r="AD41" s="8"/>
      <c r="AE41" s="8"/>
      <c r="AF41" s="8"/>
      <c r="AG41" s="8"/>
      <c r="AH41" s="72"/>
    </row>
    <row r="42" spans="1:35" s="9" customFormat="1" ht="6" customHeight="1">
      <c r="A42" s="23"/>
      <c r="B42" s="8"/>
      <c r="C42" s="11"/>
      <c r="D42" s="8"/>
      <c r="E42" s="12"/>
      <c r="F42" s="12"/>
      <c r="G42" s="12"/>
      <c r="H42" s="13"/>
      <c r="I42" s="8"/>
      <c r="J42" s="12"/>
      <c r="K42" s="12"/>
      <c r="L42" s="13"/>
      <c r="M42" s="12"/>
      <c r="N42" s="12"/>
      <c r="O42" s="12"/>
      <c r="P42" s="12"/>
      <c r="Q42" s="12"/>
      <c r="R42" s="12"/>
      <c r="S42" s="12"/>
      <c r="T42" s="13"/>
      <c r="U42" s="12"/>
      <c r="V42" s="12"/>
      <c r="W42" s="12"/>
      <c r="X42" s="12"/>
      <c r="Y42" s="12"/>
      <c r="Z42" s="12"/>
      <c r="AA42" s="12"/>
      <c r="AB42" s="13"/>
      <c r="AC42" s="12"/>
      <c r="AD42" s="12"/>
      <c r="AE42" s="12"/>
      <c r="AF42" s="12"/>
      <c r="AG42" s="12"/>
      <c r="AH42" s="24"/>
    </row>
    <row r="43" spans="1:35" s="14" customFormat="1" ht="30" customHeight="1">
      <c r="A43" s="74"/>
      <c r="B43" s="391" t="s">
        <v>140</v>
      </c>
      <c r="C43" s="438"/>
      <c r="D43" s="438"/>
      <c r="E43" s="438"/>
      <c r="F43" s="438"/>
      <c r="G43" s="438"/>
      <c r="H43" s="438"/>
      <c r="I43" s="438"/>
      <c r="J43" s="438"/>
      <c r="K43" s="438"/>
      <c r="L43" s="438"/>
      <c r="M43" s="438"/>
      <c r="N43" s="438"/>
      <c r="O43" s="438"/>
      <c r="P43" s="438"/>
      <c r="Q43" s="438"/>
      <c r="R43" s="438"/>
      <c r="S43" s="438"/>
      <c r="T43" s="438"/>
      <c r="U43" s="438"/>
      <c r="V43" s="438"/>
      <c r="W43" s="438"/>
      <c r="X43" s="438"/>
      <c r="Y43" s="438"/>
      <c r="Z43" s="438"/>
      <c r="AA43" s="438"/>
      <c r="AB43" s="438"/>
      <c r="AC43" s="438"/>
      <c r="AD43" s="438"/>
      <c r="AE43" s="438"/>
      <c r="AF43" s="438"/>
      <c r="AG43" s="438"/>
      <c r="AH43" s="75"/>
    </row>
    <row r="44" spans="1:35" s="14" customFormat="1" ht="20.100000000000001" customHeight="1">
      <c r="A44" s="74"/>
      <c r="B44" s="457" t="s">
        <v>23</v>
      </c>
      <c r="C44" s="458"/>
      <c r="D44" s="459"/>
      <c r="E44" s="448" t="s">
        <v>141</v>
      </c>
      <c r="F44" s="448"/>
      <c r="G44" s="448"/>
      <c r="H44" s="448"/>
      <c r="I44" s="448"/>
      <c r="J44" s="448"/>
      <c r="K44" s="448" t="s">
        <v>142</v>
      </c>
      <c r="L44" s="448"/>
      <c r="M44" s="448"/>
      <c r="N44" s="448"/>
      <c r="O44" s="448" t="s">
        <v>143</v>
      </c>
      <c r="P44" s="448"/>
      <c r="Q44" s="448"/>
      <c r="R44" s="448"/>
      <c r="S44" s="475" t="s">
        <v>144</v>
      </c>
      <c r="T44" s="382" t="s">
        <v>145</v>
      </c>
      <c r="U44" s="384"/>
      <c r="V44" s="384"/>
      <c r="W44" s="384"/>
      <c r="X44" s="384"/>
      <c r="Y44" s="383"/>
      <c r="Z44" s="382" t="s">
        <v>146</v>
      </c>
      <c r="AA44" s="384"/>
      <c r="AB44" s="384"/>
      <c r="AC44" s="384"/>
      <c r="AD44" s="384"/>
      <c r="AE44" s="384"/>
      <c r="AF44" s="384"/>
      <c r="AG44" s="383"/>
      <c r="AH44" s="75"/>
    </row>
    <row r="45" spans="1:35" s="79" customFormat="1" ht="40.5" customHeight="1">
      <c r="A45" s="76"/>
      <c r="B45" s="460"/>
      <c r="C45" s="461"/>
      <c r="D45" s="462"/>
      <c r="E45" s="446" t="s">
        <v>147</v>
      </c>
      <c r="F45" s="446"/>
      <c r="G45" s="446"/>
      <c r="H45" s="446" t="s">
        <v>148</v>
      </c>
      <c r="I45" s="446"/>
      <c r="J45" s="446"/>
      <c r="K45" s="446" t="s">
        <v>147</v>
      </c>
      <c r="L45" s="446"/>
      <c r="M45" s="446"/>
      <c r="N45" s="81" t="s">
        <v>148</v>
      </c>
      <c r="O45" s="446" t="s">
        <v>149</v>
      </c>
      <c r="P45" s="446"/>
      <c r="Q45" s="446" t="s">
        <v>150</v>
      </c>
      <c r="R45" s="446"/>
      <c r="S45" s="476"/>
      <c r="T45" s="477" t="s">
        <v>151</v>
      </c>
      <c r="U45" s="478"/>
      <c r="V45" s="77" t="s">
        <v>152</v>
      </c>
      <c r="W45" s="446" t="s">
        <v>153</v>
      </c>
      <c r="X45" s="446"/>
      <c r="Y45" s="446"/>
      <c r="Z45" s="447" t="s">
        <v>154</v>
      </c>
      <c r="AA45" s="447"/>
      <c r="AB45" s="382" t="s">
        <v>155</v>
      </c>
      <c r="AC45" s="384"/>
      <c r="AD45" s="384"/>
      <c r="AE45" s="383"/>
      <c r="AF45" s="382" t="s">
        <v>156</v>
      </c>
      <c r="AG45" s="383"/>
      <c r="AH45" s="78"/>
    </row>
    <row r="46" spans="1:35" s="14" customFormat="1" ht="24.9" customHeight="1">
      <c r="A46" s="74"/>
      <c r="B46" s="385"/>
      <c r="C46" s="385"/>
      <c r="D46" s="385"/>
      <c r="E46" s="385"/>
      <c r="F46" s="385"/>
      <c r="G46" s="385"/>
      <c r="H46" s="385"/>
      <c r="I46" s="385"/>
      <c r="J46" s="385"/>
      <c r="K46" s="385"/>
      <c r="L46" s="385"/>
      <c r="M46" s="385"/>
      <c r="N46" s="80"/>
      <c r="O46" s="386"/>
      <c r="P46" s="386"/>
      <c r="Q46" s="387"/>
      <c r="R46" s="388"/>
      <c r="S46" s="215"/>
      <c r="T46" s="389"/>
      <c r="U46" s="390"/>
      <c r="V46" s="80"/>
      <c r="W46" s="385"/>
      <c r="X46" s="385"/>
      <c r="Y46" s="385"/>
      <c r="Z46" s="451"/>
      <c r="AA46" s="451"/>
      <c r="AB46" s="452"/>
      <c r="AC46" s="453"/>
      <c r="AD46" s="453"/>
      <c r="AE46" s="454"/>
      <c r="AF46" s="452"/>
      <c r="AG46" s="454"/>
      <c r="AH46" s="75"/>
    </row>
    <row r="47" spans="1:35" s="14" customFormat="1" ht="24.9" customHeight="1">
      <c r="A47" s="74"/>
      <c r="B47" s="385"/>
      <c r="C47" s="385"/>
      <c r="D47" s="385"/>
      <c r="E47" s="385"/>
      <c r="F47" s="385"/>
      <c r="G47" s="385"/>
      <c r="H47" s="385"/>
      <c r="I47" s="385"/>
      <c r="J47" s="385"/>
      <c r="K47" s="385"/>
      <c r="L47" s="385"/>
      <c r="M47" s="385"/>
      <c r="N47" s="80"/>
      <c r="O47" s="386"/>
      <c r="P47" s="386"/>
      <c r="Q47" s="387"/>
      <c r="R47" s="388"/>
      <c r="S47" s="216"/>
      <c r="T47" s="389"/>
      <c r="U47" s="390"/>
      <c r="V47" s="80"/>
      <c r="W47" s="385"/>
      <c r="X47" s="385"/>
      <c r="Y47" s="385"/>
      <c r="Z47" s="451"/>
      <c r="AA47" s="451"/>
      <c r="AB47" s="452"/>
      <c r="AC47" s="453"/>
      <c r="AD47" s="453"/>
      <c r="AE47" s="454"/>
      <c r="AF47" s="452"/>
      <c r="AG47" s="454"/>
      <c r="AH47" s="75"/>
    </row>
    <row r="48" spans="1:35" s="14" customFormat="1" ht="24.9" customHeight="1">
      <c r="A48" s="74"/>
      <c r="B48" s="385"/>
      <c r="C48" s="385"/>
      <c r="D48" s="385"/>
      <c r="E48" s="385"/>
      <c r="F48" s="385"/>
      <c r="G48" s="385"/>
      <c r="H48" s="385"/>
      <c r="I48" s="385"/>
      <c r="J48" s="385"/>
      <c r="K48" s="385"/>
      <c r="L48" s="385"/>
      <c r="M48" s="385"/>
      <c r="N48" s="80"/>
      <c r="O48" s="386"/>
      <c r="P48" s="386"/>
      <c r="Q48" s="386"/>
      <c r="R48" s="386"/>
      <c r="S48" s="215"/>
      <c r="T48" s="386"/>
      <c r="U48" s="386"/>
      <c r="V48" s="80"/>
      <c r="W48" s="385"/>
      <c r="X48" s="385"/>
      <c r="Y48" s="385"/>
      <c r="Z48" s="451"/>
      <c r="AA48" s="451"/>
      <c r="AB48" s="452"/>
      <c r="AC48" s="453"/>
      <c r="AD48" s="453"/>
      <c r="AE48" s="454"/>
      <c r="AF48" s="452"/>
      <c r="AG48" s="454"/>
      <c r="AH48" s="75"/>
    </row>
    <row r="49" spans="1:34" s="14" customFormat="1" ht="24.9" customHeight="1">
      <c r="A49" s="74"/>
      <c r="B49" s="385"/>
      <c r="C49" s="385"/>
      <c r="D49" s="385"/>
      <c r="E49" s="389"/>
      <c r="F49" s="455"/>
      <c r="G49" s="455"/>
      <c r="H49" s="455"/>
      <c r="I49" s="455"/>
      <c r="J49" s="455"/>
      <c r="K49" s="455"/>
      <c r="L49" s="455"/>
      <c r="M49" s="455"/>
      <c r="N49" s="455"/>
      <c r="O49" s="455"/>
      <c r="P49" s="455"/>
      <c r="Q49" s="455"/>
      <c r="R49" s="455"/>
      <c r="S49" s="455"/>
      <c r="T49" s="455"/>
      <c r="U49" s="455"/>
      <c r="V49" s="455"/>
      <c r="W49" s="455"/>
      <c r="X49" s="455"/>
      <c r="Y49" s="455"/>
      <c r="Z49" s="455"/>
      <c r="AA49" s="455"/>
      <c r="AB49" s="455"/>
      <c r="AC49" s="455"/>
      <c r="AD49" s="455"/>
      <c r="AE49" s="455"/>
      <c r="AF49" s="455"/>
      <c r="AG49" s="390"/>
      <c r="AH49" s="75"/>
    </row>
    <row r="50" spans="1:34" s="14" customFormat="1" ht="24.9" customHeight="1">
      <c r="A50" s="74"/>
      <c r="B50" s="385"/>
      <c r="C50" s="385"/>
      <c r="D50" s="385"/>
      <c r="E50" s="389"/>
      <c r="F50" s="455"/>
      <c r="G50" s="455"/>
      <c r="H50" s="455"/>
      <c r="I50" s="455"/>
      <c r="J50" s="455"/>
      <c r="K50" s="455"/>
      <c r="L50" s="455"/>
      <c r="M50" s="455"/>
      <c r="N50" s="455"/>
      <c r="O50" s="455"/>
      <c r="P50" s="455"/>
      <c r="Q50" s="455"/>
      <c r="R50" s="455"/>
      <c r="S50" s="455"/>
      <c r="T50" s="455"/>
      <c r="U50" s="455"/>
      <c r="V50" s="455"/>
      <c r="W50" s="455"/>
      <c r="X50" s="455"/>
      <c r="Y50" s="455"/>
      <c r="Z50" s="455"/>
      <c r="AA50" s="455"/>
      <c r="AB50" s="455"/>
      <c r="AC50" s="455"/>
      <c r="AD50" s="455"/>
      <c r="AE50" s="455"/>
      <c r="AF50" s="455"/>
      <c r="AG50" s="390"/>
      <c r="AH50" s="75"/>
    </row>
    <row r="51" spans="1:34" s="14" customFormat="1" ht="24.9" customHeight="1">
      <c r="A51" s="74"/>
      <c r="B51" s="456"/>
      <c r="C51" s="456"/>
      <c r="D51" s="456"/>
      <c r="E51" s="389"/>
      <c r="F51" s="455"/>
      <c r="G51" s="455"/>
      <c r="H51" s="455"/>
      <c r="I51" s="455"/>
      <c r="J51" s="455"/>
      <c r="K51" s="455"/>
      <c r="L51" s="455"/>
      <c r="M51" s="455"/>
      <c r="N51" s="455"/>
      <c r="O51" s="455"/>
      <c r="P51" s="455"/>
      <c r="Q51" s="455"/>
      <c r="R51" s="455"/>
      <c r="S51" s="455"/>
      <c r="T51" s="455"/>
      <c r="U51" s="455"/>
      <c r="V51" s="455"/>
      <c r="W51" s="455"/>
      <c r="X51" s="455"/>
      <c r="Y51" s="455"/>
      <c r="Z51" s="455"/>
      <c r="AA51" s="455"/>
      <c r="AB51" s="455"/>
      <c r="AC51" s="455"/>
      <c r="AD51" s="455"/>
      <c r="AE51" s="455"/>
      <c r="AF51" s="455"/>
      <c r="AG51" s="390"/>
      <c r="AH51" s="75"/>
    </row>
    <row r="52" spans="1:34" s="14" customFormat="1" ht="24" customHeight="1">
      <c r="A52" s="25"/>
      <c r="B52" s="449"/>
      <c r="C52" s="449"/>
      <c r="D52" s="449"/>
      <c r="E52" s="449"/>
      <c r="F52" s="449"/>
      <c r="G52" s="449"/>
      <c r="H52" s="449"/>
      <c r="I52" s="449"/>
      <c r="J52" s="449"/>
      <c r="K52" s="449"/>
      <c r="L52" s="449"/>
      <c r="M52" s="449"/>
      <c r="N52" s="449"/>
      <c r="O52" s="449"/>
      <c r="P52" s="449"/>
      <c r="Q52" s="449"/>
      <c r="R52" s="449"/>
      <c r="S52" s="449"/>
      <c r="T52" s="449"/>
      <c r="U52" s="449"/>
      <c r="V52" s="450"/>
      <c r="W52" s="450"/>
      <c r="X52" s="450"/>
      <c r="Y52" s="450"/>
      <c r="Z52" s="450"/>
      <c r="AA52" s="450"/>
      <c r="AB52" s="450"/>
      <c r="AC52" s="450"/>
      <c r="AD52" s="450"/>
      <c r="AE52" s="450"/>
      <c r="AF52" s="450"/>
      <c r="AG52" s="450"/>
      <c r="AH52" s="26"/>
    </row>
    <row r="53" spans="1:34" customFormat="1" ht="14.4">
      <c r="A53" s="37"/>
      <c r="B53" s="391" t="s">
        <v>157</v>
      </c>
      <c r="C53" s="391"/>
      <c r="D53" s="391"/>
      <c r="E53" s="391"/>
      <c r="F53" s="391"/>
      <c r="G53" s="391"/>
      <c r="H53" s="391"/>
      <c r="I53" s="391"/>
      <c r="J53" s="391"/>
      <c r="K53" s="391"/>
      <c r="L53" s="391"/>
      <c r="M53" s="391"/>
      <c r="N53" s="391"/>
      <c r="O53" s="391"/>
      <c r="P53" s="391"/>
      <c r="Q53" s="391"/>
      <c r="R53" s="391"/>
      <c r="S53" s="391"/>
      <c r="T53" s="391"/>
      <c r="U53" s="391"/>
      <c r="V53" s="84"/>
      <c r="W53" s="84"/>
      <c r="X53" s="84"/>
      <c r="Y53" s="84"/>
      <c r="Z53" s="84"/>
      <c r="AA53" s="84"/>
      <c r="AB53" s="84"/>
      <c r="AC53" s="84"/>
      <c r="AD53" s="84"/>
      <c r="AE53" s="84"/>
      <c r="AF53" s="84"/>
      <c r="AG53" s="84"/>
      <c r="AH53" s="38"/>
    </row>
    <row r="54" spans="1:34" customFormat="1" ht="48.75" customHeight="1">
      <c r="A54" s="37"/>
      <c r="B54" s="286" t="s">
        <v>158</v>
      </c>
      <c r="C54" s="286"/>
      <c r="D54" s="286"/>
      <c r="E54" s="286"/>
      <c r="F54" s="286"/>
      <c r="G54" s="286"/>
      <c r="H54" s="374" t="s">
        <v>159</v>
      </c>
      <c r="I54" s="374"/>
      <c r="J54" s="374"/>
      <c r="K54" s="374" t="s">
        <v>160</v>
      </c>
      <c r="L54" s="374"/>
      <c r="M54" s="374"/>
      <c r="N54" s="374"/>
      <c r="O54" s="374" t="s">
        <v>161</v>
      </c>
      <c r="P54" s="374"/>
      <c r="Q54" s="374" t="s">
        <v>162</v>
      </c>
      <c r="R54" s="374"/>
      <c r="S54" s="374"/>
      <c r="T54" s="472" t="s">
        <v>163</v>
      </c>
      <c r="U54" s="472"/>
      <c r="V54" s="86"/>
      <c r="W54" s="86"/>
      <c r="X54" s="86"/>
      <c r="Y54" s="86"/>
      <c r="Z54" s="445"/>
      <c r="AA54" s="445"/>
      <c r="AB54" s="445"/>
      <c r="AC54" s="445"/>
      <c r="AD54" s="445"/>
      <c r="AE54" s="445"/>
      <c r="AF54" s="445"/>
      <c r="AG54" s="445"/>
      <c r="AH54" s="38"/>
    </row>
    <row r="55" spans="1:34" customFormat="1" ht="14.4">
      <c r="A55" s="37"/>
      <c r="B55" s="286" t="s">
        <v>68</v>
      </c>
      <c r="C55" s="286"/>
      <c r="D55" s="286"/>
      <c r="E55" s="286"/>
      <c r="F55" s="286"/>
      <c r="G55" s="286"/>
      <c r="H55" s="434">
        <f>COUNTIFS('Inspección DCVG'!V8:V37,"Muy pequeño",'Inspección DCVG'!$L$8:$L$37,"AA")</f>
        <v>0</v>
      </c>
      <c r="I55" s="435"/>
      <c r="J55" s="436"/>
      <c r="K55" s="434">
        <f>COUNTIFS('Inspección DCVG'!V8:V237,"Pequeño",'Inspección DCVG'!$L$8:$L$237,"A-A")</f>
        <v>0</v>
      </c>
      <c r="L55" s="435"/>
      <c r="M55" s="435"/>
      <c r="N55" s="436"/>
      <c r="O55" s="434">
        <f>COUNTIFS('Inspección DCVG'!V8:V237,"Mediana",'Inspección DCVG'!$L$8:$L$237,"A-A")</f>
        <v>0</v>
      </c>
      <c r="P55" s="436"/>
      <c r="Q55" s="439">
        <f>COUNTIFS('Inspección DCVG'!V8:V237,"Grande",'Inspección DCVG'!$L$8:$L$237,"A-A")</f>
        <v>0</v>
      </c>
      <c r="R55" s="440"/>
      <c r="S55" s="441"/>
      <c r="T55" s="290">
        <f>+SUM(H55:S55)</f>
        <v>0</v>
      </c>
      <c r="U55" s="290"/>
      <c r="V55" s="87"/>
      <c r="W55" s="87"/>
      <c r="X55" s="87"/>
      <c r="Y55" s="87"/>
      <c r="Z55" s="445"/>
      <c r="AA55" s="445"/>
      <c r="AB55" s="445"/>
      <c r="AC55" s="445"/>
      <c r="AD55" s="445"/>
      <c r="AE55" s="445"/>
      <c r="AF55" s="445"/>
      <c r="AG55" s="445"/>
      <c r="AH55" s="38"/>
    </row>
    <row r="56" spans="1:34" customFormat="1" ht="14.4">
      <c r="A56" s="37"/>
      <c r="B56" s="286" t="s">
        <v>69</v>
      </c>
      <c r="C56" s="286"/>
      <c r="D56" s="286"/>
      <c r="E56" s="286"/>
      <c r="F56" s="286"/>
      <c r="G56" s="286"/>
      <c r="H56" s="434">
        <f>COUNTIFS('Inspección DCVG'!V8:V237,"Muy pequeño",'Inspección DCVG'!$L$8:$L$237,"CA")</f>
        <v>0</v>
      </c>
      <c r="I56" s="435"/>
      <c r="J56" s="436"/>
      <c r="K56" s="434">
        <f>COUNTIFS('Inspección DCVG'!V8:V237,"Pequeño",'Inspección DCVG'!$L$8:$L$237,"CA")</f>
        <v>0</v>
      </c>
      <c r="L56" s="435"/>
      <c r="M56" s="435"/>
      <c r="N56" s="436"/>
      <c r="O56" s="434">
        <f>COUNTIFS('Inspección DCVG'!V8:V237,"Mediana",'Inspección DCVG'!$L$8:$L$237,"CA")</f>
        <v>0</v>
      </c>
      <c r="P56" s="436"/>
      <c r="Q56" s="439">
        <f>COUNTIFS('Inspección DCVG'!V8:V237,"Grande",'Inspección DCVG'!$L$8:$L$237,"CA")</f>
        <v>0</v>
      </c>
      <c r="R56" s="440"/>
      <c r="S56" s="441"/>
      <c r="T56" s="290">
        <f>+SUM(H56:S56)</f>
        <v>0</v>
      </c>
      <c r="U56" s="290"/>
      <c r="V56" s="87"/>
      <c r="W56" s="87"/>
      <c r="X56" s="87"/>
      <c r="Y56" s="87"/>
      <c r="Z56" s="445"/>
      <c r="AA56" s="445"/>
      <c r="AB56" s="445"/>
      <c r="AC56" s="445"/>
      <c r="AD56" s="445"/>
      <c r="AE56" s="445"/>
      <c r="AF56" s="445"/>
      <c r="AG56" s="445"/>
      <c r="AH56" s="38"/>
    </row>
    <row r="57" spans="1:34" customFormat="1" ht="14.4">
      <c r="A57" s="37"/>
      <c r="B57" s="286" t="s">
        <v>70</v>
      </c>
      <c r="C57" s="286"/>
      <c r="D57" s="286"/>
      <c r="E57" s="286"/>
      <c r="F57" s="286"/>
      <c r="G57" s="286"/>
      <c r="H57" s="434">
        <f>COUNTIFS('Inspección DCVG'!V8:V237,"Muy pequeño",'Inspección DCVG'!$L$8:$L$237,"CC")</f>
        <v>0</v>
      </c>
      <c r="I57" s="435"/>
      <c r="J57" s="436"/>
      <c r="K57" s="434">
        <f>COUNTIFS('Inspección DCVG'!V8:V237,"Pequeño",'Inspección DCVG'!$L$8:$L$237,"CC")</f>
        <v>0</v>
      </c>
      <c r="L57" s="435"/>
      <c r="M57" s="435"/>
      <c r="N57" s="436"/>
      <c r="O57" s="434">
        <f>COUNTIFS('Inspección DCVG'!V8:V237,"Mediana",'Inspección DCVG'!$L$8:$L$237,"CC")</f>
        <v>0</v>
      </c>
      <c r="P57" s="436"/>
      <c r="Q57" s="439">
        <f>COUNTIFS('Inspección DCVG'!V8:V237,"Grande",'Inspección DCVG'!$L$8:$L$237,"CC")</f>
        <v>0</v>
      </c>
      <c r="R57" s="440"/>
      <c r="S57" s="441"/>
      <c r="T57" s="290">
        <f>+SUM(H57:S57)</f>
        <v>0</v>
      </c>
      <c r="U57" s="290"/>
      <c r="V57" s="87"/>
      <c r="W57" s="87"/>
      <c r="X57" s="87"/>
      <c r="Y57" s="87"/>
      <c r="Z57" s="445"/>
      <c r="AA57" s="445"/>
      <c r="AB57" s="445"/>
      <c r="AC57" s="445"/>
      <c r="AD57" s="445"/>
      <c r="AE57" s="445"/>
      <c r="AF57" s="445"/>
      <c r="AG57" s="445"/>
      <c r="AH57" s="38"/>
    </row>
    <row r="58" spans="1:34" customFormat="1" ht="14.4">
      <c r="A58" s="37"/>
      <c r="B58" s="291" t="s">
        <v>164</v>
      </c>
      <c r="C58" s="291"/>
      <c r="D58" s="291"/>
      <c r="E58" s="291"/>
      <c r="F58" s="291"/>
      <c r="G58" s="291"/>
      <c r="H58" s="292">
        <f>SUM(H55:J57)</f>
        <v>0</v>
      </c>
      <c r="I58" s="293"/>
      <c r="J58" s="294"/>
      <c r="K58" s="292">
        <f>SUM(K55:N57)</f>
        <v>0</v>
      </c>
      <c r="L58" s="293"/>
      <c r="M58" s="293"/>
      <c r="N58" s="294"/>
      <c r="O58" s="292">
        <f>+SUM(O55:P57)</f>
        <v>0</v>
      </c>
      <c r="P58" s="294"/>
      <c r="Q58" s="287">
        <f>+SUM(Q55:S57)</f>
        <v>0</v>
      </c>
      <c r="R58" s="288"/>
      <c r="S58" s="289"/>
      <c r="T58" s="290">
        <f>+SUM(H58:S58)</f>
        <v>0</v>
      </c>
      <c r="U58" s="290"/>
      <c r="V58" s="87"/>
      <c r="W58" s="87"/>
      <c r="X58" s="87"/>
      <c r="Y58" s="87"/>
      <c r="Z58" s="445"/>
      <c r="AA58" s="445"/>
      <c r="AB58" s="445"/>
      <c r="AC58" s="445"/>
      <c r="AD58" s="445"/>
      <c r="AE58" s="445"/>
      <c r="AF58" s="445"/>
      <c r="AG58" s="445"/>
      <c r="AH58" s="38"/>
    </row>
    <row r="59" spans="1:34" s="14" customFormat="1" ht="24" customHeight="1">
      <c r="A59" s="25"/>
      <c r="B59" s="15"/>
      <c r="C59" s="15"/>
      <c r="D59" s="15"/>
      <c r="E59" s="15"/>
      <c r="F59" s="15"/>
      <c r="G59" s="15"/>
      <c r="H59" s="16"/>
      <c r="I59" s="16"/>
      <c r="J59" s="16"/>
      <c r="K59" s="16"/>
      <c r="L59" s="16"/>
      <c r="M59" s="16"/>
      <c r="N59" s="16"/>
      <c r="O59" s="17"/>
      <c r="P59" s="17"/>
      <c r="Q59" s="17"/>
      <c r="R59" s="17"/>
      <c r="S59" s="17"/>
      <c r="T59" s="92"/>
      <c r="U59" s="92"/>
      <c r="V59" s="88"/>
      <c r="W59" s="89"/>
      <c r="X59" s="89"/>
      <c r="Y59" s="89"/>
      <c r="Z59" s="89"/>
      <c r="AA59" s="89"/>
      <c r="AB59" s="90"/>
      <c r="AC59" s="90"/>
      <c r="AD59" s="90"/>
      <c r="AE59" s="90"/>
      <c r="AF59" s="90"/>
      <c r="AG59" s="90"/>
      <c r="AH59" s="26"/>
    </row>
    <row r="60" spans="1:34" s="14" customFormat="1" ht="17.25" customHeight="1">
      <c r="A60" s="27"/>
      <c r="B60" s="391" t="s">
        <v>165</v>
      </c>
      <c r="C60" s="391"/>
      <c r="D60" s="391"/>
      <c r="E60" s="391"/>
      <c r="F60" s="391"/>
      <c r="G60" s="391"/>
      <c r="H60" s="391"/>
      <c r="I60" s="391"/>
      <c r="J60" s="391"/>
      <c r="K60" s="391"/>
      <c r="L60" s="391"/>
      <c r="M60" s="391"/>
      <c r="N60" s="391"/>
      <c r="O60" s="391"/>
      <c r="P60" s="391"/>
      <c r="Q60" s="391"/>
      <c r="R60" s="391"/>
      <c r="S60" s="391"/>
      <c r="T60" s="84"/>
      <c r="U60" s="84"/>
      <c r="V60" s="84"/>
      <c r="W60" s="84"/>
      <c r="X60" s="84"/>
      <c r="Y60" s="84"/>
      <c r="Z60" s="84"/>
      <c r="AA60" s="84"/>
      <c r="AB60" s="84"/>
      <c r="AC60" s="84"/>
      <c r="AD60" s="84"/>
      <c r="AE60" s="84"/>
      <c r="AF60" s="84"/>
      <c r="AG60" s="84"/>
      <c r="AH60" s="28"/>
    </row>
    <row r="61" spans="1:34" s="14" customFormat="1" ht="17.25" customHeight="1">
      <c r="A61" s="29"/>
      <c r="B61" s="325" t="s">
        <v>166</v>
      </c>
      <c r="C61" s="325"/>
      <c r="D61" s="325"/>
      <c r="E61" s="325"/>
      <c r="F61" s="325"/>
      <c r="G61" s="325"/>
      <c r="H61" s="325"/>
      <c r="I61" s="325"/>
      <c r="J61" s="325"/>
      <c r="K61" s="374" t="s">
        <v>167</v>
      </c>
      <c r="L61" s="374"/>
      <c r="M61" s="374"/>
      <c r="N61" s="374"/>
      <c r="O61" s="374" t="s">
        <v>168</v>
      </c>
      <c r="P61" s="374"/>
      <c r="Q61" s="374" t="s">
        <v>169</v>
      </c>
      <c r="R61" s="374"/>
      <c r="S61" s="374"/>
      <c r="T61" s="356"/>
      <c r="U61" s="356"/>
      <c r="V61" s="84"/>
      <c r="W61" s="84"/>
      <c r="X61" s="84"/>
      <c r="Y61" s="84"/>
      <c r="Z61" s="84"/>
      <c r="AA61" s="84"/>
      <c r="AB61" s="84"/>
      <c r="AC61" s="84"/>
      <c r="AD61" s="84"/>
      <c r="AE61" s="84"/>
      <c r="AF61" s="84"/>
      <c r="AG61" s="84"/>
      <c r="AH61" s="28"/>
    </row>
    <row r="62" spans="1:34" s="14" customFormat="1" ht="17.25" customHeight="1">
      <c r="A62" s="25"/>
      <c r="B62" s="471" t="s">
        <v>170</v>
      </c>
      <c r="C62" s="471"/>
      <c r="D62" s="471"/>
      <c r="E62" s="471"/>
      <c r="F62" s="471"/>
      <c r="G62" s="471"/>
      <c r="H62" s="471"/>
      <c r="I62" s="471"/>
      <c r="J62" s="471"/>
      <c r="K62" s="473">
        <f>COUNTIFS(Resistividad!$U$9:$U$25,"Muy corrosivo")</f>
        <v>17</v>
      </c>
      <c r="L62" s="473"/>
      <c r="M62" s="473"/>
      <c r="N62" s="473"/>
      <c r="O62" s="473">
        <f>COUNTIFS(Resistividad!$V$9:$V$25,"Muy corrosivo")</f>
        <v>0</v>
      </c>
      <c r="P62" s="473"/>
      <c r="Q62" s="316">
        <f>COUNTIFS(Resistividad!$W$9:$W$25,"Muy corrosivo")</f>
        <v>0</v>
      </c>
      <c r="R62" s="316"/>
      <c r="S62" s="316"/>
      <c r="T62" s="317"/>
      <c r="U62" s="317"/>
      <c r="V62" s="87"/>
      <c r="W62" s="91"/>
      <c r="X62" s="91"/>
      <c r="Y62" s="91"/>
      <c r="Z62" s="91"/>
      <c r="AA62" s="91"/>
      <c r="AB62" s="91"/>
      <c r="AC62" s="91"/>
      <c r="AD62" s="91"/>
      <c r="AE62" s="91"/>
      <c r="AF62" s="91"/>
      <c r="AG62" s="91"/>
      <c r="AH62" s="30"/>
    </row>
    <row r="63" spans="1:34" s="14" customFormat="1" ht="17.25" customHeight="1">
      <c r="A63" s="25"/>
      <c r="B63" s="471" t="s">
        <v>171</v>
      </c>
      <c r="C63" s="471"/>
      <c r="D63" s="471"/>
      <c r="E63" s="471"/>
      <c r="F63" s="471"/>
      <c r="G63" s="471"/>
      <c r="H63" s="471"/>
      <c r="I63" s="471"/>
      <c r="J63" s="471"/>
      <c r="K63" s="473">
        <f>COUNTIFS(Resistividad!U9:U244,"corrosivo")</f>
        <v>0</v>
      </c>
      <c r="L63" s="473"/>
      <c r="M63" s="473"/>
      <c r="N63" s="473"/>
      <c r="O63" s="473">
        <f>COUNTIFS(Resistividad!$V$9:$V$244,"Corrosivo")</f>
        <v>0</v>
      </c>
      <c r="P63" s="473"/>
      <c r="Q63" s="316">
        <f>COUNTIFS(Resistividad!$W$9:$W$244,"Corrosivo")</f>
        <v>0</v>
      </c>
      <c r="R63" s="316"/>
      <c r="S63" s="316"/>
      <c r="T63" s="317"/>
      <c r="U63" s="317"/>
      <c r="V63" s="87"/>
      <c r="W63" s="91"/>
      <c r="X63" s="91"/>
      <c r="Y63" s="91"/>
      <c r="Z63" s="91"/>
      <c r="AA63" s="91"/>
      <c r="AB63" s="91"/>
      <c r="AC63" s="91"/>
      <c r="AD63" s="91"/>
      <c r="AE63" s="91"/>
      <c r="AF63" s="91"/>
      <c r="AG63" s="91"/>
      <c r="AH63" s="30"/>
    </row>
    <row r="64" spans="1:34" s="14" customFormat="1" ht="17.25" customHeight="1">
      <c r="A64" s="25"/>
      <c r="B64" s="471" t="s">
        <v>172</v>
      </c>
      <c r="C64" s="471"/>
      <c r="D64" s="471"/>
      <c r="E64" s="471"/>
      <c r="F64" s="471"/>
      <c r="G64" s="471"/>
      <c r="H64" s="471"/>
      <c r="I64" s="471"/>
      <c r="J64" s="471"/>
      <c r="K64" s="473">
        <f>COUNTIFS(Resistividad!U9:U246,"Moderadamente corrosivo")</f>
        <v>0</v>
      </c>
      <c r="L64" s="473"/>
      <c r="M64" s="473"/>
      <c r="N64" s="473"/>
      <c r="O64" s="473">
        <f>COUNTIFS(Resistividad!$V$9:$V$244,"Moderadamente corrosivo")</f>
        <v>0</v>
      </c>
      <c r="P64" s="473"/>
      <c r="Q64" s="316">
        <f>COUNTIFS(Resistividad!$W$9:$W$244,"Moderadamente corrosivo")</f>
        <v>0</v>
      </c>
      <c r="R64" s="316"/>
      <c r="S64" s="316"/>
      <c r="T64" s="317"/>
      <c r="U64" s="317"/>
      <c r="V64" s="87"/>
      <c r="W64" s="91"/>
      <c r="X64" s="91"/>
      <c r="Y64" s="91"/>
      <c r="Z64" s="91"/>
      <c r="AA64" s="91"/>
      <c r="AB64" s="91"/>
      <c r="AC64" s="91"/>
      <c r="AD64" s="91"/>
      <c r="AE64" s="91"/>
      <c r="AF64" s="91"/>
      <c r="AG64" s="91"/>
      <c r="AH64" s="30"/>
    </row>
    <row r="65" spans="1:38" s="14" customFormat="1" ht="17.25" customHeight="1">
      <c r="A65" s="25"/>
      <c r="B65" s="471" t="s">
        <v>173</v>
      </c>
      <c r="C65" s="471"/>
      <c r="D65" s="471"/>
      <c r="E65" s="471"/>
      <c r="F65" s="471"/>
      <c r="G65" s="471"/>
      <c r="H65" s="471"/>
      <c r="I65" s="471"/>
      <c r="J65" s="471"/>
      <c r="K65" s="473">
        <f>COUNTIFS(Resistividad!U9:U247,"Medianamente corrosivo")</f>
        <v>0</v>
      </c>
      <c r="L65" s="473"/>
      <c r="M65" s="473"/>
      <c r="N65" s="473"/>
      <c r="O65" s="473">
        <f>COUNTIFS(Resistividad!$V$9:$V$244,"Medianamente corrosivo")</f>
        <v>0</v>
      </c>
      <c r="P65" s="473"/>
      <c r="Q65" s="316">
        <f>COUNTIFS(Resistividad!$W$9:$W$244,"Medianamente corrosivo")</f>
        <v>0</v>
      </c>
      <c r="R65" s="316"/>
      <c r="S65" s="316"/>
      <c r="T65" s="317"/>
      <c r="U65" s="317"/>
      <c r="V65" s="87"/>
      <c r="W65" s="91"/>
      <c r="X65" s="91"/>
      <c r="Y65" s="91"/>
      <c r="Z65" s="91"/>
      <c r="AA65" s="91"/>
      <c r="AB65" s="91"/>
      <c r="AC65" s="91"/>
      <c r="AD65" s="91"/>
      <c r="AE65" s="91"/>
      <c r="AF65" s="91"/>
      <c r="AG65" s="91"/>
      <c r="AH65" s="30"/>
    </row>
    <row r="66" spans="1:38" s="14" customFormat="1" ht="17.25" customHeight="1">
      <c r="A66" s="25"/>
      <c r="B66" s="471" t="s">
        <v>174</v>
      </c>
      <c r="C66" s="471"/>
      <c r="D66" s="471"/>
      <c r="E66" s="471"/>
      <c r="F66" s="471"/>
      <c r="G66" s="471"/>
      <c r="H66" s="471"/>
      <c r="I66" s="471"/>
      <c r="J66" s="471"/>
      <c r="K66" s="473">
        <f>COUNTIFS(Resistividad!U9:U25,"Despreciable")</f>
        <v>0</v>
      </c>
      <c r="L66" s="473"/>
      <c r="M66" s="473"/>
      <c r="N66" s="473"/>
      <c r="O66" s="473">
        <f>COUNTIFS(Resistividad!$V$9:$V$25,"Despreciable")</f>
        <v>0</v>
      </c>
      <c r="P66" s="473"/>
      <c r="Q66" s="316">
        <f>COUNTIFS(Resistividad!$W$9:$W$25,"Despreciable")</f>
        <v>0</v>
      </c>
      <c r="R66" s="316"/>
      <c r="S66" s="316"/>
      <c r="T66" s="317"/>
      <c r="U66" s="317"/>
      <c r="V66" s="87"/>
      <c r="W66" s="91"/>
      <c r="X66" s="91"/>
      <c r="Y66" s="91"/>
      <c r="Z66" s="91"/>
      <c r="AA66" s="91"/>
      <c r="AB66" s="91"/>
      <c r="AC66" s="91"/>
      <c r="AD66" s="91"/>
      <c r="AE66" s="91"/>
      <c r="AF66" s="91"/>
      <c r="AG66" s="91"/>
      <c r="AH66" s="30"/>
    </row>
    <row r="67" spans="1:38" s="14" customFormat="1" ht="17.25" customHeight="1">
      <c r="A67" s="25"/>
      <c r="B67" s="472" t="s">
        <v>175</v>
      </c>
      <c r="C67" s="472"/>
      <c r="D67" s="472"/>
      <c r="E67" s="472"/>
      <c r="F67" s="472"/>
      <c r="G67" s="472"/>
      <c r="H67" s="472"/>
      <c r="I67" s="472"/>
      <c r="J67" s="472"/>
      <c r="K67" s="290">
        <f>+AVERAGE(Resistividad!R9:R244)</f>
        <v>0</v>
      </c>
      <c r="L67" s="290"/>
      <c r="M67" s="290"/>
      <c r="N67" s="290"/>
      <c r="O67" s="290" t="e">
        <f>+AVERAGE(Resistividad!S9:S244)</f>
        <v>#DIV/0!</v>
      </c>
      <c r="P67" s="290"/>
      <c r="Q67" s="479" t="e">
        <f>+AVERAGE(Resistividad!T9:T244)</f>
        <v>#DIV/0!</v>
      </c>
      <c r="R67" s="479"/>
      <c r="S67" s="479"/>
      <c r="T67" s="317"/>
      <c r="U67" s="317"/>
      <c r="V67" s="87"/>
      <c r="W67" s="91"/>
      <c r="X67" s="91"/>
      <c r="Y67" s="91"/>
      <c r="Z67" s="91"/>
      <c r="AA67" s="91"/>
      <c r="AB67" s="91"/>
      <c r="AC67" s="91"/>
      <c r="AD67" s="91"/>
      <c r="AE67" s="91"/>
      <c r="AF67" s="91"/>
      <c r="AG67" s="91"/>
      <c r="AH67" s="30"/>
    </row>
    <row r="68" spans="1:38" s="14" customFormat="1" ht="24" customHeight="1">
      <c r="A68" s="31"/>
      <c r="B68" s="15"/>
      <c r="C68" s="15"/>
      <c r="D68" s="15"/>
      <c r="E68" s="15"/>
      <c r="F68" s="15"/>
      <c r="G68" s="15"/>
      <c r="H68" s="16"/>
      <c r="I68" s="16"/>
      <c r="J68" s="16"/>
      <c r="K68" s="16"/>
      <c r="L68" s="16"/>
      <c r="M68" s="16"/>
      <c r="N68" s="16"/>
      <c r="O68" s="17"/>
      <c r="P68" s="17"/>
      <c r="Q68" s="17"/>
      <c r="R68" s="17"/>
      <c r="S68" s="17"/>
      <c r="T68" s="85"/>
      <c r="U68" s="85"/>
      <c r="V68" s="85"/>
      <c r="W68" s="82"/>
      <c r="X68" s="82"/>
      <c r="Y68" s="82"/>
      <c r="Z68" s="82"/>
      <c r="AA68" s="82"/>
      <c r="AB68" s="83"/>
      <c r="AC68" s="83"/>
      <c r="AD68" s="83"/>
      <c r="AE68" s="83"/>
      <c r="AF68" s="83"/>
      <c r="AG68" s="83"/>
      <c r="AH68" s="32"/>
    </row>
    <row r="69" spans="1:38" s="14" customFormat="1" ht="24.9" customHeight="1">
      <c r="A69" s="300" t="s">
        <v>176</v>
      </c>
      <c r="B69" s="301"/>
      <c r="C69" s="301"/>
      <c r="D69" s="301"/>
      <c r="E69" s="301"/>
      <c r="F69" s="301"/>
      <c r="G69" s="301"/>
      <c r="H69" s="301"/>
      <c r="I69" s="301"/>
      <c r="J69" s="301"/>
      <c r="K69" s="301"/>
      <c r="L69" s="301"/>
      <c r="M69" s="301"/>
      <c r="N69" s="301"/>
      <c r="O69" s="301"/>
      <c r="P69" s="301"/>
      <c r="Q69" s="301"/>
      <c r="R69" s="301"/>
      <c r="S69" s="301"/>
      <c r="T69" s="301"/>
      <c r="U69" s="301"/>
      <c r="V69" s="301"/>
      <c r="W69" s="301"/>
      <c r="X69" s="301"/>
      <c r="Y69" s="301"/>
      <c r="Z69" s="301"/>
      <c r="AA69" s="301"/>
      <c r="AB69" s="301"/>
      <c r="AC69" s="301"/>
      <c r="AD69" s="301"/>
      <c r="AE69" s="301"/>
      <c r="AF69" s="301"/>
      <c r="AG69" s="301"/>
      <c r="AH69" s="302"/>
      <c r="AL69" s="217"/>
    </row>
    <row r="70" spans="1:38" s="14" customFormat="1" ht="28.2" customHeight="1">
      <c r="A70" s="474"/>
      <c r="B70" s="304"/>
      <c r="C70" s="304"/>
      <c r="D70" s="304"/>
      <c r="E70" s="304"/>
      <c r="F70" s="304"/>
      <c r="G70" s="304"/>
      <c r="H70" s="304"/>
      <c r="I70" s="304"/>
      <c r="J70" s="304"/>
      <c r="K70" s="304"/>
      <c r="L70" s="304"/>
      <c r="M70" s="304"/>
      <c r="N70" s="304"/>
      <c r="O70" s="304"/>
      <c r="P70" s="304"/>
      <c r="Q70" s="304"/>
      <c r="R70" s="304"/>
      <c r="S70" s="304"/>
      <c r="T70" s="304"/>
      <c r="U70" s="304"/>
      <c r="V70" s="304"/>
      <c r="W70" s="304"/>
      <c r="X70" s="304"/>
      <c r="Y70" s="304"/>
      <c r="Z70" s="304"/>
      <c r="AA70" s="304"/>
      <c r="AB70" s="304"/>
      <c r="AC70" s="304"/>
      <c r="AD70" s="304"/>
      <c r="AE70" s="304"/>
      <c r="AF70" s="304"/>
      <c r="AG70" s="304"/>
      <c r="AH70" s="304"/>
      <c r="AL70" s="217"/>
    </row>
    <row r="71" spans="1:38" s="14" customFormat="1">
      <c r="A71" s="304"/>
      <c r="B71" s="304"/>
      <c r="C71" s="304"/>
      <c r="D71" s="304"/>
      <c r="E71" s="304"/>
      <c r="F71" s="304"/>
      <c r="G71" s="304"/>
      <c r="H71" s="304"/>
      <c r="I71" s="304"/>
      <c r="J71" s="304"/>
      <c r="K71" s="304"/>
      <c r="L71" s="304"/>
      <c r="M71" s="304"/>
      <c r="N71" s="304"/>
      <c r="O71" s="304"/>
      <c r="P71" s="304"/>
      <c r="Q71" s="304"/>
      <c r="R71" s="304"/>
      <c r="S71" s="304"/>
      <c r="T71" s="304"/>
      <c r="U71" s="304"/>
      <c r="V71" s="304"/>
      <c r="W71" s="304"/>
      <c r="X71" s="304"/>
      <c r="Y71" s="304"/>
      <c r="Z71" s="304"/>
      <c r="AA71" s="304"/>
      <c r="AB71" s="304"/>
      <c r="AC71" s="304"/>
      <c r="AD71" s="304"/>
      <c r="AE71" s="304"/>
      <c r="AF71" s="304"/>
      <c r="AG71" s="304"/>
      <c r="AH71" s="304"/>
      <c r="AL71" s="217"/>
    </row>
    <row r="72" spans="1:38" s="14" customFormat="1" ht="36.6" customHeight="1">
      <c r="A72" s="304"/>
      <c r="B72" s="304"/>
      <c r="C72" s="304"/>
      <c r="D72" s="304"/>
      <c r="E72" s="304"/>
      <c r="F72" s="304"/>
      <c r="G72" s="304"/>
      <c r="H72" s="304"/>
      <c r="I72" s="304"/>
      <c r="J72" s="304"/>
      <c r="K72" s="304"/>
      <c r="L72" s="304"/>
      <c r="M72" s="304"/>
      <c r="N72" s="304"/>
      <c r="O72" s="304"/>
      <c r="P72" s="304"/>
      <c r="Q72" s="304"/>
      <c r="R72" s="304"/>
      <c r="S72" s="304"/>
      <c r="T72" s="304"/>
      <c r="U72" s="304"/>
      <c r="V72" s="304"/>
      <c r="W72" s="304"/>
      <c r="X72" s="304"/>
      <c r="Y72" s="304"/>
      <c r="Z72" s="304"/>
      <c r="AA72" s="304"/>
      <c r="AB72" s="304"/>
      <c r="AC72" s="304"/>
      <c r="AD72" s="304"/>
      <c r="AE72" s="304"/>
      <c r="AF72" s="304"/>
      <c r="AG72" s="304"/>
      <c r="AH72" s="304"/>
      <c r="AL72" s="217"/>
    </row>
    <row r="73" spans="1:38" s="14" customFormat="1" ht="37.5" customHeight="1">
      <c r="A73" s="304"/>
      <c r="B73" s="304"/>
      <c r="C73" s="304"/>
      <c r="D73" s="304"/>
      <c r="E73" s="304"/>
      <c r="F73" s="304"/>
      <c r="G73" s="304"/>
      <c r="H73" s="304"/>
      <c r="I73" s="304"/>
      <c r="J73" s="304"/>
      <c r="K73" s="304"/>
      <c r="L73" s="304"/>
      <c r="M73" s="304"/>
      <c r="N73" s="304"/>
      <c r="O73" s="304"/>
      <c r="P73" s="304"/>
      <c r="Q73" s="304"/>
      <c r="R73" s="304"/>
      <c r="S73" s="304"/>
      <c r="T73" s="304"/>
      <c r="U73" s="304"/>
      <c r="V73" s="304"/>
      <c r="W73" s="304"/>
      <c r="X73" s="304"/>
      <c r="Y73" s="304"/>
      <c r="Z73" s="304"/>
      <c r="AA73" s="304"/>
      <c r="AB73" s="304"/>
      <c r="AC73" s="304"/>
      <c r="AD73" s="304"/>
      <c r="AE73" s="304"/>
      <c r="AF73" s="304"/>
      <c r="AG73" s="304"/>
      <c r="AH73" s="304"/>
      <c r="AL73" s="217"/>
    </row>
    <row r="74" spans="1:38" s="14" customFormat="1">
      <c r="A74" s="305"/>
      <c r="B74" s="306"/>
      <c r="C74" s="306"/>
      <c r="D74" s="306"/>
      <c r="E74" s="306"/>
      <c r="F74" s="306"/>
      <c r="G74" s="306"/>
      <c r="H74" s="306"/>
      <c r="I74" s="306"/>
      <c r="J74" s="306"/>
      <c r="K74" s="306"/>
      <c r="L74" s="306"/>
      <c r="M74" s="306"/>
      <c r="N74" s="306"/>
      <c r="O74" s="306"/>
      <c r="P74" s="306"/>
      <c r="Q74" s="306"/>
      <c r="R74" s="306"/>
      <c r="S74" s="306"/>
      <c r="T74" s="306"/>
      <c r="U74" s="306"/>
      <c r="V74" s="306"/>
      <c r="W74" s="306"/>
      <c r="X74" s="306"/>
      <c r="Y74" s="306"/>
      <c r="Z74" s="306"/>
      <c r="AA74" s="306"/>
      <c r="AB74" s="306"/>
      <c r="AC74" s="306"/>
      <c r="AD74" s="306"/>
      <c r="AE74" s="306"/>
      <c r="AF74" s="306"/>
      <c r="AG74" s="306"/>
      <c r="AH74" s="306"/>
      <c r="AL74" s="217"/>
    </row>
    <row r="75" spans="1:38" s="14" customFormat="1" ht="15" customHeight="1">
      <c r="A75" s="305"/>
      <c r="B75" s="306"/>
      <c r="C75" s="306"/>
      <c r="D75" s="306"/>
      <c r="E75" s="306"/>
      <c r="F75" s="306"/>
      <c r="G75" s="306"/>
      <c r="H75" s="306"/>
      <c r="I75" s="306"/>
      <c r="J75" s="306"/>
      <c r="K75" s="306"/>
      <c r="L75" s="306"/>
      <c r="M75" s="306"/>
      <c r="N75" s="306"/>
      <c r="O75" s="306"/>
      <c r="P75" s="306"/>
      <c r="Q75" s="306"/>
      <c r="R75" s="306"/>
      <c r="S75" s="306"/>
      <c r="T75" s="306"/>
      <c r="U75" s="306"/>
      <c r="V75" s="306"/>
      <c r="W75" s="306"/>
      <c r="X75" s="306"/>
      <c r="Y75" s="306"/>
      <c r="Z75" s="306"/>
      <c r="AA75" s="306"/>
      <c r="AB75" s="306"/>
      <c r="AC75" s="306"/>
      <c r="AD75" s="306"/>
      <c r="AE75" s="306"/>
      <c r="AF75" s="306"/>
      <c r="AG75" s="306"/>
      <c r="AH75" s="306"/>
      <c r="AL75" s="217"/>
    </row>
    <row r="76" spans="1:38" s="14" customFormat="1" ht="34.5" customHeight="1">
      <c r="A76" s="295"/>
      <c r="B76" s="295"/>
      <c r="C76" s="295"/>
      <c r="D76" s="295"/>
      <c r="E76" s="295"/>
      <c r="F76" s="295"/>
      <c r="G76" s="295"/>
      <c r="H76" s="295"/>
      <c r="I76" s="295"/>
      <c r="J76" s="295"/>
      <c r="K76" s="295"/>
      <c r="L76" s="295"/>
      <c r="M76" s="295"/>
      <c r="N76" s="295"/>
      <c r="O76" s="295"/>
      <c r="P76" s="295"/>
      <c r="Q76" s="295"/>
      <c r="R76" s="295"/>
      <c r="S76" s="295"/>
      <c r="T76" s="295"/>
      <c r="U76" s="295"/>
      <c r="V76" s="295"/>
      <c r="W76" s="295"/>
      <c r="X76" s="295"/>
      <c r="Y76" s="295"/>
      <c r="Z76" s="295"/>
      <c r="AA76" s="295"/>
      <c r="AB76" s="295"/>
      <c r="AC76" s="295"/>
      <c r="AD76" s="295"/>
      <c r="AE76" s="295"/>
      <c r="AF76" s="295"/>
      <c r="AG76" s="295"/>
      <c r="AH76" s="295"/>
      <c r="AL76" s="217"/>
    </row>
    <row r="77" spans="1:38" s="14" customFormat="1" ht="59.25" customHeight="1">
      <c r="A77" s="295"/>
      <c r="B77" s="295"/>
      <c r="C77" s="295"/>
      <c r="D77" s="295"/>
      <c r="E77" s="295"/>
      <c r="F77" s="295"/>
      <c r="G77" s="295"/>
      <c r="H77" s="295"/>
      <c r="I77" s="295"/>
      <c r="J77" s="295"/>
      <c r="K77" s="295"/>
      <c r="L77" s="295"/>
      <c r="M77" s="295"/>
      <c r="N77" s="295"/>
      <c r="O77" s="295"/>
      <c r="P77" s="295"/>
      <c r="Q77" s="295"/>
      <c r="R77" s="295"/>
      <c r="S77" s="295"/>
      <c r="T77" s="295"/>
      <c r="U77" s="295"/>
      <c r="V77" s="295"/>
      <c r="W77" s="295"/>
      <c r="X77" s="295"/>
      <c r="Y77" s="295"/>
      <c r="Z77" s="295"/>
      <c r="AA77" s="295"/>
      <c r="AB77" s="295"/>
      <c r="AC77" s="295"/>
      <c r="AD77" s="295"/>
      <c r="AE77" s="295"/>
      <c r="AF77" s="295"/>
      <c r="AG77" s="295"/>
      <c r="AH77" s="295"/>
      <c r="AL77" s="217"/>
    </row>
    <row r="78" spans="1:38" s="14" customFormat="1" hidden="1">
      <c r="A78" s="296"/>
      <c r="B78" s="296"/>
      <c r="C78" s="296"/>
      <c r="D78" s="296"/>
      <c r="E78" s="296"/>
      <c r="F78" s="296"/>
      <c r="G78" s="296"/>
      <c r="H78" s="296"/>
      <c r="I78" s="296"/>
      <c r="J78" s="296"/>
      <c r="K78" s="296"/>
      <c r="L78" s="296"/>
      <c r="M78" s="296"/>
      <c r="N78" s="296"/>
      <c r="O78" s="296"/>
      <c r="P78" s="296"/>
      <c r="Q78" s="296"/>
      <c r="R78" s="296"/>
      <c r="S78" s="296"/>
      <c r="T78" s="296"/>
      <c r="U78" s="296"/>
      <c r="V78" s="296"/>
      <c r="W78" s="296"/>
      <c r="X78" s="296"/>
      <c r="Y78" s="296"/>
      <c r="Z78" s="296"/>
      <c r="AA78" s="296"/>
      <c r="AB78" s="296"/>
      <c r="AC78" s="296"/>
      <c r="AD78" s="296"/>
      <c r="AE78" s="296"/>
      <c r="AF78" s="296"/>
      <c r="AG78" s="296"/>
      <c r="AH78" s="296"/>
      <c r="AL78" s="217"/>
    </row>
    <row r="79" spans="1:38" s="14" customFormat="1" hidden="1">
      <c r="A79" s="296"/>
      <c r="B79" s="296"/>
      <c r="C79" s="296"/>
      <c r="D79" s="296"/>
      <c r="E79" s="296"/>
      <c r="F79" s="296"/>
      <c r="G79" s="296"/>
      <c r="H79" s="296"/>
      <c r="I79" s="296"/>
      <c r="J79" s="296"/>
      <c r="K79" s="296"/>
      <c r="L79" s="296"/>
      <c r="M79" s="296"/>
      <c r="N79" s="296"/>
      <c r="O79" s="296"/>
      <c r="P79" s="296"/>
      <c r="Q79" s="296"/>
      <c r="R79" s="296"/>
      <c r="S79" s="296"/>
      <c r="T79" s="296"/>
      <c r="U79" s="296"/>
      <c r="V79" s="296"/>
      <c r="W79" s="296"/>
      <c r="X79" s="296"/>
      <c r="Y79" s="296"/>
      <c r="Z79" s="296"/>
      <c r="AA79" s="296"/>
      <c r="AB79" s="296"/>
      <c r="AC79" s="296"/>
      <c r="AD79" s="296"/>
      <c r="AE79" s="296"/>
      <c r="AF79" s="296"/>
      <c r="AG79" s="296"/>
      <c r="AH79" s="296"/>
      <c r="AL79" s="217"/>
    </row>
    <row r="80" spans="1:38" s="14" customFormat="1" hidden="1">
      <c r="A80" s="296"/>
      <c r="B80" s="296"/>
      <c r="C80" s="296"/>
      <c r="D80" s="296"/>
      <c r="E80" s="296"/>
      <c r="F80" s="296"/>
      <c r="G80" s="296"/>
      <c r="H80" s="296"/>
      <c r="I80" s="296"/>
      <c r="J80" s="296"/>
      <c r="K80" s="296"/>
      <c r="L80" s="296"/>
      <c r="M80" s="296"/>
      <c r="N80" s="296"/>
      <c r="O80" s="296"/>
      <c r="P80" s="296"/>
      <c r="Q80" s="296"/>
      <c r="R80" s="296"/>
      <c r="S80" s="296"/>
      <c r="T80" s="296"/>
      <c r="U80" s="296"/>
      <c r="V80" s="296"/>
      <c r="W80" s="296"/>
      <c r="X80" s="296"/>
      <c r="Y80" s="296"/>
      <c r="Z80" s="296"/>
      <c r="AA80" s="296"/>
      <c r="AB80" s="296"/>
      <c r="AC80" s="296"/>
      <c r="AD80" s="296"/>
      <c r="AE80" s="296"/>
      <c r="AF80" s="296"/>
      <c r="AG80" s="296"/>
      <c r="AH80" s="296"/>
      <c r="AL80" s="217"/>
    </row>
    <row r="81" spans="1:38" s="14" customFormat="1" hidden="1">
      <c r="A81" s="296"/>
      <c r="B81" s="296"/>
      <c r="C81" s="296"/>
      <c r="D81" s="296"/>
      <c r="E81" s="296"/>
      <c r="F81" s="296"/>
      <c r="G81" s="296"/>
      <c r="H81" s="296"/>
      <c r="I81" s="296"/>
      <c r="J81" s="296"/>
      <c r="K81" s="296"/>
      <c r="L81" s="296"/>
      <c r="M81" s="296"/>
      <c r="N81" s="296"/>
      <c r="O81" s="296"/>
      <c r="P81" s="296"/>
      <c r="Q81" s="296"/>
      <c r="R81" s="296"/>
      <c r="S81" s="296"/>
      <c r="T81" s="296"/>
      <c r="U81" s="296"/>
      <c r="V81" s="296"/>
      <c r="W81" s="296"/>
      <c r="X81" s="296"/>
      <c r="Y81" s="296"/>
      <c r="Z81" s="296"/>
      <c r="AA81" s="296"/>
      <c r="AB81" s="296"/>
      <c r="AC81" s="296"/>
      <c r="AD81" s="296"/>
      <c r="AE81" s="296"/>
      <c r="AF81" s="296"/>
      <c r="AG81" s="296"/>
      <c r="AH81" s="296"/>
      <c r="AL81" s="217"/>
    </row>
    <row r="82" spans="1:38" s="14" customFormat="1" hidden="1">
      <c r="A82" s="296"/>
      <c r="B82" s="296"/>
      <c r="C82" s="296"/>
      <c r="D82" s="296"/>
      <c r="E82" s="296"/>
      <c r="F82" s="296"/>
      <c r="G82" s="296"/>
      <c r="H82" s="296"/>
      <c r="I82" s="296"/>
      <c r="J82" s="296"/>
      <c r="K82" s="296"/>
      <c r="L82" s="296"/>
      <c r="M82" s="296"/>
      <c r="N82" s="296"/>
      <c r="O82" s="296"/>
      <c r="P82" s="296"/>
      <c r="Q82" s="296"/>
      <c r="R82" s="296"/>
      <c r="S82" s="296"/>
      <c r="T82" s="296"/>
      <c r="U82" s="296"/>
      <c r="V82" s="296"/>
      <c r="W82" s="296"/>
      <c r="X82" s="296"/>
      <c r="Y82" s="296"/>
      <c r="Z82" s="296"/>
      <c r="AA82" s="296"/>
      <c r="AB82" s="296"/>
      <c r="AC82" s="296"/>
      <c r="AD82" s="296"/>
      <c r="AE82" s="296"/>
      <c r="AF82" s="296"/>
      <c r="AG82" s="296"/>
      <c r="AH82" s="296"/>
      <c r="AL82" s="217"/>
    </row>
    <row r="83" spans="1:38" s="14" customFormat="1" ht="15" customHeight="1">
      <c r="A83" s="297"/>
      <c r="B83" s="298"/>
      <c r="C83" s="298"/>
      <c r="D83" s="298"/>
      <c r="E83" s="298"/>
      <c r="F83" s="298"/>
      <c r="G83" s="298"/>
      <c r="H83" s="298"/>
      <c r="I83" s="298"/>
      <c r="J83" s="298"/>
      <c r="K83" s="298"/>
      <c r="L83" s="298"/>
      <c r="M83" s="298"/>
      <c r="N83" s="298"/>
      <c r="O83" s="298"/>
      <c r="P83" s="298"/>
      <c r="Q83" s="298"/>
      <c r="R83" s="298"/>
      <c r="S83" s="298"/>
      <c r="T83" s="298"/>
      <c r="U83" s="298"/>
      <c r="V83" s="298"/>
      <c r="W83" s="298"/>
      <c r="X83" s="298"/>
      <c r="Y83" s="298"/>
      <c r="Z83" s="298"/>
      <c r="AA83" s="298"/>
      <c r="AB83" s="298"/>
      <c r="AC83" s="298"/>
      <c r="AD83" s="298"/>
      <c r="AE83" s="298"/>
      <c r="AF83" s="298"/>
      <c r="AG83" s="298"/>
      <c r="AH83" s="299"/>
      <c r="AL83" s="217"/>
    </row>
    <row r="84" spans="1:38" s="14" customFormat="1" ht="23.25" customHeight="1">
      <c r="A84" s="300" t="s">
        <v>177</v>
      </c>
      <c r="B84" s="301"/>
      <c r="C84" s="301"/>
      <c r="D84" s="301"/>
      <c r="E84" s="301"/>
      <c r="F84" s="301"/>
      <c r="G84" s="301"/>
      <c r="H84" s="301"/>
      <c r="I84" s="301"/>
      <c r="J84" s="301"/>
      <c r="K84" s="301"/>
      <c r="L84" s="301"/>
      <c r="M84" s="301"/>
      <c r="N84" s="301"/>
      <c r="O84" s="301"/>
      <c r="P84" s="301"/>
      <c r="Q84" s="301"/>
      <c r="R84" s="301"/>
      <c r="S84" s="301"/>
      <c r="T84" s="301"/>
      <c r="U84" s="301"/>
      <c r="V84" s="301"/>
      <c r="W84" s="301"/>
      <c r="X84" s="301"/>
      <c r="Y84" s="301"/>
      <c r="Z84" s="301"/>
      <c r="AA84" s="301"/>
      <c r="AB84" s="301"/>
      <c r="AC84" s="301"/>
      <c r="AD84" s="301"/>
      <c r="AE84" s="301"/>
      <c r="AF84" s="301"/>
      <c r="AG84" s="301"/>
      <c r="AH84" s="302"/>
      <c r="AL84" s="217"/>
    </row>
    <row r="85" spans="1:38" s="14" customFormat="1">
      <c r="A85" s="295"/>
      <c r="B85" s="303"/>
      <c r="C85" s="303"/>
      <c r="D85" s="303"/>
      <c r="E85" s="303"/>
      <c r="F85" s="303"/>
      <c r="G85" s="303"/>
      <c r="H85" s="303"/>
      <c r="I85" s="303"/>
      <c r="J85" s="303"/>
      <c r="K85" s="303"/>
      <c r="L85" s="303"/>
      <c r="M85" s="303"/>
      <c r="N85" s="303"/>
      <c r="O85" s="303"/>
      <c r="P85" s="303"/>
      <c r="Q85" s="303"/>
      <c r="R85" s="303"/>
      <c r="S85" s="303"/>
      <c r="T85" s="303"/>
      <c r="U85" s="303"/>
      <c r="V85" s="303"/>
      <c r="W85" s="303"/>
      <c r="X85" s="303"/>
      <c r="Y85" s="303"/>
      <c r="Z85" s="303"/>
      <c r="AA85" s="303"/>
      <c r="AB85" s="303"/>
      <c r="AC85" s="303"/>
      <c r="AD85" s="303"/>
      <c r="AE85" s="303"/>
      <c r="AF85" s="303"/>
      <c r="AG85" s="303"/>
      <c r="AH85" s="303"/>
      <c r="AL85" s="217"/>
    </row>
    <row r="86" spans="1:38" s="14" customFormat="1" ht="30.75" customHeight="1">
      <c r="A86" s="295"/>
      <c r="B86" s="303"/>
      <c r="C86" s="303"/>
      <c r="D86" s="303"/>
      <c r="E86" s="303"/>
      <c r="F86" s="303"/>
      <c r="G86" s="303"/>
      <c r="H86" s="303"/>
      <c r="I86" s="303"/>
      <c r="J86" s="303"/>
      <c r="K86" s="303"/>
      <c r="L86" s="303"/>
      <c r="M86" s="303"/>
      <c r="N86" s="303"/>
      <c r="O86" s="303"/>
      <c r="P86" s="303"/>
      <c r="Q86" s="303"/>
      <c r="R86" s="303"/>
      <c r="S86" s="303"/>
      <c r="T86" s="303"/>
      <c r="U86" s="303"/>
      <c r="V86" s="303"/>
      <c r="W86" s="303"/>
      <c r="X86" s="303"/>
      <c r="Y86" s="303"/>
      <c r="Z86" s="303"/>
      <c r="AA86" s="303"/>
      <c r="AB86" s="303"/>
      <c r="AC86" s="303"/>
      <c r="AD86" s="303"/>
      <c r="AE86" s="303"/>
      <c r="AF86" s="303"/>
      <c r="AG86" s="303"/>
      <c r="AH86" s="303"/>
      <c r="AL86" s="217"/>
    </row>
    <row r="87" spans="1:38" s="14" customFormat="1" ht="30.75" customHeight="1" thickBot="1">
      <c r="A87" s="424"/>
      <c r="B87" s="425"/>
      <c r="C87" s="425"/>
      <c r="D87" s="425"/>
      <c r="E87" s="425"/>
      <c r="F87" s="425"/>
      <c r="G87" s="425"/>
      <c r="H87" s="425"/>
      <c r="I87" s="425"/>
      <c r="J87" s="425"/>
      <c r="K87" s="425"/>
      <c r="L87" s="425"/>
      <c r="M87" s="425"/>
      <c r="N87" s="425"/>
      <c r="O87" s="425"/>
      <c r="P87" s="425"/>
      <c r="Q87" s="425"/>
      <c r="R87" s="425"/>
      <c r="S87" s="425"/>
      <c r="T87" s="425"/>
      <c r="U87" s="425"/>
      <c r="V87" s="425"/>
      <c r="W87" s="425"/>
      <c r="X87" s="425"/>
      <c r="Y87" s="425"/>
      <c r="Z87" s="425"/>
      <c r="AA87" s="425"/>
      <c r="AB87" s="425"/>
      <c r="AC87" s="425"/>
      <c r="AD87" s="425"/>
      <c r="AE87" s="425"/>
      <c r="AF87" s="425"/>
      <c r="AG87" s="425"/>
      <c r="AH87" s="426"/>
      <c r="AL87" s="217"/>
    </row>
    <row r="88" spans="1:38" s="14" customFormat="1" hidden="1">
      <c r="A88" s="416"/>
      <c r="B88" s="417"/>
      <c r="C88" s="417"/>
      <c r="D88" s="417"/>
      <c r="E88" s="417"/>
      <c r="F88" s="417"/>
      <c r="G88" s="417"/>
      <c r="H88" s="417"/>
      <c r="I88" s="417"/>
      <c r="J88" s="417"/>
      <c r="K88" s="417"/>
      <c r="L88" s="417"/>
      <c r="M88" s="417"/>
      <c r="N88" s="417"/>
      <c r="O88" s="417"/>
      <c r="P88" s="417"/>
      <c r="Q88" s="417"/>
      <c r="R88" s="417"/>
      <c r="S88" s="417"/>
      <c r="T88" s="417"/>
      <c r="U88" s="417"/>
      <c r="V88" s="417"/>
      <c r="W88" s="417"/>
      <c r="X88" s="417"/>
      <c r="Y88" s="417"/>
      <c r="Z88" s="417"/>
      <c r="AA88" s="417"/>
      <c r="AB88" s="417"/>
      <c r="AC88" s="417"/>
      <c r="AD88" s="417"/>
      <c r="AE88" s="417"/>
      <c r="AF88" s="417"/>
      <c r="AG88" s="417"/>
      <c r="AH88" s="417"/>
      <c r="AL88" s="217"/>
    </row>
    <row r="89" spans="1:38" s="14" customFormat="1" hidden="1">
      <c r="A89" s="416"/>
      <c r="B89" s="417"/>
      <c r="C89" s="417"/>
      <c r="D89" s="417"/>
      <c r="E89" s="417"/>
      <c r="F89" s="417"/>
      <c r="G89" s="417"/>
      <c r="H89" s="417"/>
      <c r="I89" s="417"/>
      <c r="J89" s="417"/>
      <c r="K89" s="417"/>
      <c r="L89" s="417"/>
      <c r="M89" s="417"/>
      <c r="N89" s="417"/>
      <c r="O89" s="417"/>
      <c r="P89" s="417"/>
      <c r="Q89" s="417"/>
      <c r="R89" s="417"/>
      <c r="S89" s="417"/>
      <c r="T89" s="417"/>
      <c r="U89" s="417"/>
      <c r="V89" s="417"/>
      <c r="W89" s="417"/>
      <c r="X89" s="417"/>
      <c r="Y89" s="417"/>
      <c r="Z89" s="417"/>
      <c r="AA89" s="417"/>
      <c r="AB89" s="417"/>
      <c r="AC89" s="417"/>
      <c r="AD89" s="417"/>
      <c r="AE89" s="417"/>
      <c r="AF89" s="417"/>
      <c r="AG89" s="417"/>
      <c r="AH89" s="417"/>
      <c r="AL89" s="217"/>
    </row>
    <row r="90" spans="1:38" s="14" customFormat="1" hidden="1">
      <c r="A90" s="34"/>
      <c r="B90" s="35"/>
      <c r="C90" s="35"/>
      <c r="D90" s="35"/>
      <c r="E90" s="35"/>
      <c r="F90" s="35"/>
      <c r="G90" s="35"/>
      <c r="H90" s="35"/>
      <c r="I90" s="35"/>
      <c r="J90" s="35"/>
      <c r="K90" s="35"/>
      <c r="L90" s="35"/>
      <c r="M90" s="35"/>
      <c r="N90" s="35"/>
      <c r="O90" s="35"/>
      <c r="P90" s="35"/>
      <c r="Q90" s="35"/>
      <c r="R90" s="35"/>
      <c r="S90" s="35"/>
      <c r="T90" s="35"/>
      <c r="U90" s="35"/>
      <c r="V90" s="35"/>
      <c r="W90" s="35"/>
      <c r="X90" s="35"/>
      <c r="Y90" s="35"/>
      <c r="Z90" s="35"/>
      <c r="AA90" s="35"/>
      <c r="AB90" s="35"/>
      <c r="AC90" s="35"/>
      <c r="AD90" s="35"/>
      <c r="AE90" s="35"/>
      <c r="AF90" s="35"/>
      <c r="AG90" s="35"/>
      <c r="AH90" s="36"/>
      <c r="AL90" s="217"/>
    </row>
    <row r="91" spans="1:38" s="14" customFormat="1" hidden="1">
      <c r="A91" s="34"/>
      <c r="B91" s="35"/>
      <c r="C91" s="35"/>
      <c r="D91" s="35"/>
      <c r="E91" s="35"/>
      <c r="F91" s="35"/>
      <c r="G91" s="35"/>
      <c r="H91" s="35"/>
      <c r="I91" s="35"/>
      <c r="J91" s="35"/>
      <c r="K91" s="35"/>
      <c r="L91" s="35"/>
      <c r="M91" s="35"/>
      <c r="N91" s="35"/>
      <c r="O91" s="35"/>
      <c r="P91" s="35"/>
      <c r="Q91" s="35"/>
      <c r="R91" s="35"/>
      <c r="S91" s="35"/>
      <c r="T91" s="35"/>
      <c r="U91" s="35"/>
      <c r="V91" s="35"/>
      <c r="W91" s="35"/>
      <c r="X91" s="35"/>
      <c r="Y91" s="35"/>
      <c r="Z91" s="35"/>
      <c r="AA91" s="35"/>
      <c r="AB91" s="35"/>
      <c r="AC91" s="35"/>
      <c r="AD91" s="35"/>
      <c r="AE91" s="35"/>
      <c r="AF91" s="35"/>
      <c r="AG91" s="35"/>
      <c r="AH91" s="36"/>
      <c r="AL91" s="217"/>
    </row>
    <row r="92" spans="1:38" s="14" customFormat="1" hidden="1">
      <c r="A92" s="34"/>
      <c r="B92" s="35"/>
      <c r="C92" s="35"/>
      <c r="D92" s="35"/>
      <c r="E92" s="35"/>
      <c r="F92" s="35"/>
      <c r="G92" s="35"/>
      <c r="H92" s="35"/>
      <c r="I92" s="35"/>
      <c r="J92" s="35"/>
      <c r="K92" s="35"/>
      <c r="L92" s="35"/>
      <c r="M92" s="35"/>
      <c r="N92" s="35"/>
      <c r="O92" s="35"/>
      <c r="P92" s="35"/>
      <c r="Q92" s="35"/>
      <c r="R92" s="35"/>
      <c r="S92" s="35"/>
      <c r="T92" s="35"/>
      <c r="U92" s="35"/>
      <c r="V92" s="35"/>
      <c r="W92" s="35"/>
      <c r="X92" s="35"/>
      <c r="Y92" s="35"/>
      <c r="Z92" s="35"/>
      <c r="AA92" s="35"/>
      <c r="AB92" s="35"/>
      <c r="AC92" s="35"/>
      <c r="AD92" s="35"/>
      <c r="AE92" s="35"/>
      <c r="AF92" s="35"/>
      <c r="AG92" s="35"/>
      <c r="AH92" s="36"/>
      <c r="AL92" s="217"/>
    </row>
    <row r="93" spans="1:38" s="14" customFormat="1" hidden="1">
      <c r="A93" s="34"/>
      <c r="B93" s="35"/>
      <c r="C93" s="35"/>
      <c r="D93" s="35"/>
      <c r="E93" s="35"/>
      <c r="F93" s="35"/>
      <c r="G93" s="35"/>
      <c r="H93" s="35"/>
      <c r="I93" s="35"/>
      <c r="J93" s="35"/>
      <c r="K93" s="35"/>
      <c r="L93" s="35"/>
      <c r="M93" s="35"/>
      <c r="N93" s="35"/>
      <c r="O93" s="35"/>
      <c r="P93" s="35"/>
      <c r="Q93" s="35"/>
      <c r="R93" s="35"/>
      <c r="S93" s="35"/>
      <c r="T93" s="35"/>
      <c r="U93" s="35"/>
      <c r="V93" s="35"/>
      <c r="W93" s="35"/>
      <c r="X93" s="35"/>
      <c r="Y93" s="35"/>
      <c r="Z93" s="35"/>
      <c r="AA93" s="35"/>
      <c r="AB93" s="35"/>
      <c r="AC93" s="35"/>
      <c r="AD93" s="35"/>
      <c r="AE93" s="35"/>
      <c r="AF93" s="35"/>
      <c r="AG93" s="35"/>
      <c r="AH93" s="36"/>
      <c r="AL93" s="217"/>
    </row>
    <row r="94" spans="1:38" s="14" customFormat="1" hidden="1">
      <c r="A94" s="34"/>
      <c r="B94" s="35"/>
      <c r="C94" s="35"/>
      <c r="D94" s="35"/>
      <c r="E94" s="35"/>
      <c r="F94" s="35"/>
      <c r="G94" s="35"/>
      <c r="H94" s="35"/>
      <c r="I94" s="35"/>
      <c r="J94" s="35"/>
      <c r="K94" s="35"/>
      <c r="L94" s="35"/>
      <c r="M94" s="35"/>
      <c r="N94" s="35"/>
      <c r="O94" s="35"/>
      <c r="P94" s="35"/>
      <c r="Q94" s="35"/>
      <c r="R94" s="35"/>
      <c r="S94" s="35"/>
      <c r="T94" s="35"/>
      <c r="U94" s="35"/>
      <c r="V94" s="35"/>
      <c r="W94" s="35"/>
      <c r="X94" s="35"/>
      <c r="Y94" s="35"/>
      <c r="Z94" s="35"/>
      <c r="AA94" s="35"/>
      <c r="AB94" s="35"/>
      <c r="AC94" s="35"/>
      <c r="AD94" s="35"/>
      <c r="AE94" s="35"/>
      <c r="AF94" s="35"/>
      <c r="AG94" s="35"/>
      <c r="AH94" s="36"/>
    </row>
    <row r="95" spans="1:38" s="14" customFormat="1" hidden="1">
      <c r="A95" s="34"/>
      <c r="B95" s="35"/>
      <c r="C95" s="35"/>
      <c r="D95" s="35"/>
      <c r="E95" s="35"/>
      <c r="F95" s="35"/>
      <c r="G95" s="35"/>
      <c r="H95" s="35"/>
      <c r="I95" s="35"/>
      <c r="J95" s="35"/>
      <c r="K95" s="35"/>
      <c r="L95" s="35"/>
      <c r="M95" s="35"/>
      <c r="N95" s="35"/>
      <c r="O95" s="35"/>
      <c r="P95" s="35"/>
      <c r="Q95" s="35"/>
      <c r="R95" s="35"/>
      <c r="S95" s="35"/>
      <c r="T95" s="35"/>
      <c r="U95" s="35"/>
      <c r="V95" s="35"/>
      <c r="W95" s="35"/>
      <c r="X95" s="35"/>
      <c r="Y95" s="35"/>
      <c r="Z95" s="35"/>
      <c r="AA95" s="35"/>
      <c r="AB95" s="35"/>
      <c r="AC95" s="35"/>
      <c r="AD95" s="35"/>
      <c r="AE95" s="35"/>
      <c r="AF95" s="35"/>
      <c r="AG95" s="35"/>
      <c r="AH95" s="36"/>
    </row>
    <row r="96" spans="1:38" s="14" customFormat="1" hidden="1">
      <c r="A96" s="418"/>
      <c r="B96" s="419"/>
      <c r="C96" s="419"/>
      <c r="D96" s="419"/>
      <c r="E96" s="419"/>
      <c r="F96" s="419"/>
      <c r="G96" s="419"/>
      <c r="H96" s="419"/>
      <c r="I96" s="419"/>
      <c r="J96" s="419"/>
      <c r="K96" s="419"/>
      <c r="L96" s="419"/>
      <c r="M96" s="419"/>
      <c r="N96" s="419"/>
      <c r="O96" s="419"/>
      <c r="P96" s="419"/>
      <c r="Q96" s="419"/>
      <c r="R96" s="419"/>
      <c r="S96" s="419"/>
      <c r="T96" s="419"/>
      <c r="U96" s="419"/>
      <c r="V96" s="419"/>
      <c r="W96" s="419"/>
      <c r="X96" s="419"/>
      <c r="Y96" s="419"/>
      <c r="Z96" s="419"/>
      <c r="AA96" s="419"/>
      <c r="AB96" s="419"/>
      <c r="AC96" s="419"/>
      <c r="AD96" s="419"/>
      <c r="AE96" s="419"/>
      <c r="AF96" s="419"/>
      <c r="AG96" s="419"/>
      <c r="AH96" s="420"/>
    </row>
    <row r="97" spans="1:34" s="14" customFormat="1" ht="13.8" hidden="1" thickBot="1">
      <c r="A97" s="421"/>
      <c r="B97" s="422"/>
      <c r="C97" s="422"/>
      <c r="D97" s="422"/>
      <c r="E97" s="422"/>
      <c r="F97" s="422"/>
      <c r="G97" s="422"/>
      <c r="H97" s="422"/>
      <c r="I97" s="422"/>
      <c r="J97" s="422"/>
      <c r="K97" s="422"/>
      <c r="L97" s="422"/>
      <c r="M97" s="422"/>
      <c r="N97" s="422"/>
      <c r="O97" s="422"/>
      <c r="P97" s="422"/>
      <c r="Q97" s="422"/>
      <c r="R97" s="422"/>
      <c r="S97" s="422"/>
      <c r="T97" s="422"/>
      <c r="U97" s="422"/>
      <c r="V97" s="422"/>
      <c r="W97" s="422"/>
      <c r="X97" s="422"/>
      <c r="Y97" s="422"/>
      <c r="Z97" s="422"/>
      <c r="AA97" s="422"/>
      <c r="AB97" s="422"/>
      <c r="AC97" s="422"/>
      <c r="AD97" s="422"/>
      <c r="AE97" s="422"/>
      <c r="AF97" s="422"/>
      <c r="AG97" s="422"/>
      <c r="AH97" s="423"/>
    </row>
    <row r="98" spans="1:34" s="14" customFormat="1" ht="13.8" thickBot="1">
      <c r="A98" s="329"/>
      <c r="B98" s="402"/>
      <c r="C98" s="402"/>
      <c r="D98" s="402" t="s">
        <v>178</v>
      </c>
      <c r="E98" s="402"/>
      <c r="F98" s="402"/>
      <c r="G98" s="402"/>
      <c r="H98" s="402"/>
      <c r="I98" s="402"/>
      <c r="J98" s="402"/>
      <c r="K98" s="402"/>
      <c r="L98" s="402"/>
      <c r="M98" s="402"/>
      <c r="N98" s="403"/>
      <c r="O98" s="329" t="s">
        <v>179</v>
      </c>
      <c r="P98" s="402"/>
      <c r="Q98" s="402"/>
      <c r="R98" s="402"/>
      <c r="S98" s="402"/>
      <c r="T98" s="402"/>
      <c r="U98" s="402"/>
      <c r="V98" s="403"/>
      <c r="W98" s="329" t="s">
        <v>180</v>
      </c>
      <c r="X98" s="402"/>
      <c r="Y98" s="402"/>
      <c r="Z98" s="402"/>
      <c r="AA98" s="402"/>
      <c r="AB98" s="402"/>
      <c r="AC98" s="402"/>
      <c r="AD98" s="402"/>
      <c r="AE98" s="402"/>
      <c r="AF98" s="402"/>
      <c r="AG98" s="402"/>
      <c r="AH98" s="403"/>
    </row>
    <row r="99" spans="1:34" s="14" customFormat="1" ht="17.25" customHeight="1">
      <c r="A99" s="404" t="s">
        <v>181</v>
      </c>
      <c r="B99" s="405"/>
      <c r="C99" s="406"/>
      <c r="D99" s="407"/>
      <c r="E99" s="407"/>
      <c r="F99" s="407"/>
      <c r="G99" s="407"/>
      <c r="H99" s="407"/>
      <c r="I99" s="407"/>
      <c r="J99" s="407"/>
      <c r="K99" s="407"/>
      <c r="L99" s="407"/>
      <c r="M99" s="407"/>
      <c r="N99" s="407"/>
      <c r="O99" s="408"/>
      <c r="P99" s="407"/>
      <c r="Q99" s="407"/>
      <c r="R99" s="407"/>
      <c r="S99" s="407"/>
      <c r="T99" s="407"/>
      <c r="U99" s="407"/>
      <c r="V99" s="409"/>
      <c r="W99" s="408" t="s">
        <v>182</v>
      </c>
      <c r="X99" s="407"/>
      <c r="Y99" s="407"/>
      <c r="Z99" s="407"/>
      <c r="AA99" s="407"/>
      <c r="AB99" s="407"/>
      <c r="AC99" s="407"/>
      <c r="AD99" s="407"/>
      <c r="AE99" s="407"/>
      <c r="AF99" s="407"/>
      <c r="AG99" s="407"/>
      <c r="AH99" s="409"/>
    </row>
    <row r="100" spans="1:34" s="14" customFormat="1" ht="17.25" customHeight="1">
      <c r="A100" s="410" t="s">
        <v>183</v>
      </c>
      <c r="B100" s="411"/>
      <c r="C100" s="412"/>
      <c r="D100" s="413" t="s">
        <v>184</v>
      </c>
      <c r="E100" s="413"/>
      <c r="F100" s="413"/>
      <c r="G100" s="413"/>
      <c r="H100" s="413"/>
      <c r="I100" s="413"/>
      <c r="J100" s="413"/>
      <c r="K100" s="413"/>
      <c r="L100" s="413"/>
      <c r="M100" s="413"/>
      <c r="N100" s="413"/>
      <c r="O100" s="414" t="s">
        <v>185</v>
      </c>
      <c r="P100" s="413"/>
      <c r="Q100" s="413"/>
      <c r="R100" s="413"/>
      <c r="S100" s="413"/>
      <c r="T100" s="413"/>
      <c r="U100" s="413"/>
      <c r="V100" s="415"/>
      <c r="W100" s="414" t="s">
        <v>186</v>
      </c>
      <c r="X100" s="413"/>
      <c r="Y100" s="413"/>
      <c r="Z100" s="413"/>
      <c r="AA100" s="413"/>
      <c r="AB100" s="413"/>
      <c r="AC100" s="413"/>
      <c r="AD100" s="413"/>
      <c r="AE100" s="413"/>
      <c r="AF100" s="413"/>
      <c r="AG100" s="413"/>
      <c r="AH100" s="415"/>
    </row>
    <row r="101" spans="1:34" s="14" customFormat="1" ht="17.25" customHeight="1" thickBot="1">
      <c r="A101" s="395" t="s">
        <v>187</v>
      </c>
      <c r="B101" s="396"/>
      <c r="C101" s="397"/>
      <c r="D101" s="398" t="s">
        <v>188</v>
      </c>
      <c r="E101" s="398"/>
      <c r="F101" s="398"/>
      <c r="G101" s="398"/>
      <c r="H101" s="398"/>
      <c r="I101" s="398"/>
      <c r="J101" s="398"/>
      <c r="K101" s="398"/>
      <c r="L101" s="398"/>
      <c r="M101" s="398"/>
      <c r="N101" s="398"/>
      <c r="O101" s="399" t="s">
        <v>188</v>
      </c>
      <c r="P101" s="400"/>
      <c r="Q101" s="400"/>
      <c r="R101" s="400"/>
      <c r="S101" s="400"/>
      <c r="T101" s="400"/>
      <c r="U101" s="400"/>
      <c r="V101" s="401"/>
      <c r="W101" s="399" t="s">
        <v>188</v>
      </c>
      <c r="X101" s="400"/>
      <c r="Y101" s="400"/>
      <c r="Z101" s="400"/>
      <c r="AA101" s="400"/>
      <c r="AB101" s="400"/>
      <c r="AC101" s="400"/>
      <c r="AD101" s="400"/>
      <c r="AE101" s="400"/>
      <c r="AF101" s="400"/>
      <c r="AG101" s="400"/>
      <c r="AH101" s="401"/>
    </row>
  </sheetData>
  <sheetProtection formatCells="0" formatColumns="0" formatRows="0" insertRows="0" insertHyperlinks="0" deleteRows="0" sort="0" autoFilter="0" pivotTables="0"/>
  <protectedRanges>
    <protectedRange password="DCF4" sqref="A68 AH68 AH52 A52 AH59 A59 A42:AH42 A69:AH82 A84:AH100" name="Range29"/>
    <protectedRange sqref="C38:C39 L41:L42 L39 H39 C69 H41:H42 C41:C42" name="INFO CASDCOTAS_1"/>
    <protectedRange sqref="J69:Q69 AC69:AH69 E41:H42 U39:Z39 AC39:AH39 J39:Q39 AC41:AH42 E39:H39 U41:Z42 J41:Q42" name="GEN_2_2_1"/>
    <protectedRange sqref="T39 T41:T42" name="INFO CASDCOTAS_2"/>
    <protectedRange sqref="R41:T42 R39:T39" name="GEN_2_2_2"/>
    <protectedRange sqref="AB39 AB41:AB42" name="INFO CASDCOTAS_4"/>
    <protectedRange sqref="AA39:AB39 AA41:AB42" name="GEN_2_2_4"/>
    <protectedRange password="DCF4" sqref="A83:AH83" name="Range29_4"/>
    <protectedRange password="DCF4" sqref="A101:AH101" name="Range29_5"/>
    <protectedRange password="DCF4" sqref="B68:AG68 B59:AG59" name="Range29_2_1"/>
    <protectedRange sqref="T53:U53 V53:Z58 T54:T58 K61:T67 A53:S58" name="Range13_3"/>
    <protectedRange password="DCF4" sqref="A60:A67 AH60:AH67 B60" name="Range29_2"/>
    <protectedRange password="DCF4" sqref="C60:I60 B61:B67 K60:AG60 D61:J67 V61:AG67" name="Range29_2_1_2"/>
    <protectedRange sqref="H30 L30 L37 H37 C30:C37" name="INFO CASDCOTAS_1_4"/>
    <protectedRange sqref="AC30:AH30 J30:Q30 U37:Z37 A33 U30:Z30 J37:Q37 E30:H30 AC37:AH37 E37:H37 Z31:Z36 AH31:AH36 U31:V34 W34 X31:X34 AA31:AA33 U40:V40 E33:E36 U35:U36 G31:J36 A35:A36 L31:L36 W35:X36 L40" name="GEN_2_2_1_12"/>
    <protectedRange sqref="T30 T37 AC31:AC36 Y31:Y36" name="INFO CASDCOTAS_2_4"/>
    <protectedRange sqref="T30 AC31:AC36 Y31:Y36 R37:T37" name="GEN_2_2_2_5"/>
    <protectedRange sqref="AB30:AB37" name="INFO CASDCOTAS_4_3"/>
    <protectedRange sqref="AA37:AB37 AA30 AB30:AB36" name="GEN_2_2_4_4"/>
    <protectedRange sqref="A34" name="GEN_2_2_1_2_1"/>
    <protectedRange sqref="O31:P36 O40:P40" name="GEN_2_2_1_14_1"/>
    <protectedRange sqref="AD31:AG36" name="GEN_2_2_1_8_1"/>
    <protectedRange sqref="C40" name="INFO CASDCOTAS_1_8"/>
    <protectedRange sqref="G40:J40 AH40 X40 Z40:AA40" name="GEN_2_2_1_13"/>
    <protectedRange sqref="Y40 AC40" name="INFO CASDCOTAS_2_5"/>
    <protectedRange sqref="Y40 AC40" name="GEN_2_2_2_6"/>
    <protectedRange sqref="AB40" name="INFO CASDCOTAS_4_4"/>
    <protectedRange sqref="AB40" name="GEN_2_2_4_5"/>
    <protectedRange sqref="K40" name="GEN_2_2_1_10_1"/>
    <protectedRange sqref="AD40:AG40" name="GEN_2_2_1_8_2"/>
    <protectedRange password="DCF4" sqref="A43:S44 T44:Z44 AC43:AH44 T43:AB43 H45:L47 AH45:AH51 T45:AF51 H48:I51 A45:F51 N45:R51 K48:L51" name="Range29_3"/>
  </protectedRanges>
  <dataConsolidate/>
  <mergeCells count="265">
    <mergeCell ref="T54:U54"/>
    <mergeCell ref="Q64:S64"/>
    <mergeCell ref="T64:U64"/>
    <mergeCell ref="S20:AI20"/>
    <mergeCell ref="S21:AA21"/>
    <mergeCell ref="S23:AA23"/>
    <mergeCell ref="AB23:AI23"/>
    <mergeCell ref="AB45:AE45"/>
    <mergeCell ref="A29:AH29"/>
    <mergeCell ref="A30:F31"/>
    <mergeCell ref="U30:V30"/>
    <mergeCell ref="AD30:AG30"/>
    <mergeCell ref="G31:J31"/>
    <mergeCell ref="AB31:AG31"/>
    <mergeCell ref="A32:F32"/>
    <mergeCell ref="G32:J32"/>
    <mergeCell ref="AB32:AG32"/>
    <mergeCell ref="P31:S31"/>
    <mergeCell ref="L31:O31"/>
    <mergeCell ref="P36:S36"/>
    <mergeCell ref="A35:F35"/>
    <mergeCell ref="G35:J35"/>
    <mergeCell ref="T35:U35"/>
    <mergeCell ref="W35:AA35"/>
    <mergeCell ref="A69:AH69"/>
    <mergeCell ref="A70:AH70"/>
    <mergeCell ref="T67:U67"/>
    <mergeCell ref="A73:AH73"/>
    <mergeCell ref="O67:P67"/>
    <mergeCell ref="K66:N66"/>
    <mergeCell ref="O66:P66"/>
    <mergeCell ref="Q61:S61"/>
    <mergeCell ref="Q66:S66"/>
    <mergeCell ref="T66:U66"/>
    <mergeCell ref="O64:P64"/>
    <mergeCell ref="K65:N65"/>
    <mergeCell ref="O65:P65"/>
    <mergeCell ref="K67:N67"/>
    <mergeCell ref="Q67:S67"/>
    <mergeCell ref="B60:S60"/>
    <mergeCell ref="B61:J61"/>
    <mergeCell ref="B62:J62"/>
    <mergeCell ref="B63:J63"/>
    <mergeCell ref="B64:J64"/>
    <mergeCell ref="B65:J65"/>
    <mergeCell ref="B66:J66"/>
    <mergeCell ref="B67:J67"/>
    <mergeCell ref="K61:N61"/>
    <mergeCell ref="O61:P61"/>
    <mergeCell ref="K62:N62"/>
    <mergeCell ref="O62:P62"/>
    <mergeCell ref="K63:N63"/>
    <mergeCell ref="O63:P63"/>
    <mergeCell ref="K64:N64"/>
    <mergeCell ref="H48:J48"/>
    <mergeCell ref="K48:M48"/>
    <mergeCell ref="O48:P48"/>
    <mergeCell ref="A34:F34"/>
    <mergeCell ref="G34:J34"/>
    <mergeCell ref="W34:AA34"/>
    <mergeCell ref="AB34:AG34"/>
    <mergeCell ref="L33:O33"/>
    <mergeCell ref="P33:S33"/>
    <mergeCell ref="L34:O34"/>
    <mergeCell ref="P34:S34"/>
    <mergeCell ref="AB35:AG35"/>
    <mergeCell ref="O44:R44"/>
    <mergeCell ref="S44:S45"/>
    <mergeCell ref="T45:U45"/>
    <mergeCell ref="T44:Y44"/>
    <mergeCell ref="Q48:R48"/>
    <mergeCell ref="T48:U48"/>
    <mergeCell ref="W48:Y48"/>
    <mergeCell ref="A33:F33"/>
    <mergeCell ref="G33:J33"/>
    <mergeCell ref="AB33:AG33"/>
    <mergeCell ref="L32:O32"/>
    <mergeCell ref="P32:S32"/>
    <mergeCell ref="Z58:AG58"/>
    <mergeCell ref="Z55:AG55"/>
    <mergeCell ref="K45:M45"/>
    <mergeCell ref="W45:Y45"/>
    <mergeCell ref="Z45:AA45"/>
    <mergeCell ref="K44:N44"/>
    <mergeCell ref="O45:P45"/>
    <mergeCell ref="Q45:R45"/>
    <mergeCell ref="Q57:S57"/>
    <mergeCell ref="B52:AG52"/>
    <mergeCell ref="Z54:AG54"/>
    <mergeCell ref="W46:Y46"/>
    <mergeCell ref="Z46:AA46"/>
    <mergeCell ref="AB46:AE46"/>
    <mergeCell ref="AF46:AG46"/>
    <mergeCell ref="B47:D47"/>
    <mergeCell ref="E50:AG50"/>
    <mergeCell ref="E51:AG51"/>
    <mergeCell ref="B51:D51"/>
    <mergeCell ref="B50:D50"/>
    <mergeCell ref="B49:D49"/>
    <mergeCell ref="K47:M47"/>
    <mergeCell ref="L35:O35"/>
    <mergeCell ref="P35:S35"/>
    <mergeCell ref="L36:O36"/>
    <mergeCell ref="O58:P58"/>
    <mergeCell ref="B57:G57"/>
    <mergeCell ref="H57:J57"/>
    <mergeCell ref="K57:N57"/>
    <mergeCell ref="O57:P57"/>
    <mergeCell ref="H55:J55"/>
    <mergeCell ref="K55:N55"/>
    <mergeCell ref="O55:P55"/>
    <mergeCell ref="P40:S40"/>
    <mergeCell ref="B43:AG43"/>
    <mergeCell ref="B56:G56"/>
    <mergeCell ref="H56:J56"/>
    <mergeCell ref="K56:N56"/>
    <mergeCell ref="O56:P56"/>
    <mergeCell ref="Q55:S55"/>
    <mergeCell ref="Q56:S56"/>
    <mergeCell ref="AB40:AG40"/>
    <mergeCell ref="L40:O40"/>
    <mergeCell ref="B44:D45"/>
    <mergeCell ref="E44:J44"/>
    <mergeCell ref="E45:G45"/>
    <mergeCell ref="D98:N98"/>
    <mergeCell ref="A87:AH87"/>
    <mergeCell ref="A98:C98"/>
    <mergeCell ref="W101:AH101"/>
    <mergeCell ref="W100:AH100"/>
    <mergeCell ref="W99:AH99"/>
    <mergeCell ref="A86:AH86"/>
    <mergeCell ref="A36:F36"/>
    <mergeCell ref="G36:J36"/>
    <mergeCell ref="T36:U36"/>
    <mergeCell ref="W36:AA36"/>
    <mergeCell ref="AB36:AG36"/>
    <mergeCell ref="H45:J45"/>
    <mergeCell ref="Z56:AG56"/>
    <mergeCell ref="Z57:AG57"/>
    <mergeCell ref="Z48:AA48"/>
    <mergeCell ref="AB48:AE48"/>
    <mergeCell ref="AF48:AG48"/>
    <mergeCell ref="E49:AG49"/>
    <mergeCell ref="O47:P47"/>
    <mergeCell ref="Q47:R47"/>
    <mergeCell ref="T47:U47"/>
    <mergeCell ref="W47:Y47"/>
    <mergeCell ref="Z47:AA47"/>
    <mergeCell ref="U9:Z9"/>
    <mergeCell ref="AA9:AD9"/>
    <mergeCell ref="AE9:AH9"/>
    <mergeCell ref="S19:AI19"/>
    <mergeCell ref="A8:F8"/>
    <mergeCell ref="G8:Q8"/>
    <mergeCell ref="R8:T8"/>
    <mergeCell ref="A101:C101"/>
    <mergeCell ref="D101:N101"/>
    <mergeCell ref="O101:V101"/>
    <mergeCell ref="O98:V98"/>
    <mergeCell ref="W98:AH98"/>
    <mergeCell ref="A99:C99"/>
    <mergeCell ref="D99:N99"/>
    <mergeCell ref="O99:V99"/>
    <mergeCell ref="A80:AH80"/>
    <mergeCell ref="A81:AH81"/>
    <mergeCell ref="A100:C100"/>
    <mergeCell ref="D100:N100"/>
    <mergeCell ref="O100:V100"/>
    <mergeCell ref="A88:AH88"/>
    <mergeCell ref="A89:AH89"/>
    <mergeCell ref="A96:AH96"/>
    <mergeCell ref="A97:AH97"/>
    <mergeCell ref="B54:G54"/>
    <mergeCell ref="H54:J54"/>
    <mergeCell ref="K54:N54"/>
    <mergeCell ref="O54:P54"/>
    <mergeCell ref="A38:AH38"/>
    <mergeCell ref="A40:F40"/>
    <mergeCell ref="G40:J40"/>
    <mergeCell ref="AF45:AG45"/>
    <mergeCell ref="Z44:AG44"/>
    <mergeCell ref="B46:D46"/>
    <mergeCell ref="E46:G46"/>
    <mergeCell ref="H46:J46"/>
    <mergeCell ref="K46:M46"/>
    <mergeCell ref="O46:P46"/>
    <mergeCell ref="Q46:R46"/>
    <mergeCell ref="T46:U46"/>
    <mergeCell ref="B53:U53"/>
    <mergeCell ref="Q54:S54"/>
    <mergeCell ref="E47:G47"/>
    <mergeCell ref="H47:J47"/>
    <mergeCell ref="AB47:AE47"/>
    <mergeCell ref="AF47:AG47"/>
    <mergeCell ref="B48:D48"/>
    <mergeCell ref="E48:G48"/>
    <mergeCell ref="A6:F6"/>
    <mergeCell ref="G6:Q6"/>
    <mergeCell ref="U8:Z8"/>
    <mergeCell ref="AA8:AD8"/>
    <mergeCell ref="AE8:AH8"/>
    <mergeCell ref="A23:R23"/>
    <mergeCell ref="A20:R20"/>
    <mergeCell ref="A21:R21"/>
    <mergeCell ref="A22:R22"/>
    <mergeCell ref="A7:F7"/>
    <mergeCell ref="G7:Q7"/>
    <mergeCell ref="R7:T7"/>
    <mergeCell ref="U7:Z7"/>
    <mergeCell ref="A14:AH14"/>
    <mergeCell ref="A15:AH15"/>
    <mergeCell ref="A13:AH13"/>
    <mergeCell ref="A19:R19"/>
    <mergeCell ref="AA7:AD7"/>
    <mergeCell ref="AE7:AH7"/>
    <mergeCell ref="A11:AH11"/>
    <mergeCell ref="A12:AH12"/>
    <mergeCell ref="A9:F9"/>
    <mergeCell ref="G9:Q9"/>
    <mergeCell ref="R9:T9"/>
    <mergeCell ref="AC1:AH2"/>
    <mergeCell ref="AC3:AH3"/>
    <mergeCell ref="AC5:AH5"/>
    <mergeCell ref="AC4:AH4"/>
    <mergeCell ref="Q65:S65"/>
    <mergeCell ref="T65:U65"/>
    <mergeCell ref="R6:T6"/>
    <mergeCell ref="U6:Z6"/>
    <mergeCell ref="AA6:AD6"/>
    <mergeCell ref="AE6:AH6"/>
    <mergeCell ref="A16:AH16"/>
    <mergeCell ref="A17:AH17"/>
    <mergeCell ref="A18:AH18"/>
    <mergeCell ref="A25:AH25"/>
    <mergeCell ref="A26:AH26"/>
    <mergeCell ref="A27:AH27"/>
    <mergeCell ref="A28:AH28"/>
    <mergeCell ref="A1:G5"/>
    <mergeCell ref="H1:AB5"/>
    <mergeCell ref="T61:U61"/>
    <mergeCell ref="Q62:S62"/>
    <mergeCell ref="T62:U62"/>
    <mergeCell ref="Q63:S63"/>
    <mergeCell ref="T63:U63"/>
    <mergeCell ref="A77:AH77"/>
    <mergeCell ref="A82:AH82"/>
    <mergeCell ref="A83:AH83"/>
    <mergeCell ref="A84:AH84"/>
    <mergeCell ref="A85:AH85"/>
    <mergeCell ref="A78:AH78"/>
    <mergeCell ref="A79:AH79"/>
    <mergeCell ref="A71:AH71"/>
    <mergeCell ref="A74:AH74"/>
    <mergeCell ref="A75:AH75"/>
    <mergeCell ref="A72:AH72"/>
    <mergeCell ref="A76:AH76"/>
    <mergeCell ref="B55:G55"/>
    <mergeCell ref="Q58:S58"/>
    <mergeCell ref="T55:U55"/>
    <mergeCell ref="T56:U56"/>
    <mergeCell ref="T57:U57"/>
    <mergeCell ref="T58:U58"/>
    <mergeCell ref="B58:G58"/>
    <mergeCell ref="H58:J58"/>
    <mergeCell ref="K58:N58"/>
  </mergeCells>
  <conditionalFormatting sqref="G35:J35 P35:S35">
    <cfRule type="dataBar" priority="2">
      <dataBar>
        <cfvo type="min"/>
        <cfvo type="max"/>
        <color rgb="FF638EC6"/>
      </dataBar>
      <extLst>
        <ext xmlns:x14="http://schemas.microsoft.com/office/spreadsheetml/2009/9/main" uri="{B025F937-C7B1-47D3-B67F-A62EFF666E3E}">
          <x14:id>{ABB8A73A-7974-41FC-90A5-DF9BB13146EC}</x14:id>
        </ext>
      </extLst>
    </cfRule>
  </conditionalFormatting>
  <conditionalFormatting sqref="G35:J35">
    <cfRule type="dataBar" priority="3">
      <dataBar>
        <cfvo type="min"/>
        <cfvo type="max"/>
        <color rgb="FF638EC6"/>
      </dataBar>
      <extLst>
        <ext xmlns:x14="http://schemas.microsoft.com/office/spreadsheetml/2009/9/main" uri="{B025F937-C7B1-47D3-B67F-A62EFF666E3E}">
          <x14:id>{87D1B3E2-BEE0-4AE6-80E1-F6E1D5730CE5}</x14:id>
        </ext>
      </extLst>
    </cfRule>
  </conditionalFormatting>
  <conditionalFormatting sqref="G36:J36 P36:S36">
    <cfRule type="dataBar" priority="1">
      <dataBar>
        <cfvo type="min"/>
        <cfvo type="max"/>
        <color rgb="FF638EC6"/>
      </dataBar>
      <extLst>
        <ext xmlns:x14="http://schemas.microsoft.com/office/spreadsheetml/2009/9/main" uri="{B025F937-C7B1-47D3-B67F-A62EFF666E3E}">
          <x14:id>{52D1936B-151F-46B4-B8F3-C36B2B21AF28}</x14:id>
        </ext>
      </extLst>
    </cfRule>
  </conditionalFormatting>
  <conditionalFormatting sqref="G36:J36">
    <cfRule type="dataBar" priority="4">
      <dataBar>
        <cfvo type="min"/>
        <cfvo type="max"/>
        <color rgb="FF638EC6"/>
      </dataBar>
      <extLst>
        <ext xmlns:x14="http://schemas.microsoft.com/office/spreadsheetml/2009/9/main" uri="{B025F937-C7B1-47D3-B67F-A62EFF666E3E}">
          <x14:id>{8A5845F5-B624-4713-9678-902FE4C1BBD9}</x14:id>
        </ext>
      </extLst>
    </cfRule>
  </conditionalFormatting>
  <dataValidations count="2">
    <dataValidation type="list" allowBlank="1" showInputMessage="1" showErrorMessage="1" sqref="AM33 AM35:AM36" xr:uid="{266F812F-67E7-4266-BC8D-52C9F0BA8184}">
      <formula1>INDIRECT($G$34)</formula1>
    </dataValidation>
    <dataValidation type="list" allowBlank="1" showInputMessage="1" showErrorMessage="1" sqref="C57:C58" xr:uid="{00000000-0002-0000-0200-000000000000}">
      <formula1>CLASE</formula1>
    </dataValidation>
  </dataValidations>
  <printOptions horizontalCentered="1"/>
  <pageMargins left="0.19685039370078741" right="0.19685039370078741" top="0.39370078740157483" bottom="0.39370078740157483" header="0" footer="0"/>
  <pageSetup scale="44" orientation="portrait" r:id="rId1"/>
  <rowBreaks count="1" manualBreakCount="1">
    <brk id="68" max="34" man="1"/>
  </rowBreaks>
  <ignoredErrors>
    <ignoredError sqref="L55:N55 H58:T58 T55:U57 L62:N62 O63:S65 K67:S67 L57:N57 L56:N56 P56 R56:S56 P55 R55:S55 P57 R57:S57 L66:N66 L63:N63 L64:N64 L65:N65 P62 R62:S62 P66 R66:S66" unlockedFormula="1"/>
  </ignoredErrors>
  <drawing r:id="rId2"/>
  <legacyDrawing r:id="rId3"/>
  <oleObjects>
    <mc:AlternateContent xmlns:mc="http://schemas.openxmlformats.org/markup-compatibility/2006">
      <mc:Choice Requires="x14">
        <oleObject progId="CorelDraw.Graphic.16" shapeId="1027" r:id="rId4">
          <objectPr defaultSize="0" autoPict="0" r:id="rId5">
            <anchor moveWithCells="1" sizeWithCells="1">
              <from>
                <xdr:col>31</xdr:col>
                <xdr:colOff>236220</xdr:colOff>
                <xdr:row>0</xdr:row>
                <xdr:rowOff>0</xdr:rowOff>
              </from>
              <to>
                <xdr:col>32</xdr:col>
                <xdr:colOff>381000</xdr:colOff>
                <xdr:row>4</xdr:row>
                <xdr:rowOff>144780</xdr:rowOff>
              </to>
            </anchor>
          </objectPr>
        </oleObject>
      </mc:Choice>
      <mc:Fallback>
        <oleObject progId="CorelDraw.Graphic.16" shapeId="1027" r:id="rId4"/>
      </mc:Fallback>
    </mc:AlternateContent>
  </oleObjects>
  <extLst>
    <ext xmlns:x14="http://schemas.microsoft.com/office/spreadsheetml/2009/9/main" uri="{78C0D931-6437-407d-A8EE-F0AAD7539E65}">
      <x14:conditionalFormattings>
        <x14:conditionalFormatting xmlns:xm="http://schemas.microsoft.com/office/excel/2006/main">
          <x14:cfRule type="dataBar" id="{ABB8A73A-7974-41FC-90A5-DF9BB13146EC}">
            <x14:dataBar minLength="0" maxLength="100" border="1" negativeBarBorderColorSameAsPositive="0">
              <x14:cfvo type="autoMin"/>
              <x14:cfvo type="autoMax"/>
              <x14:borderColor rgb="FF638EC6"/>
              <x14:negativeFillColor rgb="FFFF0000"/>
              <x14:negativeBorderColor rgb="FFFF0000"/>
              <x14:axisColor rgb="FF000000"/>
            </x14:dataBar>
          </x14:cfRule>
          <xm:sqref>G35:J35 P35:S35</xm:sqref>
        </x14:conditionalFormatting>
        <x14:conditionalFormatting xmlns:xm="http://schemas.microsoft.com/office/excel/2006/main">
          <x14:cfRule type="dataBar" id="{87D1B3E2-BEE0-4AE6-80E1-F6E1D5730CE5}">
            <x14:dataBar minLength="0" maxLength="100" border="1" negativeBarBorderColorSameAsPositive="0">
              <x14:cfvo type="autoMin"/>
              <x14:cfvo type="autoMax"/>
              <x14:borderColor rgb="FF638EC6"/>
              <x14:negativeFillColor rgb="FFFF0000"/>
              <x14:negativeBorderColor rgb="FFFF0000"/>
              <x14:axisColor rgb="FF000000"/>
            </x14:dataBar>
          </x14:cfRule>
          <xm:sqref>G35:J35</xm:sqref>
        </x14:conditionalFormatting>
        <x14:conditionalFormatting xmlns:xm="http://schemas.microsoft.com/office/excel/2006/main">
          <x14:cfRule type="dataBar" id="{52D1936B-151F-46B4-B8F3-C36B2B21AF28}">
            <x14:dataBar minLength="0" maxLength="100" border="1" negativeBarBorderColorSameAsPositive="0">
              <x14:cfvo type="autoMin"/>
              <x14:cfvo type="autoMax"/>
              <x14:borderColor rgb="FF638EC6"/>
              <x14:negativeFillColor rgb="FFFF0000"/>
              <x14:negativeBorderColor rgb="FFFF0000"/>
              <x14:axisColor rgb="FF000000"/>
            </x14:dataBar>
          </x14:cfRule>
          <xm:sqref>G36:J36 P36:S36</xm:sqref>
        </x14:conditionalFormatting>
        <x14:conditionalFormatting xmlns:xm="http://schemas.microsoft.com/office/excel/2006/main">
          <x14:cfRule type="dataBar" id="{8A5845F5-B624-4713-9678-902FE4C1BBD9}">
            <x14:dataBar minLength="0" maxLength="100" border="1" negativeBarBorderColorSameAsPositive="0">
              <x14:cfvo type="autoMin"/>
              <x14:cfvo type="autoMax"/>
              <x14:borderColor rgb="FF638EC6"/>
              <x14:negativeFillColor rgb="FFFF0000"/>
              <x14:negativeBorderColor rgb="FFFF0000"/>
              <x14:axisColor rgb="FF000000"/>
            </x14:dataBar>
          </x14:cfRule>
          <xm:sqref>G36:J36</xm:sqref>
        </x14:conditionalFormatting>
      </x14:conditionalFormattings>
    </ext>
    <ext xmlns:x14="http://schemas.microsoft.com/office/spreadsheetml/2009/9/main" uri="{CCE6A557-97BC-4b89-ADB6-D9C93CAAB3DF}">
      <x14:dataValidations xmlns:xm="http://schemas.microsoft.com/office/excel/2006/main" count="3">
        <x14:dataValidation type="list" allowBlank="1" showInputMessage="1" showErrorMessage="1" xr:uid="{8BF3C265-D856-40F3-9CB9-FEBC675517D5}">
          <x14:formula1>
            <xm:f>Hoja1!$A$10:$A$11</xm:f>
          </x14:formula1>
          <xm:sqref>V33</xm:sqref>
        </x14:dataValidation>
        <x14:dataValidation type="list" allowBlank="1" showInputMessage="1" showErrorMessage="1" xr:uid="{623C91F9-5F07-41A9-90EF-664C793B8ECF}">
          <x14:formula1>
            <xm:f>Hoja1!$A$15:$A$17</xm:f>
          </x14:formula1>
          <xm:sqref>V34</xm:sqref>
        </x14:dataValidation>
        <x14:dataValidation type="list" allowBlank="1" showInputMessage="1" showErrorMessage="1" xr:uid="{339E2A55-0E61-4FB7-A495-C7540A175FD9}">
          <x14:formula1>
            <xm:f>Hoja1!$A$6:$A$8</xm:f>
          </x14:formula1>
          <xm:sqref>P34:S34</xm:sqref>
        </x14:dataValidation>
      </x14:dataValidations>
    </ext>
  </extLs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Hoja5"/>
  <dimension ref="A1:AC476"/>
  <sheetViews>
    <sheetView showGridLines="0" tabSelected="1" view="pageBreakPreview" topLeftCell="A3" zoomScale="90" zoomScaleNormal="93" zoomScaleSheetLayoutView="90" zoomScalePageLayoutView="55" workbookViewId="0">
      <selection activeCell="H21" sqref="H21"/>
    </sheetView>
  </sheetViews>
  <sheetFormatPr baseColWidth="10" defaultColWidth="11.44140625" defaultRowHeight="13.2"/>
  <cols>
    <col min="1" max="1" width="8.5546875" style="184" customWidth="1"/>
    <col min="2" max="2" width="29.88671875" style="184" customWidth="1"/>
    <col min="3" max="4" width="10.6640625" style="202" customWidth="1"/>
    <col min="5" max="5" width="12.6640625" style="203" customWidth="1"/>
    <col min="6" max="6" width="14.6640625" style="203" customWidth="1"/>
    <col min="7" max="7" width="8.6640625" style="203" customWidth="1"/>
    <col min="8" max="11" width="5.6640625" style="203" customWidth="1"/>
    <col min="12" max="12" width="12.109375" style="184" customWidth="1"/>
    <col min="13" max="13" width="8.6640625" style="184" customWidth="1"/>
    <col min="14" max="15" width="10.6640625" style="184" customWidth="1"/>
    <col min="16" max="16" width="8.6640625" style="184" customWidth="1"/>
    <col min="17" max="17" width="10.6640625" style="184" customWidth="1"/>
    <col min="18" max="18" width="14.6640625" style="197" customWidth="1"/>
    <col min="19" max="20" width="4.6640625" style="197" customWidth="1"/>
    <col min="21" max="21" width="8" style="197" customWidth="1"/>
    <col min="22" max="22" width="16.6640625" style="197" customWidth="1"/>
    <col min="23" max="23" width="14.6640625" style="184" customWidth="1"/>
    <col min="24" max="24" width="42.109375" style="184" customWidth="1"/>
    <col min="25" max="26" width="12.33203125" style="184" customWidth="1"/>
    <col min="27" max="29" width="11.44140625" style="185" customWidth="1"/>
    <col min="30" max="239" width="11.44140625" style="185"/>
    <col min="240" max="240" width="1.5546875" style="185" customWidth="1"/>
    <col min="241" max="241" width="4.6640625" style="185" customWidth="1"/>
    <col min="242" max="242" width="5" style="185" customWidth="1"/>
    <col min="243" max="245" width="8.33203125" style="185" customWidth="1"/>
    <col min="246" max="246" width="15.44140625" style="185" customWidth="1"/>
    <col min="247" max="247" width="19.33203125" style="185" customWidth="1"/>
    <col min="248" max="248" width="11" style="185" customWidth="1"/>
    <col min="249" max="252" width="4.88671875" style="185" customWidth="1"/>
    <col min="253" max="254" width="5.44140625" style="185" customWidth="1"/>
    <col min="255" max="255" width="6.44140625" style="185" customWidth="1"/>
    <col min="256" max="256" width="7.109375" style="185" customWidth="1"/>
    <col min="257" max="257" width="7.33203125" style="185" customWidth="1"/>
    <col min="258" max="258" width="7" style="185" customWidth="1"/>
    <col min="259" max="259" width="7.44140625" style="185" customWidth="1"/>
    <col min="260" max="260" width="5.88671875" style="185" customWidth="1"/>
    <col min="261" max="264" width="4.6640625" style="185" customWidth="1"/>
    <col min="265" max="495" width="11.44140625" style="185"/>
    <col min="496" max="496" width="1.5546875" style="185" customWidth="1"/>
    <col min="497" max="497" width="4.6640625" style="185" customWidth="1"/>
    <col min="498" max="498" width="5" style="185" customWidth="1"/>
    <col min="499" max="501" width="8.33203125" style="185" customWidth="1"/>
    <col min="502" max="502" width="15.44140625" style="185" customWidth="1"/>
    <col min="503" max="503" width="19.33203125" style="185" customWidth="1"/>
    <col min="504" max="504" width="11" style="185" customWidth="1"/>
    <col min="505" max="508" width="4.88671875" style="185" customWidth="1"/>
    <col min="509" max="510" width="5.44140625" style="185" customWidth="1"/>
    <col min="511" max="511" width="6.44140625" style="185" customWidth="1"/>
    <col min="512" max="512" width="7.109375" style="185" customWidth="1"/>
    <col min="513" max="513" width="7.33203125" style="185" customWidth="1"/>
    <col min="514" max="514" width="7" style="185" customWidth="1"/>
    <col min="515" max="515" width="7.44140625" style="185" customWidth="1"/>
    <col min="516" max="516" width="5.88671875" style="185" customWidth="1"/>
    <col min="517" max="520" width="4.6640625" style="185" customWidth="1"/>
    <col min="521" max="751" width="11.44140625" style="185"/>
    <col min="752" max="752" width="1.5546875" style="185" customWidth="1"/>
    <col min="753" max="753" width="4.6640625" style="185" customWidth="1"/>
    <col min="754" max="754" width="5" style="185" customWidth="1"/>
    <col min="755" max="757" width="8.33203125" style="185" customWidth="1"/>
    <col min="758" max="758" width="15.44140625" style="185" customWidth="1"/>
    <col min="759" max="759" width="19.33203125" style="185" customWidth="1"/>
    <col min="760" max="760" width="11" style="185" customWidth="1"/>
    <col min="761" max="764" width="4.88671875" style="185" customWidth="1"/>
    <col min="765" max="766" width="5.44140625" style="185" customWidth="1"/>
    <col min="767" max="767" width="6.44140625" style="185" customWidth="1"/>
    <col min="768" max="768" width="7.109375" style="185" customWidth="1"/>
    <col min="769" max="769" width="7.33203125" style="185" customWidth="1"/>
    <col min="770" max="770" width="7" style="185" customWidth="1"/>
    <col min="771" max="771" width="7.44140625" style="185" customWidth="1"/>
    <col min="772" max="772" width="5.88671875" style="185" customWidth="1"/>
    <col min="773" max="776" width="4.6640625" style="185" customWidth="1"/>
    <col min="777" max="1007" width="11.44140625" style="185"/>
    <col min="1008" max="1008" width="1.5546875" style="185" customWidth="1"/>
    <col min="1009" max="1009" width="4.6640625" style="185" customWidth="1"/>
    <col min="1010" max="1010" width="5" style="185" customWidth="1"/>
    <col min="1011" max="1013" width="8.33203125" style="185" customWidth="1"/>
    <col min="1014" max="1014" width="15.44140625" style="185" customWidth="1"/>
    <col min="1015" max="1015" width="19.33203125" style="185" customWidth="1"/>
    <col min="1016" max="1016" width="11" style="185" customWidth="1"/>
    <col min="1017" max="1020" width="4.88671875" style="185" customWidth="1"/>
    <col min="1021" max="1022" width="5.44140625" style="185" customWidth="1"/>
    <col min="1023" max="1023" width="6.44140625" style="185" customWidth="1"/>
    <col min="1024" max="1024" width="7.109375" style="185" customWidth="1"/>
    <col min="1025" max="1025" width="7.33203125" style="185" customWidth="1"/>
    <col min="1026" max="1026" width="7" style="185" customWidth="1"/>
    <col min="1027" max="1027" width="7.44140625" style="185" customWidth="1"/>
    <col min="1028" max="1028" width="5.88671875" style="185" customWidth="1"/>
    <col min="1029" max="1032" width="4.6640625" style="185" customWidth="1"/>
    <col min="1033" max="1263" width="11.44140625" style="185"/>
    <col min="1264" max="1264" width="1.5546875" style="185" customWidth="1"/>
    <col min="1265" max="1265" width="4.6640625" style="185" customWidth="1"/>
    <col min="1266" max="1266" width="5" style="185" customWidth="1"/>
    <col min="1267" max="1269" width="8.33203125" style="185" customWidth="1"/>
    <col min="1270" max="1270" width="15.44140625" style="185" customWidth="1"/>
    <col min="1271" max="1271" width="19.33203125" style="185" customWidth="1"/>
    <col min="1272" max="1272" width="11" style="185" customWidth="1"/>
    <col min="1273" max="1276" width="4.88671875" style="185" customWidth="1"/>
    <col min="1277" max="1278" width="5.44140625" style="185" customWidth="1"/>
    <col min="1279" max="1279" width="6.44140625" style="185" customWidth="1"/>
    <col min="1280" max="1280" width="7.109375" style="185" customWidth="1"/>
    <col min="1281" max="1281" width="7.33203125" style="185" customWidth="1"/>
    <col min="1282" max="1282" width="7" style="185" customWidth="1"/>
    <col min="1283" max="1283" width="7.44140625" style="185" customWidth="1"/>
    <col min="1284" max="1284" width="5.88671875" style="185" customWidth="1"/>
    <col min="1285" max="1288" width="4.6640625" style="185" customWidth="1"/>
    <col min="1289" max="1519" width="11.44140625" style="185"/>
    <col min="1520" max="1520" width="1.5546875" style="185" customWidth="1"/>
    <col min="1521" max="1521" width="4.6640625" style="185" customWidth="1"/>
    <col min="1522" max="1522" width="5" style="185" customWidth="1"/>
    <col min="1523" max="1525" width="8.33203125" style="185" customWidth="1"/>
    <col min="1526" max="1526" width="15.44140625" style="185" customWidth="1"/>
    <col min="1527" max="1527" width="19.33203125" style="185" customWidth="1"/>
    <col min="1528" max="1528" width="11" style="185" customWidth="1"/>
    <col min="1529" max="1532" width="4.88671875" style="185" customWidth="1"/>
    <col min="1533" max="1534" width="5.44140625" style="185" customWidth="1"/>
    <col min="1535" max="1535" width="6.44140625" style="185" customWidth="1"/>
    <col min="1536" max="1536" width="7.109375" style="185" customWidth="1"/>
    <col min="1537" max="1537" width="7.33203125" style="185" customWidth="1"/>
    <col min="1538" max="1538" width="7" style="185" customWidth="1"/>
    <col min="1539" max="1539" width="7.44140625" style="185" customWidth="1"/>
    <col min="1540" max="1540" width="5.88671875" style="185" customWidth="1"/>
    <col min="1541" max="1544" width="4.6640625" style="185" customWidth="1"/>
    <col min="1545" max="1775" width="11.44140625" style="185"/>
    <col min="1776" max="1776" width="1.5546875" style="185" customWidth="1"/>
    <col min="1777" max="1777" width="4.6640625" style="185" customWidth="1"/>
    <col min="1778" max="1778" width="5" style="185" customWidth="1"/>
    <col min="1779" max="1781" width="8.33203125" style="185" customWidth="1"/>
    <col min="1782" max="1782" width="15.44140625" style="185" customWidth="1"/>
    <col min="1783" max="1783" width="19.33203125" style="185" customWidth="1"/>
    <col min="1784" max="1784" width="11" style="185" customWidth="1"/>
    <col min="1785" max="1788" width="4.88671875" style="185" customWidth="1"/>
    <col min="1789" max="1790" width="5.44140625" style="185" customWidth="1"/>
    <col min="1791" max="1791" width="6.44140625" style="185" customWidth="1"/>
    <col min="1792" max="1792" width="7.109375" style="185" customWidth="1"/>
    <col min="1793" max="1793" width="7.33203125" style="185" customWidth="1"/>
    <col min="1794" max="1794" width="7" style="185" customWidth="1"/>
    <col min="1795" max="1795" width="7.44140625" style="185" customWidth="1"/>
    <col min="1796" max="1796" width="5.88671875" style="185" customWidth="1"/>
    <col min="1797" max="1800" width="4.6640625" style="185" customWidth="1"/>
    <col min="1801" max="2031" width="11.44140625" style="185"/>
    <col min="2032" max="2032" width="1.5546875" style="185" customWidth="1"/>
    <col min="2033" max="2033" width="4.6640625" style="185" customWidth="1"/>
    <col min="2034" max="2034" width="5" style="185" customWidth="1"/>
    <col min="2035" max="2037" width="8.33203125" style="185" customWidth="1"/>
    <col min="2038" max="2038" width="15.44140625" style="185" customWidth="1"/>
    <col min="2039" max="2039" width="19.33203125" style="185" customWidth="1"/>
    <col min="2040" max="2040" width="11" style="185" customWidth="1"/>
    <col min="2041" max="2044" width="4.88671875" style="185" customWidth="1"/>
    <col min="2045" max="2046" width="5.44140625" style="185" customWidth="1"/>
    <col min="2047" max="2047" width="6.44140625" style="185" customWidth="1"/>
    <col min="2048" max="2048" width="7.109375" style="185" customWidth="1"/>
    <col min="2049" max="2049" width="7.33203125" style="185" customWidth="1"/>
    <col min="2050" max="2050" width="7" style="185" customWidth="1"/>
    <col min="2051" max="2051" width="7.44140625" style="185" customWidth="1"/>
    <col min="2052" max="2052" width="5.88671875" style="185" customWidth="1"/>
    <col min="2053" max="2056" width="4.6640625" style="185" customWidth="1"/>
    <col min="2057" max="2287" width="11.44140625" style="185"/>
    <col min="2288" max="2288" width="1.5546875" style="185" customWidth="1"/>
    <col min="2289" max="2289" width="4.6640625" style="185" customWidth="1"/>
    <col min="2290" max="2290" width="5" style="185" customWidth="1"/>
    <col min="2291" max="2293" width="8.33203125" style="185" customWidth="1"/>
    <col min="2294" max="2294" width="15.44140625" style="185" customWidth="1"/>
    <col min="2295" max="2295" width="19.33203125" style="185" customWidth="1"/>
    <col min="2296" max="2296" width="11" style="185" customWidth="1"/>
    <col min="2297" max="2300" width="4.88671875" style="185" customWidth="1"/>
    <col min="2301" max="2302" width="5.44140625" style="185" customWidth="1"/>
    <col min="2303" max="2303" width="6.44140625" style="185" customWidth="1"/>
    <col min="2304" max="2304" width="7.109375" style="185" customWidth="1"/>
    <col min="2305" max="2305" width="7.33203125" style="185" customWidth="1"/>
    <col min="2306" max="2306" width="7" style="185" customWidth="1"/>
    <col min="2307" max="2307" width="7.44140625" style="185" customWidth="1"/>
    <col min="2308" max="2308" width="5.88671875" style="185" customWidth="1"/>
    <col min="2309" max="2312" width="4.6640625" style="185" customWidth="1"/>
    <col min="2313" max="2543" width="11.44140625" style="185"/>
    <col min="2544" max="2544" width="1.5546875" style="185" customWidth="1"/>
    <col min="2545" max="2545" width="4.6640625" style="185" customWidth="1"/>
    <col min="2546" max="2546" width="5" style="185" customWidth="1"/>
    <col min="2547" max="2549" width="8.33203125" style="185" customWidth="1"/>
    <col min="2550" max="2550" width="15.44140625" style="185" customWidth="1"/>
    <col min="2551" max="2551" width="19.33203125" style="185" customWidth="1"/>
    <col min="2552" max="2552" width="11" style="185" customWidth="1"/>
    <col min="2553" max="2556" width="4.88671875" style="185" customWidth="1"/>
    <col min="2557" max="2558" width="5.44140625" style="185" customWidth="1"/>
    <col min="2559" max="2559" width="6.44140625" style="185" customWidth="1"/>
    <col min="2560" max="2560" width="7.109375" style="185" customWidth="1"/>
    <col min="2561" max="2561" width="7.33203125" style="185" customWidth="1"/>
    <col min="2562" max="2562" width="7" style="185" customWidth="1"/>
    <col min="2563" max="2563" width="7.44140625" style="185" customWidth="1"/>
    <col min="2564" max="2564" width="5.88671875" style="185" customWidth="1"/>
    <col min="2565" max="2568" width="4.6640625" style="185" customWidth="1"/>
    <col min="2569" max="2799" width="11.44140625" style="185"/>
    <col min="2800" max="2800" width="1.5546875" style="185" customWidth="1"/>
    <col min="2801" max="2801" width="4.6640625" style="185" customWidth="1"/>
    <col min="2802" max="2802" width="5" style="185" customWidth="1"/>
    <col min="2803" max="2805" width="8.33203125" style="185" customWidth="1"/>
    <col min="2806" max="2806" width="15.44140625" style="185" customWidth="1"/>
    <col min="2807" max="2807" width="19.33203125" style="185" customWidth="1"/>
    <col min="2808" max="2808" width="11" style="185" customWidth="1"/>
    <col min="2809" max="2812" width="4.88671875" style="185" customWidth="1"/>
    <col min="2813" max="2814" width="5.44140625" style="185" customWidth="1"/>
    <col min="2815" max="2815" width="6.44140625" style="185" customWidth="1"/>
    <col min="2816" max="2816" width="7.109375" style="185" customWidth="1"/>
    <col min="2817" max="2817" width="7.33203125" style="185" customWidth="1"/>
    <col min="2818" max="2818" width="7" style="185" customWidth="1"/>
    <col min="2819" max="2819" width="7.44140625" style="185" customWidth="1"/>
    <col min="2820" max="2820" width="5.88671875" style="185" customWidth="1"/>
    <col min="2821" max="2824" width="4.6640625" style="185" customWidth="1"/>
    <col min="2825" max="3055" width="11.44140625" style="185"/>
    <col min="3056" max="3056" width="1.5546875" style="185" customWidth="1"/>
    <col min="3057" max="3057" width="4.6640625" style="185" customWidth="1"/>
    <col min="3058" max="3058" width="5" style="185" customWidth="1"/>
    <col min="3059" max="3061" width="8.33203125" style="185" customWidth="1"/>
    <col min="3062" max="3062" width="15.44140625" style="185" customWidth="1"/>
    <col min="3063" max="3063" width="19.33203125" style="185" customWidth="1"/>
    <col min="3064" max="3064" width="11" style="185" customWidth="1"/>
    <col min="3065" max="3068" width="4.88671875" style="185" customWidth="1"/>
    <col min="3069" max="3070" width="5.44140625" style="185" customWidth="1"/>
    <col min="3071" max="3071" width="6.44140625" style="185" customWidth="1"/>
    <col min="3072" max="3072" width="7.109375" style="185" customWidth="1"/>
    <col min="3073" max="3073" width="7.33203125" style="185" customWidth="1"/>
    <col min="3074" max="3074" width="7" style="185" customWidth="1"/>
    <col min="3075" max="3075" width="7.44140625" style="185" customWidth="1"/>
    <col min="3076" max="3076" width="5.88671875" style="185" customWidth="1"/>
    <col min="3077" max="3080" width="4.6640625" style="185" customWidth="1"/>
    <col min="3081" max="3311" width="11.44140625" style="185"/>
    <col min="3312" max="3312" width="1.5546875" style="185" customWidth="1"/>
    <col min="3313" max="3313" width="4.6640625" style="185" customWidth="1"/>
    <col min="3314" max="3314" width="5" style="185" customWidth="1"/>
    <col min="3315" max="3317" width="8.33203125" style="185" customWidth="1"/>
    <col min="3318" max="3318" width="15.44140625" style="185" customWidth="1"/>
    <col min="3319" max="3319" width="19.33203125" style="185" customWidth="1"/>
    <col min="3320" max="3320" width="11" style="185" customWidth="1"/>
    <col min="3321" max="3324" width="4.88671875" style="185" customWidth="1"/>
    <col min="3325" max="3326" width="5.44140625" style="185" customWidth="1"/>
    <col min="3327" max="3327" width="6.44140625" style="185" customWidth="1"/>
    <col min="3328" max="3328" width="7.109375" style="185" customWidth="1"/>
    <col min="3329" max="3329" width="7.33203125" style="185" customWidth="1"/>
    <col min="3330" max="3330" width="7" style="185" customWidth="1"/>
    <col min="3331" max="3331" width="7.44140625" style="185" customWidth="1"/>
    <col min="3332" max="3332" width="5.88671875" style="185" customWidth="1"/>
    <col min="3333" max="3336" width="4.6640625" style="185" customWidth="1"/>
    <col min="3337" max="3567" width="11.44140625" style="185"/>
    <col min="3568" max="3568" width="1.5546875" style="185" customWidth="1"/>
    <col min="3569" max="3569" width="4.6640625" style="185" customWidth="1"/>
    <col min="3570" max="3570" width="5" style="185" customWidth="1"/>
    <col min="3571" max="3573" width="8.33203125" style="185" customWidth="1"/>
    <col min="3574" max="3574" width="15.44140625" style="185" customWidth="1"/>
    <col min="3575" max="3575" width="19.33203125" style="185" customWidth="1"/>
    <col min="3576" max="3576" width="11" style="185" customWidth="1"/>
    <col min="3577" max="3580" width="4.88671875" style="185" customWidth="1"/>
    <col min="3581" max="3582" width="5.44140625" style="185" customWidth="1"/>
    <col min="3583" max="3583" width="6.44140625" style="185" customWidth="1"/>
    <col min="3584" max="3584" width="7.109375" style="185" customWidth="1"/>
    <col min="3585" max="3585" width="7.33203125" style="185" customWidth="1"/>
    <col min="3586" max="3586" width="7" style="185" customWidth="1"/>
    <col min="3587" max="3587" width="7.44140625" style="185" customWidth="1"/>
    <col min="3588" max="3588" width="5.88671875" style="185" customWidth="1"/>
    <col min="3589" max="3592" width="4.6640625" style="185" customWidth="1"/>
    <col min="3593" max="3823" width="11.44140625" style="185"/>
    <col min="3824" max="3824" width="1.5546875" style="185" customWidth="1"/>
    <col min="3825" max="3825" width="4.6640625" style="185" customWidth="1"/>
    <col min="3826" max="3826" width="5" style="185" customWidth="1"/>
    <col min="3827" max="3829" width="8.33203125" style="185" customWidth="1"/>
    <col min="3830" max="3830" width="15.44140625" style="185" customWidth="1"/>
    <col min="3831" max="3831" width="19.33203125" style="185" customWidth="1"/>
    <col min="3832" max="3832" width="11" style="185" customWidth="1"/>
    <col min="3833" max="3836" width="4.88671875" style="185" customWidth="1"/>
    <col min="3837" max="3838" width="5.44140625" style="185" customWidth="1"/>
    <col min="3839" max="3839" width="6.44140625" style="185" customWidth="1"/>
    <col min="3840" max="3840" width="7.109375" style="185" customWidth="1"/>
    <col min="3841" max="3841" width="7.33203125" style="185" customWidth="1"/>
    <col min="3842" max="3842" width="7" style="185" customWidth="1"/>
    <col min="3843" max="3843" width="7.44140625" style="185" customWidth="1"/>
    <col min="3844" max="3844" width="5.88671875" style="185" customWidth="1"/>
    <col min="3845" max="3848" width="4.6640625" style="185" customWidth="1"/>
    <col min="3849" max="4079" width="11.44140625" style="185"/>
    <col min="4080" max="4080" width="1.5546875" style="185" customWidth="1"/>
    <col min="4081" max="4081" width="4.6640625" style="185" customWidth="1"/>
    <col min="4082" max="4082" width="5" style="185" customWidth="1"/>
    <col min="4083" max="4085" width="8.33203125" style="185" customWidth="1"/>
    <col min="4086" max="4086" width="15.44140625" style="185" customWidth="1"/>
    <col min="4087" max="4087" width="19.33203125" style="185" customWidth="1"/>
    <col min="4088" max="4088" width="11" style="185" customWidth="1"/>
    <col min="4089" max="4092" width="4.88671875" style="185" customWidth="1"/>
    <col min="4093" max="4094" width="5.44140625" style="185" customWidth="1"/>
    <col min="4095" max="4095" width="6.44140625" style="185" customWidth="1"/>
    <col min="4096" max="4096" width="7.109375" style="185" customWidth="1"/>
    <col min="4097" max="4097" width="7.33203125" style="185" customWidth="1"/>
    <col min="4098" max="4098" width="7" style="185" customWidth="1"/>
    <col min="4099" max="4099" width="7.44140625" style="185" customWidth="1"/>
    <col min="4100" max="4100" width="5.88671875" style="185" customWidth="1"/>
    <col min="4101" max="4104" width="4.6640625" style="185" customWidth="1"/>
    <col min="4105" max="4335" width="11.44140625" style="185"/>
    <col min="4336" max="4336" width="1.5546875" style="185" customWidth="1"/>
    <col min="4337" max="4337" width="4.6640625" style="185" customWidth="1"/>
    <col min="4338" max="4338" width="5" style="185" customWidth="1"/>
    <col min="4339" max="4341" width="8.33203125" style="185" customWidth="1"/>
    <col min="4342" max="4342" width="15.44140625" style="185" customWidth="1"/>
    <col min="4343" max="4343" width="19.33203125" style="185" customWidth="1"/>
    <col min="4344" max="4344" width="11" style="185" customWidth="1"/>
    <col min="4345" max="4348" width="4.88671875" style="185" customWidth="1"/>
    <col min="4349" max="4350" width="5.44140625" style="185" customWidth="1"/>
    <col min="4351" max="4351" width="6.44140625" style="185" customWidth="1"/>
    <col min="4352" max="4352" width="7.109375" style="185" customWidth="1"/>
    <col min="4353" max="4353" width="7.33203125" style="185" customWidth="1"/>
    <col min="4354" max="4354" width="7" style="185" customWidth="1"/>
    <col min="4355" max="4355" width="7.44140625" style="185" customWidth="1"/>
    <col min="4356" max="4356" width="5.88671875" style="185" customWidth="1"/>
    <col min="4357" max="4360" width="4.6640625" style="185" customWidth="1"/>
    <col min="4361" max="4591" width="11.44140625" style="185"/>
    <col min="4592" max="4592" width="1.5546875" style="185" customWidth="1"/>
    <col min="4593" max="4593" width="4.6640625" style="185" customWidth="1"/>
    <col min="4594" max="4594" width="5" style="185" customWidth="1"/>
    <col min="4595" max="4597" width="8.33203125" style="185" customWidth="1"/>
    <col min="4598" max="4598" width="15.44140625" style="185" customWidth="1"/>
    <col min="4599" max="4599" width="19.33203125" style="185" customWidth="1"/>
    <col min="4600" max="4600" width="11" style="185" customWidth="1"/>
    <col min="4601" max="4604" width="4.88671875" style="185" customWidth="1"/>
    <col min="4605" max="4606" width="5.44140625" style="185" customWidth="1"/>
    <col min="4607" max="4607" width="6.44140625" style="185" customWidth="1"/>
    <col min="4608" max="4608" width="7.109375" style="185" customWidth="1"/>
    <col min="4609" max="4609" width="7.33203125" style="185" customWidth="1"/>
    <col min="4610" max="4610" width="7" style="185" customWidth="1"/>
    <col min="4611" max="4611" width="7.44140625" style="185" customWidth="1"/>
    <col min="4612" max="4612" width="5.88671875" style="185" customWidth="1"/>
    <col min="4613" max="4616" width="4.6640625" style="185" customWidth="1"/>
    <col min="4617" max="4847" width="11.44140625" style="185"/>
    <col min="4848" max="4848" width="1.5546875" style="185" customWidth="1"/>
    <col min="4849" max="4849" width="4.6640625" style="185" customWidth="1"/>
    <col min="4850" max="4850" width="5" style="185" customWidth="1"/>
    <col min="4851" max="4853" width="8.33203125" style="185" customWidth="1"/>
    <col min="4854" max="4854" width="15.44140625" style="185" customWidth="1"/>
    <col min="4855" max="4855" width="19.33203125" style="185" customWidth="1"/>
    <col min="4856" max="4856" width="11" style="185" customWidth="1"/>
    <col min="4857" max="4860" width="4.88671875" style="185" customWidth="1"/>
    <col min="4861" max="4862" width="5.44140625" style="185" customWidth="1"/>
    <col min="4863" max="4863" width="6.44140625" style="185" customWidth="1"/>
    <col min="4864" max="4864" width="7.109375" style="185" customWidth="1"/>
    <col min="4865" max="4865" width="7.33203125" style="185" customWidth="1"/>
    <col min="4866" max="4866" width="7" style="185" customWidth="1"/>
    <col min="4867" max="4867" width="7.44140625" style="185" customWidth="1"/>
    <col min="4868" max="4868" width="5.88671875" style="185" customWidth="1"/>
    <col min="4869" max="4872" width="4.6640625" style="185" customWidth="1"/>
    <col min="4873" max="5103" width="11.44140625" style="185"/>
    <col min="5104" max="5104" width="1.5546875" style="185" customWidth="1"/>
    <col min="5105" max="5105" width="4.6640625" style="185" customWidth="1"/>
    <col min="5106" max="5106" width="5" style="185" customWidth="1"/>
    <col min="5107" max="5109" width="8.33203125" style="185" customWidth="1"/>
    <col min="5110" max="5110" width="15.44140625" style="185" customWidth="1"/>
    <col min="5111" max="5111" width="19.33203125" style="185" customWidth="1"/>
    <col min="5112" max="5112" width="11" style="185" customWidth="1"/>
    <col min="5113" max="5116" width="4.88671875" style="185" customWidth="1"/>
    <col min="5117" max="5118" width="5.44140625" style="185" customWidth="1"/>
    <col min="5119" max="5119" width="6.44140625" style="185" customWidth="1"/>
    <col min="5120" max="5120" width="7.109375" style="185" customWidth="1"/>
    <col min="5121" max="5121" width="7.33203125" style="185" customWidth="1"/>
    <col min="5122" max="5122" width="7" style="185" customWidth="1"/>
    <col min="5123" max="5123" width="7.44140625" style="185" customWidth="1"/>
    <col min="5124" max="5124" width="5.88671875" style="185" customWidth="1"/>
    <col min="5125" max="5128" width="4.6640625" style="185" customWidth="1"/>
    <col min="5129" max="5359" width="11.44140625" style="185"/>
    <col min="5360" max="5360" width="1.5546875" style="185" customWidth="1"/>
    <col min="5361" max="5361" width="4.6640625" style="185" customWidth="1"/>
    <col min="5362" max="5362" width="5" style="185" customWidth="1"/>
    <col min="5363" max="5365" width="8.33203125" style="185" customWidth="1"/>
    <col min="5366" max="5366" width="15.44140625" style="185" customWidth="1"/>
    <col min="5367" max="5367" width="19.33203125" style="185" customWidth="1"/>
    <col min="5368" max="5368" width="11" style="185" customWidth="1"/>
    <col min="5369" max="5372" width="4.88671875" style="185" customWidth="1"/>
    <col min="5373" max="5374" width="5.44140625" style="185" customWidth="1"/>
    <col min="5375" max="5375" width="6.44140625" style="185" customWidth="1"/>
    <col min="5376" max="5376" width="7.109375" style="185" customWidth="1"/>
    <col min="5377" max="5377" width="7.33203125" style="185" customWidth="1"/>
    <col min="5378" max="5378" width="7" style="185" customWidth="1"/>
    <col min="5379" max="5379" width="7.44140625" style="185" customWidth="1"/>
    <col min="5380" max="5380" width="5.88671875" style="185" customWidth="1"/>
    <col min="5381" max="5384" width="4.6640625" style="185" customWidth="1"/>
    <col min="5385" max="5615" width="11.44140625" style="185"/>
    <col min="5616" max="5616" width="1.5546875" style="185" customWidth="1"/>
    <col min="5617" max="5617" width="4.6640625" style="185" customWidth="1"/>
    <col min="5618" max="5618" width="5" style="185" customWidth="1"/>
    <col min="5619" max="5621" width="8.33203125" style="185" customWidth="1"/>
    <col min="5622" max="5622" width="15.44140625" style="185" customWidth="1"/>
    <col min="5623" max="5623" width="19.33203125" style="185" customWidth="1"/>
    <col min="5624" max="5624" width="11" style="185" customWidth="1"/>
    <col min="5625" max="5628" width="4.88671875" style="185" customWidth="1"/>
    <col min="5629" max="5630" width="5.44140625" style="185" customWidth="1"/>
    <col min="5631" max="5631" width="6.44140625" style="185" customWidth="1"/>
    <col min="5632" max="5632" width="7.109375" style="185" customWidth="1"/>
    <col min="5633" max="5633" width="7.33203125" style="185" customWidth="1"/>
    <col min="5634" max="5634" width="7" style="185" customWidth="1"/>
    <col min="5635" max="5635" width="7.44140625" style="185" customWidth="1"/>
    <col min="5636" max="5636" width="5.88671875" style="185" customWidth="1"/>
    <col min="5637" max="5640" width="4.6640625" style="185" customWidth="1"/>
    <col min="5641" max="5871" width="11.44140625" style="185"/>
    <col min="5872" max="5872" width="1.5546875" style="185" customWidth="1"/>
    <col min="5873" max="5873" width="4.6640625" style="185" customWidth="1"/>
    <col min="5874" max="5874" width="5" style="185" customWidth="1"/>
    <col min="5875" max="5877" width="8.33203125" style="185" customWidth="1"/>
    <col min="5878" max="5878" width="15.44140625" style="185" customWidth="1"/>
    <col min="5879" max="5879" width="19.33203125" style="185" customWidth="1"/>
    <col min="5880" max="5880" width="11" style="185" customWidth="1"/>
    <col min="5881" max="5884" width="4.88671875" style="185" customWidth="1"/>
    <col min="5885" max="5886" width="5.44140625" style="185" customWidth="1"/>
    <col min="5887" max="5887" width="6.44140625" style="185" customWidth="1"/>
    <col min="5888" max="5888" width="7.109375" style="185" customWidth="1"/>
    <col min="5889" max="5889" width="7.33203125" style="185" customWidth="1"/>
    <col min="5890" max="5890" width="7" style="185" customWidth="1"/>
    <col min="5891" max="5891" width="7.44140625" style="185" customWidth="1"/>
    <col min="5892" max="5892" width="5.88671875" style="185" customWidth="1"/>
    <col min="5893" max="5896" width="4.6640625" style="185" customWidth="1"/>
    <col min="5897" max="6127" width="11.44140625" style="185"/>
    <col min="6128" max="6128" width="1.5546875" style="185" customWidth="1"/>
    <col min="6129" max="6129" width="4.6640625" style="185" customWidth="1"/>
    <col min="6130" max="6130" width="5" style="185" customWidth="1"/>
    <col min="6131" max="6133" width="8.33203125" style="185" customWidth="1"/>
    <col min="6134" max="6134" width="15.44140625" style="185" customWidth="1"/>
    <col min="6135" max="6135" width="19.33203125" style="185" customWidth="1"/>
    <col min="6136" max="6136" width="11" style="185" customWidth="1"/>
    <col min="6137" max="6140" width="4.88671875" style="185" customWidth="1"/>
    <col min="6141" max="6142" width="5.44140625" style="185" customWidth="1"/>
    <col min="6143" max="6143" width="6.44140625" style="185" customWidth="1"/>
    <col min="6144" max="6144" width="7.109375" style="185" customWidth="1"/>
    <col min="6145" max="6145" width="7.33203125" style="185" customWidth="1"/>
    <col min="6146" max="6146" width="7" style="185" customWidth="1"/>
    <col min="6147" max="6147" width="7.44140625" style="185" customWidth="1"/>
    <col min="6148" max="6148" width="5.88671875" style="185" customWidth="1"/>
    <col min="6149" max="6152" width="4.6640625" style="185" customWidth="1"/>
    <col min="6153" max="6383" width="11.44140625" style="185"/>
    <col min="6384" max="6384" width="1.5546875" style="185" customWidth="1"/>
    <col min="6385" max="6385" width="4.6640625" style="185" customWidth="1"/>
    <col min="6386" max="6386" width="5" style="185" customWidth="1"/>
    <col min="6387" max="6389" width="8.33203125" style="185" customWidth="1"/>
    <col min="6390" max="6390" width="15.44140625" style="185" customWidth="1"/>
    <col min="6391" max="6391" width="19.33203125" style="185" customWidth="1"/>
    <col min="6392" max="6392" width="11" style="185" customWidth="1"/>
    <col min="6393" max="6396" width="4.88671875" style="185" customWidth="1"/>
    <col min="6397" max="6398" width="5.44140625" style="185" customWidth="1"/>
    <col min="6399" max="6399" width="6.44140625" style="185" customWidth="1"/>
    <col min="6400" max="6400" width="7.109375" style="185" customWidth="1"/>
    <col min="6401" max="6401" width="7.33203125" style="185" customWidth="1"/>
    <col min="6402" max="6402" width="7" style="185" customWidth="1"/>
    <col min="6403" max="6403" width="7.44140625" style="185" customWidth="1"/>
    <col min="6404" max="6404" width="5.88671875" style="185" customWidth="1"/>
    <col min="6405" max="6408" width="4.6640625" style="185" customWidth="1"/>
    <col min="6409" max="6639" width="11.44140625" style="185"/>
    <col min="6640" max="6640" width="1.5546875" style="185" customWidth="1"/>
    <col min="6641" max="6641" width="4.6640625" style="185" customWidth="1"/>
    <col min="6642" max="6642" width="5" style="185" customWidth="1"/>
    <col min="6643" max="6645" width="8.33203125" style="185" customWidth="1"/>
    <col min="6646" max="6646" width="15.44140625" style="185" customWidth="1"/>
    <col min="6647" max="6647" width="19.33203125" style="185" customWidth="1"/>
    <col min="6648" max="6648" width="11" style="185" customWidth="1"/>
    <col min="6649" max="6652" width="4.88671875" style="185" customWidth="1"/>
    <col min="6653" max="6654" width="5.44140625" style="185" customWidth="1"/>
    <col min="6655" max="6655" width="6.44140625" style="185" customWidth="1"/>
    <col min="6656" max="6656" width="7.109375" style="185" customWidth="1"/>
    <col min="6657" max="6657" width="7.33203125" style="185" customWidth="1"/>
    <col min="6658" max="6658" width="7" style="185" customWidth="1"/>
    <col min="6659" max="6659" width="7.44140625" style="185" customWidth="1"/>
    <col min="6660" max="6660" width="5.88671875" style="185" customWidth="1"/>
    <col min="6661" max="6664" width="4.6640625" style="185" customWidth="1"/>
    <col min="6665" max="6895" width="11.44140625" style="185"/>
    <col min="6896" max="6896" width="1.5546875" style="185" customWidth="1"/>
    <col min="6897" max="6897" width="4.6640625" style="185" customWidth="1"/>
    <col min="6898" max="6898" width="5" style="185" customWidth="1"/>
    <col min="6899" max="6901" width="8.33203125" style="185" customWidth="1"/>
    <col min="6902" max="6902" width="15.44140625" style="185" customWidth="1"/>
    <col min="6903" max="6903" width="19.33203125" style="185" customWidth="1"/>
    <col min="6904" max="6904" width="11" style="185" customWidth="1"/>
    <col min="6905" max="6908" width="4.88671875" style="185" customWidth="1"/>
    <col min="6909" max="6910" width="5.44140625" style="185" customWidth="1"/>
    <col min="6911" max="6911" width="6.44140625" style="185" customWidth="1"/>
    <col min="6912" max="6912" width="7.109375" style="185" customWidth="1"/>
    <col min="6913" max="6913" width="7.33203125" style="185" customWidth="1"/>
    <col min="6914" max="6914" width="7" style="185" customWidth="1"/>
    <col min="6915" max="6915" width="7.44140625" style="185" customWidth="1"/>
    <col min="6916" max="6916" width="5.88671875" style="185" customWidth="1"/>
    <col min="6917" max="6920" width="4.6640625" style="185" customWidth="1"/>
    <col min="6921" max="7151" width="11.44140625" style="185"/>
    <col min="7152" max="7152" width="1.5546875" style="185" customWidth="1"/>
    <col min="7153" max="7153" width="4.6640625" style="185" customWidth="1"/>
    <col min="7154" max="7154" width="5" style="185" customWidth="1"/>
    <col min="7155" max="7157" width="8.33203125" style="185" customWidth="1"/>
    <col min="7158" max="7158" width="15.44140625" style="185" customWidth="1"/>
    <col min="7159" max="7159" width="19.33203125" style="185" customWidth="1"/>
    <col min="7160" max="7160" width="11" style="185" customWidth="1"/>
    <col min="7161" max="7164" width="4.88671875" style="185" customWidth="1"/>
    <col min="7165" max="7166" width="5.44140625" style="185" customWidth="1"/>
    <col min="7167" max="7167" width="6.44140625" style="185" customWidth="1"/>
    <col min="7168" max="7168" width="7.109375" style="185" customWidth="1"/>
    <col min="7169" max="7169" width="7.33203125" style="185" customWidth="1"/>
    <col min="7170" max="7170" width="7" style="185" customWidth="1"/>
    <col min="7171" max="7171" width="7.44140625" style="185" customWidth="1"/>
    <col min="7172" max="7172" width="5.88671875" style="185" customWidth="1"/>
    <col min="7173" max="7176" width="4.6640625" style="185" customWidth="1"/>
    <col min="7177" max="7407" width="11.44140625" style="185"/>
    <col min="7408" max="7408" width="1.5546875" style="185" customWidth="1"/>
    <col min="7409" max="7409" width="4.6640625" style="185" customWidth="1"/>
    <col min="7410" max="7410" width="5" style="185" customWidth="1"/>
    <col min="7411" max="7413" width="8.33203125" style="185" customWidth="1"/>
    <col min="7414" max="7414" width="15.44140625" style="185" customWidth="1"/>
    <col min="7415" max="7415" width="19.33203125" style="185" customWidth="1"/>
    <col min="7416" max="7416" width="11" style="185" customWidth="1"/>
    <col min="7417" max="7420" width="4.88671875" style="185" customWidth="1"/>
    <col min="7421" max="7422" width="5.44140625" style="185" customWidth="1"/>
    <col min="7423" max="7423" width="6.44140625" style="185" customWidth="1"/>
    <col min="7424" max="7424" width="7.109375" style="185" customWidth="1"/>
    <col min="7425" max="7425" width="7.33203125" style="185" customWidth="1"/>
    <col min="7426" max="7426" width="7" style="185" customWidth="1"/>
    <col min="7427" max="7427" width="7.44140625" style="185" customWidth="1"/>
    <col min="7428" max="7428" width="5.88671875" style="185" customWidth="1"/>
    <col min="7429" max="7432" width="4.6640625" style="185" customWidth="1"/>
    <col min="7433" max="7663" width="11.44140625" style="185"/>
    <col min="7664" max="7664" width="1.5546875" style="185" customWidth="1"/>
    <col min="7665" max="7665" width="4.6640625" style="185" customWidth="1"/>
    <col min="7666" max="7666" width="5" style="185" customWidth="1"/>
    <col min="7667" max="7669" width="8.33203125" style="185" customWidth="1"/>
    <col min="7670" max="7670" width="15.44140625" style="185" customWidth="1"/>
    <col min="7671" max="7671" width="19.33203125" style="185" customWidth="1"/>
    <col min="7672" max="7672" width="11" style="185" customWidth="1"/>
    <col min="7673" max="7676" width="4.88671875" style="185" customWidth="1"/>
    <col min="7677" max="7678" width="5.44140625" style="185" customWidth="1"/>
    <col min="7679" max="7679" width="6.44140625" style="185" customWidth="1"/>
    <col min="7680" max="7680" width="7.109375" style="185" customWidth="1"/>
    <col min="7681" max="7681" width="7.33203125" style="185" customWidth="1"/>
    <col min="7682" max="7682" width="7" style="185" customWidth="1"/>
    <col min="7683" max="7683" width="7.44140625" style="185" customWidth="1"/>
    <col min="7684" max="7684" width="5.88671875" style="185" customWidth="1"/>
    <col min="7685" max="7688" width="4.6640625" style="185" customWidth="1"/>
    <col min="7689" max="7919" width="11.44140625" style="185"/>
    <col min="7920" max="7920" width="1.5546875" style="185" customWidth="1"/>
    <col min="7921" max="7921" width="4.6640625" style="185" customWidth="1"/>
    <col min="7922" max="7922" width="5" style="185" customWidth="1"/>
    <col min="7923" max="7925" width="8.33203125" style="185" customWidth="1"/>
    <col min="7926" max="7926" width="15.44140625" style="185" customWidth="1"/>
    <col min="7927" max="7927" width="19.33203125" style="185" customWidth="1"/>
    <col min="7928" max="7928" width="11" style="185" customWidth="1"/>
    <col min="7929" max="7932" width="4.88671875" style="185" customWidth="1"/>
    <col min="7933" max="7934" width="5.44140625" style="185" customWidth="1"/>
    <col min="7935" max="7935" width="6.44140625" style="185" customWidth="1"/>
    <col min="7936" max="7936" width="7.109375" style="185" customWidth="1"/>
    <col min="7937" max="7937" width="7.33203125" style="185" customWidth="1"/>
    <col min="7938" max="7938" width="7" style="185" customWidth="1"/>
    <col min="7939" max="7939" width="7.44140625" style="185" customWidth="1"/>
    <col min="7940" max="7940" width="5.88671875" style="185" customWidth="1"/>
    <col min="7941" max="7944" width="4.6640625" style="185" customWidth="1"/>
    <col min="7945" max="8175" width="11.44140625" style="185"/>
    <col min="8176" max="8176" width="1.5546875" style="185" customWidth="1"/>
    <col min="8177" max="8177" width="4.6640625" style="185" customWidth="1"/>
    <col min="8178" max="8178" width="5" style="185" customWidth="1"/>
    <col min="8179" max="8181" width="8.33203125" style="185" customWidth="1"/>
    <col min="8182" max="8182" width="15.44140625" style="185" customWidth="1"/>
    <col min="8183" max="8183" width="19.33203125" style="185" customWidth="1"/>
    <col min="8184" max="8184" width="11" style="185" customWidth="1"/>
    <col min="8185" max="8188" width="4.88671875" style="185" customWidth="1"/>
    <col min="8189" max="8190" width="5.44140625" style="185" customWidth="1"/>
    <col min="8191" max="8191" width="6.44140625" style="185" customWidth="1"/>
    <col min="8192" max="8192" width="7.109375" style="185" customWidth="1"/>
    <col min="8193" max="8193" width="7.33203125" style="185" customWidth="1"/>
    <col min="8194" max="8194" width="7" style="185" customWidth="1"/>
    <col min="8195" max="8195" width="7.44140625" style="185" customWidth="1"/>
    <col min="8196" max="8196" width="5.88671875" style="185" customWidth="1"/>
    <col min="8197" max="8200" width="4.6640625" style="185" customWidth="1"/>
    <col min="8201" max="8431" width="11.44140625" style="185"/>
    <col min="8432" max="8432" width="1.5546875" style="185" customWidth="1"/>
    <col min="8433" max="8433" width="4.6640625" style="185" customWidth="1"/>
    <col min="8434" max="8434" width="5" style="185" customWidth="1"/>
    <col min="8435" max="8437" width="8.33203125" style="185" customWidth="1"/>
    <col min="8438" max="8438" width="15.44140625" style="185" customWidth="1"/>
    <col min="8439" max="8439" width="19.33203125" style="185" customWidth="1"/>
    <col min="8440" max="8440" width="11" style="185" customWidth="1"/>
    <col min="8441" max="8444" width="4.88671875" style="185" customWidth="1"/>
    <col min="8445" max="8446" width="5.44140625" style="185" customWidth="1"/>
    <col min="8447" max="8447" width="6.44140625" style="185" customWidth="1"/>
    <col min="8448" max="8448" width="7.109375" style="185" customWidth="1"/>
    <col min="8449" max="8449" width="7.33203125" style="185" customWidth="1"/>
    <col min="8450" max="8450" width="7" style="185" customWidth="1"/>
    <col min="8451" max="8451" width="7.44140625" style="185" customWidth="1"/>
    <col min="8452" max="8452" width="5.88671875" style="185" customWidth="1"/>
    <col min="8453" max="8456" width="4.6640625" style="185" customWidth="1"/>
    <col min="8457" max="8687" width="11.44140625" style="185"/>
    <col min="8688" max="8688" width="1.5546875" style="185" customWidth="1"/>
    <col min="8689" max="8689" width="4.6640625" style="185" customWidth="1"/>
    <col min="8690" max="8690" width="5" style="185" customWidth="1"/>
    <col min="8691" max="8693" width="8.33203125" style="185" customWidth="1"/>
    <col min="8694" max="8694" width="15.44140625" style="185" customWidth="1"/>
    <col min="8695" max="8695" width="19.33203125" style="185" customWidth="1"/>
    <col min="8696" max="8696" width="11" style="185" customWidth="1"/>
    <col min="8697" max="8700" width="4.88671875" style="185" customWidth="1"/>
    <col min="8701" max="8702" width="5.44140625" style="185" customWidth="1"/>
    <col min="8703" max="8703" width="6.44140625" style="185" customWidth="1"/>
    <col min="8704" max="8704" width="7.109375" style="185" customWidth="1"/>
    <col min="8705" max="8705" width="7.33203125" style="185" customWidth="1"/>
    <col min="8706" max="8706" width="7" style="185" customWidth="1"/>
    <col min="8707" max="8707" width="7.44140625" style="185" customWidth="1"/>
    <col min="8708" max="8708" width="5.88671875" style="185" customWidth="1"/>
    <col min="8709" max="8712" width="4.6640625" style="185" customWidth="1"/>
    <col min="8713" max="8943" width="11.44140625" style="185"/>
    <col min="8944" max="8944" width="1.5546875" style="185" customWidth="1"/>
    <col min="8945" max="8945" width="4.6640625" style="185" customWidth="1"/>
    <col min="8946" max="8946" width="5" style="185" customWidth="1"/>
    <col min="8947" max="8949" width="8.33203125" style="185" customWidth="1"/>
    <col min="8950" max="8950" width="15.44140625" style="185" customWidth="1"/>
    <col min="8951" max="8951" width="19.33203125" style="185" customWidth="1"/>
    <col min="8952" max="8952" width="11" style="185" customWidth="1"/>
    <col min="8953" max="8956" width="4.88671875" style="185" customWidth="1"/>
    <col min="8957" max="8958" width="5.44140625" style="185" customWidth="1"/>
    <col min="8959" max="8959" width="6.44140625" style="185" customWidth="1"/>
    <col min="8960" max="8960" width="7.109375" style="185" customWidth="1"/>
    <col min="8961" max="8961" width="7.33203125" style="185" customWidth="1"/>
    <col min="8962" max="8962" width="7" style="185" customWidth="1"/>
    <col min="8963" max="8963" width="7.44140625" style="185" customWidth="1"/>
    <col min="8964" max="8964" width="5.88671875" style="185" customWidth="1"/>
    <col min="8965" max="8968" width="4.6640625" style="185" customWidth="1"/>
    <col min="8969" max="9199" width="11.44140625" style="185"/>
    <col min="9200" max="9200" width="1.5546875" style="185" customWidth="1"/>
    <col min="9201" max="9201" width="4.6640625" style="185" customWidth="1"/>
    <col min="9202" max="9202" width="5" style="185" customWidth="1"/>
    <col min="9203" max="9205" width="8.33203125" style="185" customWidth="1"/>
    <col min="9206" max="9206" width="15.44140625" style="185" customWidth="1"/>
    <col min="9207" max="9207" width="19.33203125" style="185" customWidth="1"/>
    <col min="9208" max="9208" width="11" style="185" customWidth="1"/>
    <col min="9209" max="9212" width="4.88671875" style="185" customWidth="1"/>
    <col min="9213" max="9214" width="5.44140625" style="185" customWidth="1"/>
    <col min="9215" max="9215" width="6.44140625" style="185" customWidth="1"/>
    <col min="9216" max="9216" width="7.109375" style="185" customWidth="1"/>
    <col min="9217" max="9217" width="7.33203125" style="185" customWidth="1"/>
    <col min="9218" max="9218" width="7" style="185" customWidth="1"/>
    <col min="9219" max="9219" width="7.44140625" style="185" customWidth="1"/>
    <col min="9220" max="9220" width="5.88671875" style="185" customWidth="1"/>
    <col min="9221" max="9224" width="4.6640625" style="185" customWidth="1"/>
    <col min="9225" max="9455" width="11.44140625" style="185"/>
    <col min="9456" max="9456" width="1.5546875" style="185" customWidth="1"/>
    <col min="9457" max="9457" width="4.6640625" style="185" customWidth="1"/>
    <col min="9458" max="9458" width="5" style="185" customWidth="1"/>
    <col min="9459" max="9461" width="8.33203125" style="185" customWidth="1"/>
    <col min="9462" max="9462" width="15.44140625" style="185" customWidth="1"/>
    <col min="9463" max="9463" width="19.33203125" style="185" customWidth="1"/>
    <col min="9464" max="9464" width="11" style="185" customWidth="1"/>
    <col min="9465" max="9468" width="4.88671875" style="185" customWidth="1"/>
    <col min="9469" max="9470" width="5.44140625" style="185" customWidth="1"/>
    <col min="9471" max="9471" width="6.44140625" style="185" customWidth="1"/>
    <col min="9472" max="9472" width="7.109375" style="185" customWidth="1"/>
    <col min="9473" max="9473" width="7.33203125" style="185" customWidth="1"/>
    <col min="9474" max="9474" width="7" style="185" customWidth="1"/>
    <col min="9475" max="9475" width="7.44140625" style="185" customWidth="1"/>
    <col min="9476" max="9476" width="5.88671875" style="185" customWidth="1"/>
    <col min="9477" max="9480" width="4.6640625" style="185" customWidth="1"/>
    <col min="9481" max="9711" width="11.44140625" style="185"/>
    <col min="9712" max="9712" width="1.5546875" style="185" customWidth="1"/>
    <col min="9713" max="9713" width="4.6640625" style="185" customWidth="1"/>
    <col min="9714" max="9714" width="5" style="185" customWidth="1"/>
    <col min="9715" max="9717" width="8.33203125" style="185" customWidth="1"/>
    <col min="9718" max="9718" width="15.44140625" style="185" customWidth="1"/>
    <col min="9719" max="9719" width="19.33203125" style="185" customWidth="1"/>
    <col min="9720" max="9720" width="11" style="185" customWidth="1"/>
    <col min="9721" max="9724" width="4.88671875" style="185" customWidth="1"/>
    <col min="9725" max="9726" width="5.44140625" style="185" customWidth="1"/>
    <col min="9727" max="9727" width="6.44140625" style="185" customWidth="1"/>
    <col min="9728" max="9728" width="7.109375" style="185" customWidth="1"/>
    <col min="9729" max="9729" width="7.33203125" style="185" customWidth="1"/>
    <col min="9730" max="9730" width="7" style="185" customWidth="1"/>
    <col min="9731" max="9731" width="7.44140625" style="185" customWidth="1"/>
    <col min="9732" max="9732" width="5.88671875" style="185" customWidth="1"/>
    <col min="9733" max="9736" width="4.6640625" style="185" customWidth="1"/>
    <col min="9737" max="9967" width="11.44140625" style="185"/>
    <col min="9968" max="9968" width="1.5546875" style="185" customWidth="1"/>
    <col min="9969" max="9969" width="4.6640625" style="185" customWidth="1"/>
    <col min="9970" max="9970" width="5" style="185" customWidth="1"/>
    <col min="9971" max="9973" width="8.33203125" style="185" customWidth="1"/>
    <col min="9974" max="9974" width="15.44140625" style="185" customWidth="1"/>
    <col min="9975" max="9975" width="19.33203125" style="185" customWidth="1"/>
    <col min="9976" max="9976" width="11" style="185" customWidth="1"/>
    <col min="9977" max="9980" width="4.88671875" style="185" customWidth="1"/>
    <col min="9981" max="9982" width="5.44140625" style="185" customWidth="1"/>
    <col min="9983" max="9983" width="6.44140625" style="185" customWidth="1"/>
    <col min="9984" max="9984" width="7.109375" style="185" customWidth="1"/>
    <col min="9985" max="9985" width="7.33203125" style="185" customWidth="1"/>
    <col min="9986" max="9986" width="7" style="185" customWidth="1"/>
    <col min="9987" max="9987" width="7.44140625" style="185" customWidth="1"/>
    <col min="9988" max="9988" width="5.88671875" style="185" customWidth="1"/>
    <col min="9989" max="9992" width="4.6640625" style="185" customWidth="1"/>
    <col min="9993" max="10223" width="11.44140625" style="185"/>
    <col min="10224" max="10224" width="1.5546875" style="185" customWidth="1"/>
    <col min="10225" max="10225" width="4.6640625" style="185" customWidth="1"/>
    <col min="10226" max="10226" width="5" style="185" customWidth="1"/>
    <col min="10227" max="10229" width="8.33203125" style="185" customWidth="1"/>
    <col min="10230" max="10230" width="15.44140625" style="185" customWidth="1"/>
    <col min="10231" max="10231" width="19.33203125" style="185" customWidth="1"/>
    <col min="10232" max="10232" width="11" style="185" customWidth="1"/>
    <col min="10233" max="10236" width="4.88671875" style="185" customWidth="1"/>
    <col min="10237" max="10238" width="5.44140625" style="185" customWidth="1"/>
    <col min="10239" max="10239" width="6.44140625" style="185" customWidth="1"/>
    <col min="10240" max="10240" width="7.109375" style="185" customWidth="1"/>
    <col min="10241" max="10241" width="7.33203125" style="185" customWidth="1"/>
    <col min="10242" max="10242" width="7" style="185" customWidth="1"/>
    <col min="10243" max="10243" width="7.44140625" style="185" customWidth="1"/>
    <col min="10244" max="10244" width="5.88671875" style="185" customWidth="1"/>
    <col min="10245" max="10248" width="4.6640625" style="185" customWidth="1"/>
    <col min="10249" max="10479" width="11.44140625" style="185"/>
    <col min="10480" max="10480" width="1.5546875" style="185" customWidth="1"/>
    <col min="10481" max="10481" width="4.6640625" style="185" customWidth="1"/>
    <col min="10482" max="10482" width="5" style="185" customWidth="1"/>
    <col min="10483" max="10485" width="8.33203125" style="185" customWidth="1"/>
    <col min="10486" max="10486" width="15.44140625" style="185" customWidth="1"/>
    <col min="10487" max="10487" width="19.33203125" style="185" customWidth="1"/>
    <col min="10488" max="10488" width="11" style="185" customWidth="1"/>
    <col min="10489" max="10492" width="4.88671875" style="185" customWidth="1"/>
    <col min="10493" max="10494" width="5.44140625" style="185" customWidth="1"/>
    <col min="10495" max="10495" width="6.44140625" style="185" customWidth="1"/>
    <col min="10496" max="10496" width="7.109375" style="185" customWidth="1"/>
    <col min="10497" max="10497" width="7.33203125" style="185" customWidth="1"/>
    <col min="10498" max="10498" width="7" style="185" customWidth="1"/>
    <col min="10499" max="10499" width="7.44140625" style="185" customWidth="1"/>
    <col min="10500" max="10500" width="5.88671875" style="185" customWidth="1"/>
    <col min="10501" max="10504" width="4.6640625" style="185" customWidth="1"/>
    <col min="10505" max="10735" width="11.44140625" style="185"/>
    <col min="10736" max="10736" width="1.5546875" style="185" customWidth="1"/>
    <col min="10737" max="10737" width="4.6640625" style="185" customWidth="1"/>
    <col min="10738" max="10738" width="5" style="185" customWidth="1"/>
    <col min="10739" max="10741" width="8.33203125" style="185" customWidth="1"/>
    <col min="10742" max="10742" width="15.44140625" style="185" customWidth="1"/>
    <col min="10743" max="10743" width="19.33203125" style="185" customWidth="1"/>
    <col min="10744" max="10744" width="11" style="185" customWidth="1"/>
    <col min="10745" max="10748" width="4.88671875" style="185" customWidth="1"/>
    <col min="10749" max="10750" width="5.44140625" style="185" customWidth="1"/>
    <col min="10751" max="10751" width="6.44140625" style="185" customWidth="1"/>
    <col min="10752" max="10752" width="7.109375" style="185" customWidth="1"/>
    <col min="10753" max="10753" width="7.33203125" style="185" customWidth="1"/>
    <col min="10754" max="10754" width="7" style="185" customWidth="1"/>
    <col min="10755" max="10755" width="7.44140625" style="185" customWidth="1"/>
    <col min="10756" max="10756" width="5.88671875" style="185" customWidth="1"/>
    <col min="10757" max="10760" width="4.6640625" style="185" customWidth="1"/>
    <col min="10761" max="10991" width="11.44140625" style="185"/>
    <col min="10992" max="10992" width="1.5546875" style="185" customWidth="1"/>
    <col min="10993" max="10993" width="4.6640625" style="185" customWidth="1"/>
    <col min="10994" max="10994" width="5" style="185" customWidth="1"/>
    <col min="10995" max="10997" width="8.33203125" style="185" customWidth="1"/>
    <col min="10998" max="10998" width="15.44140625" style="185" customWidth="1"/>
    <col min="10999" max="10999" width="19.33203125" style="185" customWidth="1"/>
    <col min="11000" max="11000" width="11" style="185" customWidth="1"/>
    <col min="11001" max="11004" width="4.88671875" style="185" customWidth="1"/>
    <col min="11005" max="11006" width="5.44140625" style="185" customWidth="1"/>
    <col min="11007" max="11007" width="6.44140625" style="185" customWidth="1"/>
    <col min="11008" max="11008" width="7.109375" style="185" customWidth="1"/>
    <col min="11009" max="11009" width="7.33203125" style="185" customWidth="1"/>
    <col min="11010" max="11010" width="7" style="185" customWidth="1"/>
    <col min="11011" max="11011" width="7.44140625" style="185" customWidth="1"/>
    <col min="11012" max="11012" width="5.88671875" style="185" customWidth="1"/>
    <col min="11013" max="11016" width="4.6640625" style="185" customWidth="1"/>
    <col min="11017" max="11247" width="11.44140625" style="185"/>
    <col min="11248" max="11248" width="1.5546875" style="185" customWidth="1"/>
    <col min="11249" max="11249" width="4.6640625" style="185" customWidth="1"/>
    <col min="11250" max="11250" width="5" style="185" customWidth="1"/>
    <col min="11251" max="11253" width="8.33203125" style="185" customWidth="1"/>
    <col min="11254" max="11254" width="15.44140625" style="185" customWidth="1"/>
    <col min="11255" max="11255" width="19.33203125" style="185" customWidth="1"/>
    <col min="11256" max="11256" width="11" style="185" customWidth="1"/>
    <col min="11257" max="11260" width="4.88671875" style="185" customWidth="1"/>
    <col min="11261" max="11262" width="5.44140625" style="185" customWidth="1"/>
    <col min="11263" max="11263" width="6.44140625" style="185" customWidth="1"/>
    <col min="11264" max="11264" width="7.109375" style="185" customWidth="1"/>
    <col min="11265" max="11265" width="7.33203125" style="185" customWidth="1"/>
    <col min="11266" max="11266" width="7" style="185" customWidth="1"/>
    <col min="11267" max="11267" width="7.44140625" style="185" customWidth="1"/>
    <col min="11268" max="11268" width="5.88671875" style="185" customWidth="1"/>
    <col min="11269" max="11272" width="4.6640625" style="185" customWidth="1"/>
    <col min="11273" max="11503" width="11.44140625" style="185"/>
    <col min="11504" max="11504" width="1.5546875" style="185" customWidth="1"/>
    <col min="11505" max="11505" width="4.6640625" style="185" customWidth="1"/>
    <col min="11506" max="11506" width="5" style="185" customWidth="1"/>
    <col min="11507" max="11509" width="8.33203125" style="185" customWidth="1"/>
    <col min="11510" max="11510" width="15.44140625" style="185" customWidth="1"/>
    <col min="11511" max="11511" width="19.33203125" style="185" customWidth="1"/>
    <col min="11512" max="11512" width="11" style="185" customWidth="1"/>
    <col min="11513" max="11516" width="4.88671875" style="185" customWidth="1"/>
    <col min="11517" max="11518" width="5.44140625" style="185" customWidth="1"/>
    <col min="11519" max="11519" width="6.44140625" style="185" customWidth="1"/>
    <col min="11520" max="11520" width="7.109375" style="185" customWidth="1"/>
    <col min="11521" max="11521" width="7.33203125" style="185" customWidth="1"/>
    <col min="11522" max="11522" width="7" style="185" customWidth="1"/>
    <col min="11523" max="11523" width="7.44140625" style="185" customWidth="1"/>
    <col min="11524" max="11524" width="5.88671875" style="185" customWidth="1"/>
    <col min="11525" max="11528" width="4.6640625" style="185" customWidth="1"/>
    <col min="11529" max="11759" width="11.44140625" style="185"/>
    <col min="11760" max="11760" width="1.5546875" style="185" customWidth="1"/>
    <col min="11761" max="11761" width="4.6640625" style="185" customWidth="1"/>
    <col min="11762" max="11762" width="5" style="185" customWidth="1"/>
    <col min="11763" max="11765" width="8.33203125" style="185" customWidth="1"/>
    <col min="11766" max="11766" width="15.44140625" style="185" customWidth="1"/>
    <col min="11767" max="11767" width="19.33203125" style="185" customWidth="1"/>
    <col min="11768" max="11768" width="11" style="185" customWidth="1"/>
    <col min="11769" max="11772" width="4.88671875" style="185" customWidth="1"/>
    <col min="11773" max="11774" width="5.44140625" style="185" customWidth="1"/>
    <col min="11775" max="11775" width="6.44140625" style="185" customWidth="1"/>
    <col min="11776" max="11776" width="7.109375" style="185" customWidth="1"/>
    <col min="11777" max="11777" width="7.33203125" style="185" customWidth="1"/>
    <col min="11778" max="11778" width="7" style="185" customWidth="1"/>
    <col min="11779" max="11779" width="7.44140625" style="185" customWidth="1"/>
    <col min="11780" max="11780" width="5.88671875" style="185" customWidth="1"/>
    <col min="11781" max="11784" width="4.6640625" style="185" customWidth="1"/>
    <col min="11785" max="12015" width="11.44140625" style="185"/>
    <col min="12016" max="12016" width="1.5546875" style="185" customWidth="1"/>
    <col min="12017" max="12017" width="4.6640625" style="185" customWidth="1"/>
    <col min="12018" max="12018" width="5" style="185" customWidth="1"/>
    <col min="12019" max="12021" width="8.33203125" style="185" customWidth="1"/>
    <col min="12022" max="12022" width="15.44140625" style="185" customWidth="1"/>
    <col min="12023" max="12023" width="19.33203125" style="185" customWidth="1"/>
    <col min="12024" max="12024" width="11" style="185" customWidth="1"/>
    <col min="12025" max="12028" width="4.88671875" style="185" customWidth="1"/>
    <col min="12029" max="12030" width="5.44140625" style="185" customWidth="1"/>
    <col min="12031" max="12031" width="6.44140625" style="185" customWidth="1"/>
    <col min="12032" max="12032" width="7.109375" style="185" customWidth="1"/>
    <col min="12033" max="12033" width="7.33203125" style="185" customWidth="1"/>
    <col min="12034" max="12034" width="7" style="185" customWidth="1"/>
    <col min="12035" max="12035" width="7.44140625" style="185" customWidth="1"/>
    <col min="12036" max="12036" width="5.88671875" style="185" customWidth="1"/>
    <col min="12037" max="12040" width="4.6640625" style="185" customWidth="1"/>
    <col min="12041" max="12271" width="11.44140625" style="185"/>
    <col min="12272" max="12272" width="1.5546875" style="185" customWidth="1"/>
    <col min="12273" max="12273" width="4.6640625" style="185" customWidth="1"/>
    <col min="12274" max="12274" width="5" style="185" customWidth="1"/>
    <col min="12275" max="12277" width="8.33203125" style="185" customWidth="1"/>
    <col min="12278" max="12278" width="15.44140625" style="185" customWidth="1"/>
    <col min="12279" max="12279" width="19.33203125" style="185" customWidth="1"/>
    <col min="12280" max="12280" width="11" style="185" customWidth="1"/>
    <col min="12281" max="12284" width="4.88671875" style="185" customWidth="1"/>
    <col min="12285" max="12286" width="5.44140625" style="185" customWidth="1"/>
    <col min="12287" max="12287" width="6.44140625" style="185" customWidth="1"/>
    <col min="12288" max="12288" width="7.109375" style="185" customWidth="1"/>
    <col min="12289" max="12289" width="7.33203125" style="185" customWidth="1"/>
    <col min="12290" max="12290" width="7" style="185" customWidth="1"/>
    <col min="12291" max="12291" width="7.44140625" style="185" customWidth="1"/>
    <col min="12292" max="12292" width="5.88671875" style="185" customWidth="1"/>
    <col min="12293" max="12296" width="4.6640625" style="185" customWidth="1"/>
    <col min="12297" max="12527" width="11.44140625" style="185"/>
    <col min="12528" max="12528" width="1.5546875" style="185" customWidth="1"/>
    <col min="12529" max="12529" width="4.6640625" style="185" customWidth="1"/>
    <col min="12530" max="12530" width="5" style="185" customWidth="1"/>
    <col min="12531" max="12533" width="8.33203125" style="185" customWidth="1"/>
    <col min="12534" max="12534" width="15.44140625" style="185" customWidth="1"/>
    <col min="12535" max="12535" width="19.33203125" style="185" customWidth="1"/>
    <col min="12536" max="12536" width="11" style="185" customWidth="1"/>
    <col min="12537" max="12540" width="4.88671875" style="185" customWidth="1"/>
    <col min="12541" max="12542" width="5.44140625" style="185" customWidth="1"/>
    <col min="12543" max="12543" width="6.44140625" style="185" customWidth="1"/>
    <col min="12544" max="12544" width="7.109375" style="185" customWidth="1"/>
    <col min="12545" max="12545" width="7.33203125" style="185" customWidth="1"/>
    <col min="12546" max="12546" width="7" style="185" customWidth="1"/>
    <col min="12547" max="12547" width="7.44140625" style="185" customWidth="1"/>
    <col min="12548" max="12548" width="5.88671875" style="185" customWidth="1"/>
    <col min="12549" max="12552" width="4.6640625" style="185" customWidth="1"/>
    <col min="12553" max="12783" width="11.44140625" style="185"/>
    <col min="12784" max="12784" width="1.5546875" style="185" customWidth="1"/>
    <col min="12785" max="12785" width="4.6640625" style="185" customWidth="1"/>
    <col min="12786" max="12786" width="5" style="185" customWidth="1"/>
    <col min="12787" max="12789" width="8.33203125" style="185" customWidth="1"/>
    <col min="12790" max="12790" width="15.44140625" style="185" customWidth="1"/>
    <col min="12791" max="12791" width="19.33203125" style="185" customWidth="1"/>
    <col min="12792" max="12792" width="11" style="185" customWidth="1"/>
    <col min="12793" max="12796" width="4.88671875" style="185" customWidth="1"/>
    <col min="12797" max="12798" width="5.44140625" style="185" customWidth="1"/>
    <col min="12799" max="12799" width="6.44140625" style="185" customWidth="1"/>
    <col min="12800" max="12800" width="7.109375" style="185" customWidth="1"/>
    <col min="12801" max="12801" width="7.33203125" style="185" customWidth="1"/>
    <col min="12802" max="12802" width="7" style="185" customWidth="1"/>
    <col min="12803" max="12803" width="7.44140625" style="185" customWidth="1"/>
    <col min="12804" max="12804" width="5.88671875" style="185" customWidth="1"/>
    <col min="12805" max="12808" width="4.6640625" style="185" customWidth="1"/>
    <col min="12809" max="13039" width="11.44140625" style="185"/>
    <col min="13040" max="13040" width="1.5546875" style="185" customWidth="1"/>
    <col min="13041" max="13041" width="4.6640625" style="185" customWidth="1"/>
    <col min="13042" max="13042" width="5" style="185" customWidth="1"/>
    <col min="13043" max="13045" width="8.33203125" style="185" customWidth="1"/>
    <col min="13046" max="13046" width="15.44140625" style="185" customWidth="1"/>
    <col min="13047" max="13047" width="19.33203125" style="185" customWidth="1"/>
    <col min="13048" max="13048" width="11" style="185" customWidth="1"/>
    <col min="13049" max="13052" width="4.88671875" style="185" customWidth="1"/>
    <col min="13053" max="13054" width="5.44140625" style="185" customWidth="1"/>
    <col min="13055" max="13055" width="6.44140625" style="185" customWidth="1"/>
    <col min="13056" max="13056" width="7.109375" style="185" customWidth="1"/>
    <col min="13057" max="13057" width="7.33203125" style="185" customWidth="1"/>
    <col min="13058" max="13058" width="7" style="185" customWidth="1"/>
    <col min="13059" max="13059" width="7.44140625" style="185" customWidth="1"/>
    <col min="13060" max="13060" width="5.88671875" style="185" customWidth="1"/>
    <col min="13061" max="13064" width="4.6640625" style="185" customWidth="1"/>
    <col min="13065" max="13295" width="11.44140625" style="185"/>
    <col min="13296" max="13296" width="1.5546875" style="185" customWidth="1"/>
    <col min="13297" max="13297" width="4.6640625" style="185" customWidth="1"/>
    <col min="13298" max="13298" width="5" style="185" customWidth="1"/>
    <col min="13299" max="13301" width="8.33203125" style="185" customWidth="1"/>
    <col min="13302" max="13302" width="15.44140625" style="185" customWidth="1"/>
    <col min="13303" max="13303" width="19.33203125" style="185" customWidth="1"/>
    <col min="13304" max="13304" width="11" style="185" customWidth="1"/>
    <col min="13305" max="13308" width="4.88671875" style="185" customWidth="1"/>
    <col min="13309" max="13310" width="5.44140625" style="185" customWidth="1"/>
    <col min="13311" max="13311" width="6.44140625" style="185" customWidth="1"/>
    <col min="13312" max="13312" width="7.109375" style="185" customWidth="1"/>
    <col min="13313" max="13313" width="7.33203125" style="185" customWidth="1"/>
    <col min="13314" max="13314" width="7" style="185" customWidth="1"/>
    <col min="13315" max="13315" width="7.44140625" style="185" customWidth="1"/>
    <col min="13316" max="13316" width="5.88671875" style="185" customWidth="1"/>
    <col min="13317" max="13320" width="4.6640625" style="185" customWidth="1"/>
    <col min="13321" max="13551" width="11.44140625" style="185"/>
    <col min="13552" max="13552" width="1.5546875" style="185" customWidth="1"/>
    <col min="13553" max="13553" width="4.6640625" style="185" customWidth="1"/>
    <col min="13554" max="13554" width="5" style="185" customWidth="1"/>
    <col min="13555" max="13557" width="8.33203125" style="185" customWidth="1"/>
    <col min="13558" max="13558" width="15.44140625" style="185" customWidth="1"/>
    <col min="13559" max="13559" width="19.33203125" style="185" customWidth="1"/>
    <col min="13560" max="13560" width="11" style="185" customWidth="1"/>
    <col min="13561" max="13564" width="4.88671875" style="185" customWidth="1"/>
    <col min="13565" max="13566" width="5.44140625" style="185" customWidth="1"/>
    <col min="13567" max="13567" width="6.44140625" style="185" customWidth="1"/>
    <col min="13568" max="13568" width="7.109375" style="185" customWidth="1"/>
    <col min="13569" max="13569" width="7.33203125" style="185" customWidth="1"/>
    <col min="13570" max="13570" width="7" style="185" customWidth="1"/>
    <col min="13571" max="13571" width="7.44140625" style="185" customWidth="1"/>
    <col min="13572" max="13572" width="5.88671875" style="185" customWidth="1"/>
    <col min="13573" max="13576" width="4.6640625" style="185" customWidth="1"/>
    <col min="13577" max="13807" width="11.44140625" style="185"/>
    <col min="13808" max="13808" width="1.5546875" style="185" customWidth="1"/>
    <col min="13809" max="13809" width="4.6640625" style="185" customWidth="1"/>
    <col min="13810" max="13810" width="5" style="185" customWidth="1"/>
    <col min="13811" max="13813" width="8.33203125" style="185" customWidth="1"/>
    <col min="13814" max="13814" width="15.44140625" style="185" customWidth="1"/>
    <col min="13815" max="13815" width="19.33203125" style="185" customWidth="1"/>
    <col min="13816" max="13816" width="11" style="185" customWidth="1"/>
    <col min="13817" max="13820" width="4.88671875" style="185" customWidth="1"/>
    <col min="13821" max="13822" width="5.44140625" style="185" customWidth="1"/>
    <col min="13823" max="13823" width="6.44140625" style="185" customWidth="1"/>
    <col min="13824" max="13824" width="7.109375" style="185" customWidth="1"/>
    <col min="13825" max="13825" width="7.33203125" style="185" customWidth="1"/>
    <col min="13826" max="13826" width="7" style="185" customWidth="1"/>
    <col min="13827" max="13827" width="7.44140625" style="185" customWidth="1"/>
    <col min="13828" max="13828" width="5.88671875" style="185" customWidth="1"/>
    <col min="13829" max="13832" width="4.6640625" style="185" customWidth="1"/>
    <col min="13833" max="14063" width="11.44140625" style="185"/>
    <col min="14064" max="14064" width="1.5546875" style="185" customWidth="1"/>
    <col min="14065" max="14065" width="4.6640625" style="185" customWidth="1"/>
    <col min="14066" max="14066" width="5" style="185" customWidth="1"/>
    <col min="14067" max="14069" width="8.33203125" style="185" customWidth="1"/>
    <col min="14070" max="14070" width="15.44140625" style="185" customWidth="1"/>
    <col min="14071" max="14071" width="19.33203125" style="185" customWidth="1"/>
    <col min="14072" max="14072" width="11" style="185" customWidth="1"/>
    <col min="14073" max="14076" width="4.88671875" style="185" customWidth="1"/>
    <col min="14077" max="14078" width="5.44140625" style="185" customWidth="1"/>
    <col min="14079" max="14079" width="6.44140625" style="185" customWidth="1"/>
    <col min="14080" max="14080" width="7.109375" style="185" customWidth="1"/>
    <col min="14081" max="14081" width="7.33203125" style="185" customWidth="1"/>
    <col min="14082" max="14082" width="7" style="185" customWidth="1"/>
    <col min="14083" max="14083" width="7.44140625" style="185" customWidth="1"/>
    <col min="14084" max="14084" width="5.88671875" style="185" customWidth="1"/>
    <col min="14085" max="14088" width="4.6640625" style="185" customWidth="1"/>
    <col min="14089" max="14319" width="11.44140625" style="185"/>
    <col min="14320" max="14320" width="1.5546875" style="185" customWidth="1"/>
    <col min="14321" max="14321" width="4.6640625" style="185" customWidth="1"/>
    <col min="14322" max="14322" width="5" style="185" customWidth="1"/>
    <col min="14323" max="14325" width="8.33203125" style="185" customWidth="1"/>
    <col min="14326" max="14326" width="15.44140625" style="185" customWidth="1"/>
    <col min="14327" max="14327" width="19.33203125" style="185" customWidth="1"/>
    <col min="14328" max="14328" width="11" style="185" customWidth="1"/>
    <col min="14329" max="14332" width="4.88671875" style="185" customWidth="1"/>
    <col min="14333" max="14334" width="5.44140625" style="185" customWidth="1"/>
    <col min="14335" max="14335" width="6.44140625" style="185" customWidth="1"/>
    <col min="14336" max="14336" width="7.109375" style="185" customWidth="1"/>
    <col min="14337" max="14337" width="7.33203125" style="185" customWidth="1"/>
    <col min="14338" max="14338" width="7" style="185" customWidth="1"/>
    <col min="14339" max="14339" width="7.44140625" style="185" customWidth="1"/>
    <col min="14340" max="14340" width="5.88671875" style="185" customWidth="1"/>
    <col min="14341" max="14344" width="4.6640625" style="185" customWidth="1"/>
    <col min="14345" max="14575" width="11.44140625" style="185"/>
    <col min="14576" max="14576" width="1.5546875" style="185" customWidth="1"/>
    <col min="14577" max="14577" width="4.6640625" style="185" customWidth="1"/>
    <col min="14578" max="14578" width="5" style="185" customWidth="1"/>
    <col min="14579" max="14581" width="8.33203125" style="185" customWidth="1"/>
    <col min="14582" max="14582" width="15.44140625" style="185" customWidth="1"/>
    <col min="14583" max="14583" width="19.33203125" style="185" customWidth="1"/>
    <col min="14584" max="14584" width="11" style="185" customWidth="1"/>
    <col min="14585" max="14588" width="4.88671875" style="185" customWidth="1"/>
    <col min="14589" max="14590" width="5.44140625" style="185" customWidth="1"/>
    <col min="14591" max="14591" width="6.44140625" style="185" customWidth="1"/>
    <col min="14592" max="14592" width="7.109375" style="185" customWidth="1"/>
    <col min="14593" max="14593" width="7.33203125" style="185" customWidth="1"/>
    <col min="14594" max="14594" width="7" style="185" customWidth="1"/>
    <col min="14595" max="14595" width="7.44140625" style="185" customWidth="1"/>
    <col min="14596" max="14596" width="5.88671875" style="185" customWidth="1"/>
    <col min="14597" max="14600" width="4.6640625" style="185" customWidth="1"/>
    <col min="14601" max="14831" width="11.44140625" style="185"/>
    <col min="14832" max="14832" width="1.5546875" style="185" customWidth="1"/>
    <col min="14833" max="14833" width="4.6640625" style="185" customWidth="1"/>
    <col min="14834" max="14834" width="5" style="185" customWidth="1"/>
    <col min="14835" max="14837" width="8.33203125" style="185" customWidth="1"/>
    <col min="14838" max="14838" width="15.44140625" style="185" customWidth="1"/>
    <col min="14839" max="14839" width="19.33203125" style="185" customWidth="1"/>
    <col min="14840" max="14840" width="11" style="185" customWidth="1"/>
    <col min="14841" max="14844" width="4.88671875" style="185" customWidth="1"/>
    <col min="14845" max="14846" width="5.44140625" style="185" customWidth="1"/>
    <col min="14847" max="14847" width="6.44140625" style="185" customWidth="1"/>
    <col min="14848" max="14848" width="7.109375" style="185" customWidth="1"/>
    <col min="14849" max="14849" width="7.33203125" style="185" customWidth="1"/>
    <col min="14850" max="14850" width="7" style="185" customWidth="1"/>
    <col min="14851" max="14851" width="7.44140625" style="185" customWidth="1"/>
    <col min="14852" max="14852" width="5.88671875" style="185" customWidth="1"/>
    <col min="14853" max="14856" width="4.6640625" style="185" customWidth="1"/>
    <col min="14857" max="15087" width="11.44140625" style="185"/>
    <col min="15088" max="15088" width="1.5546875" style="185" customWidth="1"/>
    <col min="15089" max="15089" width="4.6640625" style="185" customWidth="1"/>
    <col min="15090" max="15090" width="5" style="185" customWidth="1"/>
    <col min="15091" max="15093" width="8.33203125" style="185" customWidth="1"/>
    <col min="15094" max="15094" width="15.44140625" style="185" customWidth="1"/>
    <col min="15095" max="15095" width="19.33203125" style="185" customWidth="1"/>
    <col min="15096" max="15096" width="11" style="185" customWidth="1"/>
    <col min="15097" max="15100" width="4.88671875" style="185" customWidth="1"/>
    <col min="15101" max="15102" width="5.44140625" style="185" customWidth="1"/>
    <col min="15103" max="15103" width="6.44140625" style="185" customWidth="1"/>
    <col min="15104" max="15104" width="7.109375" style="185" customWidth="1"/>
    <col min="15105" max="15105" width="7.33203125" style="185" customWidth="1"/>
    <col min="15106" max="15106" width="7" style="185" customWidth="1"/>
    <col min="15107" max="15107" width="7.44140625" style="185" customWidth="1"/>
    <col min="15108" max="15108" width="5.88671875" style="185" customWidth="1"/>
    <col min="15109" max="15112" width="4.6640625" style="185" customWidth="1"/>
    <col min="15113" max="15343" width="11.44140625" style="185"/>
    <col min="15344" max="15344" width="1.5546875" style="185" customWidth="1"/>
    <col min="15345" max="15345" width="4.6640625" style="185" customWidth="1"/>
    <col min="15346" max="15346" width="5" style="185" customWidth="1"/>
    <col min="15347" max="15349" width="8.33203125" style="185" customWidth="1"/>
    <col min="15350" max="15350" width="15.44140625" style="185" customWidth="1"/>
    <col min="15351" max="15351" width="19.33203125" style="185" customWidth="1"/>
    <col min="15352" max="15352" width="11" style="185" customWidth="1"/>
    <col min="15353" max="15356" width="4.88671875" style="185" customWidth="1"/>
    <col min="15357" max="15358" width="5.44140625" style="185" customWidth="1"/>
    <col min="15359" max="15359" width="6.44140625" style="185" customWidth="1"/>
    <col min="15360" max="15360" width="7.109375" style="185" customWidth="1"/>
    <col min="15361" max="15361" width="7.33203125" style="185" customWidth="1"/>
    <col min="15362" max="15362" width="7" style="185" customWidth="1"/>
    <col min="15363" max="15363" width="7.44140625" style="185" customWidth="1"/>
    <col min="15364" max="15364" width="5.88671875" style="185" customWidth="1"/>
    <col min="15365" max="15368" width="4.6640625" style="185" customWidth="1"/>
    <col min="15369" max="15599" width="11.44140625" style="185"/>
    <col min="15600" max="15600" width="1.5546875" style="185" customWidth="1"/>
    <col min="15601" max="15601" width="4.6640625" style="185" customWidth="1"/>
    <col min="15602" max="15602" width="5" style="185" customWidth="1"/>
    <col min="15603" max="15605" width="8.33203125" style="185" customWidth="1"/>
    <col min="15606" max="15606" width="15.44140625" style="185" customWidth="1"/>
    <col min="15607" max="15607" width="19.33203125" style="185" customWidth="1"/>
    <col min="15608" max="15608" width="11" style="185" customWidth="1"/>
    <col min="15609" max="15612" width="4.88671875" style="185" customWidth="1"/>
    <col min="15613" max="15614" width="5.44140625" style="185" customWidth="1"/>
    <col min="15615" max="15615" width="6.44140625" style="185" customWidth="1"/>
    <col min="15616" max="15616" width="7.109375" style="185" customWidth="1"/>
    <col min="15617" max="15617" width="7.33203125" style="185" customWidth="1"/>
    <col min="15618" max="15618" width="7" style="185" customWidth="1"/>
    <col min="15619" max="15619" width="7.44140625" style="185" customWidth="1"/>
    <col min="15620" max="15620" width="5.88671875" style="185" customWidth="1"/>
    <col min="15621" max="15624" width="4.6640625" style="185" customWidth="1"/>
    <col min="15625" max="15855" width="11.44140625" style="185"/>
    <col min="15856" max="15856" width="1.5546875" style="185" customWidth="1"/>
    <col min="15857" max="15857" width="4.6640625" style="185" customWidth="1"/>
    <col min="15858" max="15858" width="5" style="185" customWidth="1"/>
    <col min="15859" max="15861" width="8.33203125" style="185" customWidth="1"/>
    <col min="15862" max="15862" width="15.44140625" style="185" customWidth="1"/>
    <col min="15863" max="15863" width="19.33203125" style="185" customWidth="1"/>
    <col min="15864" max="15864" width="11" style="185" customWidth="1"/>
    <col min="15865" max="15868" width="4.88671875" style="185" customWidth="1"/>
    <col min="15869" max="15870" width="5.44140625" style="185" customWidth="1"/>
    <col min="15871" max="15871" width="6.44140625" style="185" customWidth="1"/>
    <col min="15872" max="15872" width="7.109375" style="185" customWidth="1"/>
    <col min="15873" max="15873" width="7.33203125" style="185" customWidth="1"/>
    <col min="15874" max="15874" width="7" style="185" customWidth="1"/>
    <col min="15875" max="15875" width="7.44140625" style="185" customWidth="1"/>
    <col min="15876" max="15876" width="5.88671875" style="185" customWidth="1"/>
    <col min="15877" max="15880" width="4.6640625" style="185" customWidth="1"/>
    <col min="15881" max="16111" width="11.44140625" style="185"/>
    <col min="16112" max="16112" width="1.5546875" style="185" customWidth="1"/>
    <col min="16113" max="16113" width="4.6640625" style="185" customWidth="1"/>
    <col min="16114" max="16114" width="5" style="185" customWidth="1"/>
    <col min="16115" max="16117" width="8.33203125" style="185" customWidth="1"/>
    <col min="16118" max="16118" width="15.44140625" style="185" customWidth="1"/>
    <col min="16119" max="16119" width="19.33203125" style="185" customWidth="1"/>
    <col min="16120" max="16120" width="11" style="185" customWidth="1"/>
    <col min="16121" max="16124" width="4.88671875" style="185" customWidth="1"/>
    <col min="16125" max="16126" width="5.44140625" style="185" customWidth="1"/>
    <col min="16127" max="16127" width="6.44140625" style="185" customWidth="1"/>
    <col min="16128" max="16128" width="7.109375" style="185" customWidth="1"/>
    <col min="16129" max="16129" width="7.33203125" style="185" customWidth="1"/>
    <col min="16130" max="16130" width="7" style="185" customWidth="1"/>
    <col min="16131" max="16131" width="7.44140625" style="185" customWidth="1"/>
    <col min="16132" max="16132" width="5.88671875" style="185" customWidth="1"/>
    <col min="16133" max="16136" width="4.6640625" style="185" customWidth="1"/>
    <col min="16137" max="16384" width="11.44140625" style="185"/>
  </cols>
  <sheetData>
    <row r="1" spans="1:29" s="204" customFormat="1" ht="15.9" customHeight="1">
      <c r="A1" s="501"/>
      <c r="B1" s="502"/>
      <c r="C1" s="503"/>
      <c r="D1" s="502" t="s">
        <v>76</v>
      </c>
      <c r="E1" s="502"/>
      <c r="F1" s="502"/>
      <c r="G1" s="502"/>
      <c r="H1" s="502"/>
      <c r="I1" s="502"/>
      <c r="J1" s="502"/>
      <c r="K1" s="502"/>
      <c r="L1" s="502"/>
      <c r="M1" s="502"/>
      <c r="N1" s="502"/>
      <c r="O1" s="502"/>
      <c r="P1" s="502"/>
      <c r="Q1" s="502"/>
      <c r="R1" s="502"/>
      <c r="S1" s="502"/>
      <c r="T1" s="502"/>
      <c r="U1" s="502"/>
      <c r="V1" s="502"/>
      <c r="W1" s="502"/>
      <c r="X1" s="102" t="s">
        <v>77</v>
      </c>
      <c r="Y1" s="93"/>
      <c r="Z1" s="93"/>
    </row>
    <row r="2" spans="1:29" s="204" customFormat="1" ht="15.9" customHeight="1">
      <c r="A2" s="504"/>
      <c r="B2" s="505"/>
      <c r="C2" s="506"/>
      <c r="D2" s="505"/>
      <c r="E2" s="505"/>
      <c r="F2" s="505"/>
      <c r="G2" s="505"/>
      <c r="H2" s="505"/>
      <c r="I2" s="505"/>
      <c r="J2" s="505"/>
      <c r="K2" s="505"/>
      <c r="L2" s="505"/>
      <c r="M2" s="505"/>
      <c r="N2" s="505"/>
      <c r="O2" s="505"/>
      <c r="P2" s="505"/>
      <c r="Q2" s="505"/>
      <c r="R2" s="505"/>
      <c r="S2" s="505"/>
      <c r="T2" s="505"/>
      <c r="U2" s="505"/>
      <c r="V2" s="505"/>
      <c r="W2" s="505"/>
      <c r="X2" s="103" t="s">
        <v>78</v>
      </c>
      <c r="Y2" s="94"/>
      <c r="Z2" s="94"/>
    </row>
    <row r="3" spans="1:29" s="204" customFormat="1" ht="15.9" customHeight="1">
      <c r="A3" s="504"/>
      <c r="B3" s="505"/>
      <c r="C3" s="506"/>
      <c r="D3" s="505"/>
      <c r="E3" s="505"/>
      <c r="F3" s="505"/>
      <c r="G3" s="505"/>
      <c r="H3" s="505"/>
      <c r="I3" s="505"/>
      <c r="J3" s="505"/>
      <c r="K3" s="505"/>
      <c r="L3" s="505"/>
      <c r="M3" s="505"/>
      <c r="N3" s="505"/>
      <c r="O3" s="505"/>
      <c r="P3" s="505"/>
      <c r="Q3" s="505"/>
      <c r="R3" s="505"/>
      <c r="S3" s="505"/>
      <c r="T3" s="505"/>
      <c r="U3" s="505"/>
      <c r="V3" s="505"/>
      <c r="W3" s="505"/>
      <c r="X3" s="103" t="s">
        <v>79</v>
      </c>
      <c r="Y3" s="94"/>
      <c r="Z3" s="94"/>
    </row>
    <row r="4" spans="1:29" s="204" customFormat="1" ht="15.9" customHeight="1" thickBot="1">
      <c r="A4" s="507"/>
      <c r="B4" s="508"/>
      <c r="C4" s="509"/>
      <c r="D4" s="508"/>
      <c r="E4" s="508"/>
      <c r="F4" s="508"/>
      <c r="G4" s="508"/>
      <c r="H4" s="508"/>
      <c r="I4" s="508"/>
      <c r="J4" s="508"/>
      <c r="K4" s="508"/>
      <c r="L4" s="508"/>
      <c r="M4" s="508"/>
      <c r="N4" s="508"/>
      <c r="O4" s="508"/>
      <c r="P4" s="508"/>
      <c r="Q4" s="508"/>
      <c r="R4" s="508"/>
      <c r="S4" s="508"/>
      <c r="T4" s="508"/>
      <c r="U4" s="508"/>
      <c r="V4" s="508"/>
      <c r="W4" s="508"/>
      <c r="X4" s="104" t="s">
        <v>80</v>
      </c>
      <c r="Y4" s="2"/>
      <c r="Z4" s="2"/>
    </row>
    <row r="5" spans="1:29">
      <c r="A5" s="177"/>
      <c r="B5" s="178"/>
      <c r="C5" s="179"/>
      <c r="D5" s="179"/>
      <c r="E5" s="180"/>
      <c r="F5" s="180"/>
      <c r="G5" s="180"/>
      <c r="H5" s="180"/>
      <c r="I5" s="180"/>
      <c r="J5" s="180"/>
      <c r="K5" s="180"/>
      <c r="L5" s="178"/>
      <c r="M5" s="178"/>
      <c r="N5" s="178"/>
      <c r="O5" s="178"/>
      <c r="P5" s="178"/>
      <c r="Q5" s="178"/>
      <c r="R5" s="181"/>
      <c r="S5" s="182"/>
      <c r="T5" s="182"/>
      <c r="U5" s="182"/>
      <c r="V5" s="181"/>
      <c r="W5" s="181"/>
      <c r="X5" s="183"/>
    </row>
    <row r="6" spans="1:29" s="97" customFormat="1" ht="39.9" customHeight="1">
      <c r="A6" s="515" t="s">
        <v>189</v>
      </c>
      <c r="B6" s="510" t="s">
        <v>190</v>
      </c>
      <c r="C6" s="499" t="s">
        <v>191</v>
      </c>
      <c r="D6" s="499" t="s">
        <v>192</v>
      </c>
      <c r="E6" s="500" t="s">
        <v>193</v>
      </c>
      <c r="F6" s="500" t="s">
        <v>194</v>
      </c>
      <c r="G6" s="500" t="s">
        <v>195</v>
      </c>
      <c r="H6" s="499" t="s">
        <v>196</v>
      </c>
      <c r="I6" s="499"/>
      <c r="J6" s="499"/>
      <c r="K6" s="499"/>
      <c r="L6" s="95" t="s">
        <v>67</v>
      </c>
      <c r="M6" s="499" t="s">
        <v>197</v>
      </c>
      <c r="N6" s="512" t="s">
        <v>198</v>
      </c>
      <c r="O6" s="512"/>
      <c r="P6" s="512" t="s">
        <v>199</v>
      </c>
      <c r="Q6" s="499" t="s">
        <v>200</v>
      </c>
      <c r="R6" s="499" t="s">
        <v>201</v>
      </c>
      <c r="S6" s="513" t="s">
        <v>202</v>
      </c>
      <c r="T6" s="514"/>
      <c r="U6" s="514"/>
      <c r="V6" s="499" t="s">
        <v>203</v>
      </c>
      <c r="W6" s="499" t="s">
        <v>204</v>
      </c>
      <c r="X6" s="499" t="s">
        <v>205</v>
      </c>
      <c r="Y6" s="96"/>
      <c r="Z6" s="96"/>
    </row>
    <row r="7" spans="1:29" s="184" customFormat="1">
      <c r="A7" s="515"/>
      <c r="B7" s="511"/>
      <c r="C7" s="499"/>
      <c r="D7" s="499"/>
      <c r="E7" s="500"/>
      <c r="F7" s="500"/>
      <c r="G7" s="500"/>
      <c r="H7" s="99">
        <v>12</v>
      </c>
      <c r="I7" s="99">
        <v>3</v>
      </c>
      <c r="J7" s="99">
        <v>6</v>
      </c>
      <c r="K7" s="99">
        <v>9</v>
      </c>
      <c r="L7" s="98" t="s">
        <v>206</v>
      </c>
      <c r="M7" s="499"/>
      <c r="N7" s="100" t="s">
        <v>207</v>
      </c>
      <c r="O7" s="100" t="s">
        <v>208</v>
      </c>
      <c r="P7" s="512"/>
      <c r="Q7" s="499"/>
      <c r="R7" s="499"/>
      <c r="S7" s="95" t="s">
        <v>68</v>
      </c>
      <c r="T7" s="95" t="s">
        <v>69</v>
      </c>
      <c r="U7" s="95" t="s">
        <v>70</v>
      </c>
      <c r="V7" s="499"/>
      <c r="W7" s="499"/>
      <c r="X7" s="499"/>
    </row>
    <row r="8" spans="1:29">
      <c r="A8" s="186"/>
      <c r="B8" s="101"/>
      <c r="C8" s="187"/>
      <c r="D8" s="116"/>
      <c r="E8" s="173"/>
      <c r="F8" s="173"/>
      <c r="G8" s="171"/>
      <c r="H8" s="188"/>
      <c r="I8" s="188"/>
      <c r="J8" s="188"/>
      <c r="K8" s="188"/>
      <c r="L8" s="188"/>
      <c r="M8" s="188"/>
      <c r="N8" s="188"/>
      <c r="O8" s="188"/>
      <c r="P8" s="188"/>
      <c r="Q8" s="188"/>
      <c r="R8" s="188"/>
      <c r="S8" s="206"/>
      <c r="T8" s="206"/>
      <c r="U8" s="206"/>
      <c r="V8" s="188"/>
      <c r="W8" s="172"/>
      <c r="X8" s="189"/>
      <c r="Z8" s="117"/>
      <c r="AA8" s="118"/>
      <c r="AB8" s="118"/>
      <c r="AC8" s="118"/>
    </row>
    <row r="9" spans="1:29">
      <c r="A9" s="186"/>
      <c r="B9" s="101"/>
      <c r="C9" s="187"/>
      <c r="D9" s="116"/>
      <c r="E9" s="173"/>
      <c r="F9" s="173"/>
      <c r="G9" s="171"/>
      <c r="H9" s="188"/>
      <c r="I9" s="188"/>
      <c r="J9" s="188"/>
      <c r="K9" s="188"/>
      <c r="L9" s="188"/>
      <c r="M9" s="188"/>
      <c r="N9" s="188"/>
      <c r="O9" s="188"/>
      <c r="P9" s="188"/>
      <c r="Q9" s="188"/>
      <c r="R9" s="188"/>
      <c r="S9" s="206"/>
      <c r="T9" s="206"/>
      <c r="U9" s="206"/>
      <c r="V9" s="188"/>
      <c r="W9" s="172"/>
      <c r="X9" s="189"/>
      <c r="Z9" s="117"/>
      <c r="AA9" s="118"/>
      <c r="AB9" s="118"/>
      <c r="AC9" s="118"/>
    </row>
    <row r="10" spans="1:29">
      <c r="A10" s="186"/>
      <c r="B10" s="101"/>
      <c r="C10" s="187"/>
      <c r="D10" s="116"/>
      <c r="E10" s="173"/>
      <c r="F10" s="173"/>
      <c r="G10" s="171"/>
      <c r="H10" s="188"/>
      <c r="I10" s="188"/>
      <c r="J10" s="188"/>
      <c r="K10" s="188"/>
      <c r="L10" s="188"/>
      <c r="M10" s="188"/>
      <c r="N10" s="188"/>
      <c r="O10" s="188"/>
      <c r="P10" s="188"/>
      <c r="Q10" s="188"/>
      <c r="R10" s="188"/>
      <c r="S10" s="206"/>
      <c r="T10" s="206"/>
      <c r="U10" s="206"/>
      <c r="V10" s="188"/>
      <c r="W10" s="172"/>
      <c r="X10" s="189"/>
      <c r="Z10" s="117"/>
      <c r="AA10" s="118"/>
      <c r="AB10" s="118"/>
      <c r="AC10" s="118"/>
    </row>
    <row r="11" spans="1:29">
      <c r="A11" s="186"/>
      <c r="B11" s="101"/>
      <c r="C11" s="187"/>
      <c r="D11" s="116"/>
      <c r="E11" s="173"/>
      <c r="F11" s="173"/>
      <c r="G11" s="171"/>
      <c r="H11" s="188"/>
      <c r="I11" s="188"/>
      <c r="J11" s="188"/>
      <c r="K11" s="188"/>
      <c r="L11" s="188"/>
      <c r="M11" s="188"/>
      <c r="N11" s="188"/>
      <c r="O11" s="188"/>
      <c r="P11" s="188"/>
      <c r="Q11" s="188"/>
      <c r="R11" s="188"/>
      <c r="S11" s="206"/>
      <c r="T11" s="206"/>
      <c r="U11" s="206"/>
      <c r="V11" s="188"/>
      <c r="W11" s="172"/>
      <c r="X11" s="189"/>
      <c r="Z11" s="117"/>
      <c r="AA11" s="118"/>
      <c r="AB11" s="118"/>
      <c r="AC11" s="118"/>
    </row>
    <row r="12" spans="1:29">
      <c r="A12" s="186"/>
      <c r="B12" s="101"/>
      <c r="C12" s="187"/>
      <c r="D12" s="116"/>
      <c r="E12" s="173"/>
      <c r="F12" s="173"/>
      <c r="G12" s="171"/>
      <c r="H12" s="188"/>
      <c r="I12" s="188"/>
      <c r="J12" s="188"/>
      <c r="K12" s="188"/>
      <c r="L12" s="188"/>
      <c r="M12" s="188"/>
      <c r="N12" s="188"/>
      <c r="O12" s="188"/>
      <c r="P12" s="188"/>
      <c r="Q12" s="188"/>
      <c r="R12" s="188"/>
      <c r="S12" s="206"/>
      <c r="T12" s="206"/>
      <c r="U12" s="206"/>
      <c r="V12" s="188"/>
      <c r="W12" s="172"/>
      <c r="X12" s="189"/>
      <c r="Z12" s="117"/>
      <c r="AA12" s="118"/>
      <c r="AB12" s="118"/>
      <c r="AC12" s="118"/>
    </row>
    <row r="13" spans="1:29">
      <c r="A13" s="186"/>
      <c r="B13" s="101"/>
      <c r="C13" s="187"/>
      <c r="D13" s="116"/>
      <c r="E13" s="173"/>
      <c r="F13" s="173"/>
      <c r="G13" s="171"/>
      <c r="H13" s="188"/>
      <c r="I13" s="188"/>
      <c r="J13" s="188"/>
      <c r="K13" s="188"/>
      <c r="L13" s="188"/>
      <c r="M13" s="188"/>
      <c r="N13" s="188"/>
      <c r="O13" s="188"/>
      <c r="P13" s="188"/>
      <c r="Q13" s="188"/>
      <c r="R13" s="188"/>
      <c r="S13" s="206"/>
      <c r="T13" s="206"/>
      <c r="U13" s="206"/>
      <c r="V13" s="188"/>
      <c r="W13" s="172"/>
      <c r="X13" s="189"/>
      <c r="Z13" s="117"/>
      <c r="AA13" s="118"/>
      <c r="AB13" s="118"/>
      <c r="AC13" s="118"/>
    </row>
    <row r="14" spans="1:29">
      <c r="A14" s="186"/>
      <c r="B14" s="101"/>
      <c r="C14" s="187"/>
      <c r="D14" s="116"/>
      <c r="E14" s="173"/>
      <c r="F14" s="173"/>
      <c r="G14" s="171"/>
      <c r="H14" s="188"/>
      <c r="I14" s="188"/>
      <c r="J14" s="188"/>
      <c r="K14" s="188"/>
      <c r="L14" s="188"/>
      <c r="M14" s="188"/>
      <c r="N14" s="188"/>
      <c r="O14" s="188"/>
      <c r="P14" s="188"/>
      <c r="Q14" s="188"/>
      <c r="R14" s="188"/>
      <c r="S14" s="206"/>
      <c r="T14" s="206"/>
      <c r="U14" s="206"/>
      <c r="V14" s="188"/>
      <c r="W14" s="172"/>
      <c r="X14" s="189"/>
      <c r="Z14" s="117"/>
      <c r="AA14" s="118"/>
      <c r="AB14" s="118"/>
      <c r="AC14" s="118"/>
    </row>
    <row r="15" spans="1:29">
      <c r="A15" s="186"/>
      <c r="B15" s="101"/>
      <c r="C15" s="187"/>
      <c r="D15" s="116"/>
      <c r="E15" s="173"/>
      <c r="F15" s="173"/>
      <c r="G15" s="171"/>
      <c r="H15" s="188"/>
      <c r="I15" s="188"/>
      <c r="J15" s="188"/>
      <c r="K15" s="188"/>
      <c r="L15" s="188"/>
      <c r="M15" s="188"/>
      <c r="N15" s="188"/>
      <c r="O15" s="188"/>
      <c r="P15" s="188"/>
      <c r="Q15" s="188"/>
      <c r="R15" s="188"/>
      <c r="S15" s="206"/>
      <c r="T15" s="206"/>
      <c r="U15" s="206"/>
      <c r="V15" s="188"/>
      <c r="W15" s="172"/>
      <c r="X15" s="189"/>
      <c r="Z15" s="117"/>
      <c r="AA15" s="118"/>
      <c r="AB15" s="118"/>
      <c r="AC15" s="118"/>
    </row>
    <row r="16" spans="1:29">
      <c r="A16" s="186"/>
      <c r="B16" s="101"/>
      <c r="C16" s="187"/>
      <c r="D16" s="116"/>
      <c r="E16" s="173"/>
      <c r="F16" s="173"/>
      <c r="G16" s="171"/>
      <c r="H16" s="188"/>
      <c r="I16" s="188"/>
      <c r="J16" s="188"/>
      <c r="K16" s="188"/>
      <c r="L16" s="188"/>
      <c r="M16" s="188"/>
      <c r="N16" s="188"/>
      <c r="O16" s="188"/>
      <c r="P16" s="188"/>
      <c r="Q16" s="188"/>
      <c r="R16" s="188"/>
      <c r="S16" s="206"/>
      <c r="T16" s="206"/>
      <c r="U16" s="206"/>
      <c r="V16" s="188"/>
      <c r="W16" s="172"/>
      <c r="X16" s="189"/>
      <c r="Z16" s="117"/>
      <c r="AA16" s="118"/>
      <c r="AB16" s="118"/>
      <c r="AC16" s="118"/>
    </row>
    <row r="17" spans="1:29">
      <c r="A17" s="186"/>
      <c r="B17" s="101"/>
      <c r="C17" s="187"/>
      <c r="D17" s="116"/>
      <c r="E17" s="173"/>
      <c r="F17" s="173"/>
      <c r="G17" s="171"/>
      <c r="H17" s="188"/>
      <c r="I17" s="188"/>
      <c r="J17" s="188"/>
      <c r="K17" s="188"/>
      <c r="L17" s="188"/>
      <c r="M17" s="188"/>
      <c r="N17" s="188"/>
      <c r="O17" s="188"/>
      <c r="P17" s="188"/>
      <c r="Q17" s="188"/>
      <c r="R17" s="188"/>
      <c r="S17" s="206"/>
      <c r="T17" s="206"/>
      <c r="U17" s="206"/>
      <c r="V17" s="188"/>
      <c r="W17" s="172"/>
      <c r="X17" s="189"/>
      <c r="Z17" s="117"/>
      <c r="AA17" s="118"/>
      <c r="AB17" s="118"/>
      <c r="AC17" s="118"/>
    </row>
    <row r="18" spans="1:29">
      <c r="A18" s="186"/>
      <c r="B18" s="101"/>
      <c r="C18" s="187"/>
      <c r="D18" s="116"/>
      <c r="E18" s="173"/>
      <c r="F18" s="173"/>
      <c r="G18" s="171"/>
      <c r="H18" s="188"/>
      <c r="I18" s="188"/>
      <c r="J18" s="188"/>
      <c r="K18" s="188"/>
      <c r="L18" s="188"/>
      <c r="M18" s="188"/>
      <c r="N18" s="188"/>
      <c r="O18" s="188"/>
      <c r="P18" s="188"/>
      <c r="Q18" s="188"/>
      <c r="R18" s="188"/>
      <c r="S18" s="206"/>
      <c r="T18" s="206"/>
      <c r="U18" s="206"/>
      <c r="V18" s="188"/>
      <c r="W18" s="172"/>
      <c r="X18" s="189"/>
      <c r="Z18" s="117"/>
      <c r="AA18" s="118"/>
      <c r="AB18" s="118"/>
      <c r="AC18" s="118"/>
    </row>
    <row r="19" spans="1:29">
      <c r="A19" s="186"/>
      <c r="B19" s="101"/>
      <c r="C19" s="187"/>
      <c r="D19" s="116"/>
      <c r="E19" s="173"/>
      <c r="F19" s="173"/>
      <c r="G19" s="171"/>
      <c r="H19" s="188"/>
      <c r="I19" s="188"/>
      <c r="J19" s="188"/>
      <c r="K19" s="188"/>
      <c r="L19" s="188"/>
      <c r="M19" s="188"/>
      <c r="N19" s="188"/>
      <c r="O19" s="188"/>
      <c r="P19" s="188"/>
      <c r="Q19" s="188"/>
      <c r="R19" s="188"/>
      <c r="S19" s="206"/>
      <c r="T19" s="206"/>
      <c r="U19" s="206"/>
      <c r="V19" s="188"/>
      <c r="W19" s="172"/>
      <c r="X19" s="189"/>
      <c r="Z19" s="117"/>
      <c r="AA19" s="118"/>
      <c r="AB19" s="118"/>
      <c r="AC19" s="118"/>
    </row>
    <row r="20" spans="1:29">
      <c r="A20" s="186"/>
      <c r="B20" s="101"/>
      <c r="C20" s="187"/>
      <c r="D20" s="116"/>
      <c r="E20" s="173"/>
      <c r="F20" s="173"/>
      <c r="G20" s="171"/>
      <c r="H20" s="188"/>
      <c r="I20" s="188"/>
      <c r="J20" s="188"/>
      <c r="K20" s="188"/>
      <c r="L20" s="188"/>
      <c r="M20" s="188"/>
      <c r="N20" s="188"/>
      <c r="O20" s="188"/>
      <c r="P20" s="188"/>
      <c r="Q20" s="188"/>
      <c r="R20" s="188"/>
      <c r="S20" s="206"/>
      <c r="T20" s="206"/>
      <c r="U20" s="209"/>
      <c r="V20" s="188"/>
      <c r="W20" s="176"/>
      <c r="X20" s="189"/>
      <c r="Z20" s="117"/>
      <c r="AA20" s="118"/>
      <c r="AB20" s="118"/>
      <c r="AC20" s="118"/>
    </row>
    <row r="21" spans="1:29" ht="24.75" customHeight="1">
      <c r="A21" s="186"/>
      <c r="B21" s="101"/>
      <c r="C21" s="187"/>
      <c r="D21" s="116"/>
      <c r="E21" s="173"/>
      <c r="F21" s="173"/>
      <c r="G21" s="171"/>
      <c r="H21" s="188"/>
      <c r="I21" s="188"/>
      <c r="J21" s="188"/>
      <c r="K21" s="188"/>
      <c r="L21" s="188"/>
      <c r="M21" s="188"/>
      <c r="N21" s="188"/>
      <c r="O21" s="188"/>
      <c r="P21" s="188"/>
      <c r="Q21" s="188"/>
      <c r="R21" s="188"/>
      <c r="S21" s="206"/>
      <c r="T21" s="206"/>
      <c r="U21" s="209"/>
      <c r="V21" s="188"/>
      <c r="W21" s="172"/>
      <c r="X21" s="189"/>
      <c r="Z21" s="117"/>
      <c r="AA21" s="118"/>
      <c r="AB21" s="118"/>
      <c r="AC21" s="118"/>
    </row>
    <row r="22" spans="1:29">
      <c r="A22" s="186"/>
      <c r="B22" s="101"/>
      <c r="C22" s="187"/>
      <c r="D22" s="116"/>
      <c r="E22" s="173"/>
      <c r="F22" s="173"/>
      <c r="G22" s="171"/>
      <c r="H22" s="188"/>
      <c r="I22" s="188"/>
      <c r="J22" s="188"/>
      <c r="K22" s="188"/>
      <c r="L22" s="188"/>
      <c r="M22" s="188"/>
      <c r="N22" s="188"/>
      <c r="O22" s="188"/>
      <c r="P22" s="188"/>
      <c r="Q22" s="188"/>
      <c r="R22" s="188"/>
      <c r="S22" s="206"/>
      <c r="T22" s="206"/>
      <c r="U22" s="209"/>
      <c r="V22" s="188"/>
      <c r="W22" s="172"/>
      <c r="X22" s="189"/>
      <c r="Z22" s="117"/>
      <c r="AA22" s="118"/>
      <c r="AB22" s="118"/>
      <c r="AC22" s="118"/>
    </row>
    <row r="23" spans="1:29">
      <c r="A23" s="186"/>
      <c r="B23" s="101"/>
      <c r="C23" s="187"/>
      <c r="D23" s="116"/>
      <c r="E23" s="173"/>
      <c r="F23" s="173"/>
      <c r="G23" s="171"/>
      <c r="H23" s="188"/>
      <c r="I23" s="188"/>
      <c r="J23" s="188"/>
      <c r="K23" s="188"/>
      <c r="L23" s="188"/>
      <c r="M23" s="188"/>
      <c r="N23" s="188"/>
      <c r="O23" s="188"/>
      <c r="P23" s="188"/>
      <c r="Q23" s="188"/>
      <c r="R23" s="188"/>
      <c r="S23" s="206"/>
      <c r="T23" s="206"/>
      <c r="U23" s="209"/>
      <c r="V23" s="188"/>
      <c r="W23" s="172"/>
      <c r="X23" s="189"/>
      <c r="Z23" s="117"/>
      <c r="AA23" s="118"/>
      <c r="AB23" s="118"/>
      <c r="AC23" s="118"/>
    </row>
    <row r="24" spans="1:29">
      <c r="A24" s="186"/>
      <c r="B24" s="101"/>
      <c r="C24" s="187"/>
      <c r="D24" s="116"/>
      <c r="E24" s="173"/>
      <c r="F24" s="173"/>
      <c r="G24" s="171"/>
      <c r="H24" s="188"/>
      <c r="I24" s="188"/>
      <c r="J24" s="188"/>
      <c r="K24" s="188"/>
      <c r="L24" s="188"/>
      <c r="M24" s="188"/>
      <c r="N24" s="188"/>
      <c r="O24" s="188"/>
      <c r="P24" s="188"/>
      <c r="Q24" s="190"/>
      <c r="R24" s="188"/>
      <c r="S24" s="209"/>
      <c r="T24" s="219"/>
      <c r="U24" s="220"/>
      <c r="V24" s="188"/>
      <c r="W24" s="172"/>
      <c r="X24" s="189"/>
      <c r="Z24" s="117"/>
      <c r="AA24" s="118"/>
      <c r="AB24" s="118"/>
      <c r="AC24" s="118"/>
    </row>
    <row r="25" spans="1:29">
      <c r="A25" s="186"/>
      <c r="B25" s="101"/>
      <c r="C25" s="187"/>
      <c r="D25" s="116"/>
      <c r="E25" s="173"/>
      <c r="F25" s="173"/>
      <c r="G25" s="171"/>
      <c r="H25" s="188"/>
      <c r="I25" s="188"/>
      <c r="J25" s="188"/>
      <c r="K25" s="188"/>
      <c r="L25" s="188"/>
      <c r="M25" s="188"/>
      <c r="N25" s="188"/>
      <c r="O25" s="188"/>
      <c r="P25" s="188"/>
      <c r="Q25" s="190"/>
      <c r="R25" s="188"/>
      <c r="S25" s="221"/>
      <c r="T25" s="219"/>
      <c r="U25" s="220"/>
      <c r="V25" s="188"/>
      <c r="W25" s="172"/>
      <c r="X25" s="189"/>
      <c r="Z25" s="117"/>
      <c r="AA25" s="118"/>
      <c r="AB25" s="118"/>
      <c r="AC25" s="118"/>
    </row>
    <row r="26" spans="1:29">
      <c r="A26" s="186"/>
      <c r="B26" s="101"/>
      <c r="C26" s="187"/>
      <c r="D26" s="116"/>
      <c r="E26" s="173"/>
      <c r="F26" s="173"/>
      <c r="G26" s="171"/>
      <c r="H26" s="188"/>
      <c r="I26" s="188"/>
      <c r="J26" s="188"/>
      <c r="K26" s="188"/>
      <c r="L26" s="188"/>
      <c r="M26" s="188"/>
      <c r="N26" s="188"/>
      <c r="O26" s="188"/>
      <c r="P26" s="188"/>
      <c r="Q26" s="188"/>
      <c r="R26" s="188"/>
      <c r="S26" s="206"/>
      <c r="T26" s="206"/>
      <c r="U26" s="209"/>
      <c r="V26" s="188"/>
      <c r="W26" s="172"/>
      <c r="X26" s="189"/>
      <c r="Z26" s="117"/>
      <c r="AA26" s="118"/>
      <c r="AB26" s="118"/>
      <c r="AC26" s="118"/>
    </row>
    <row r="27" spans="1:29">
      <c r="A27" s="186"/>
      <c r="B27" s="101"/>
      <c r="C27" s="187"/>
      <c r="D27" s="116"/>
      <c r="E27" s="173"/>
      <c r="F27" s="173"/>
      <c r="G27" s="171"/>
      <c r="H27" s="188"/>
      <c r="I27" s="188"/>
      <c r="J27" s="188"/>
      <c r="K27" s="188"/>
      <c r="L27" s="188"/>
      <c r="M27" s="188"/>
      <c r="N27" s="188"/>
      <c r="O27" s="188"/>
      <c r="P27" s="188"/>
      <c r="Q27" s="188"/>
      <c r="R27" s="188"/>
      <c r="S27" s="206"/>
      <c r="T27" s="206"/>
      <c r="U27" s="209"/>
      <c r="V27" s="188"/>
      <c r="W27" s="172"/>
      <c r="X27" s="189"/>
      <c r="Z27" s="117"/>
      <c r="AA27" s="118"/>
      <c r="AB27" s="118"/>
      <c r="AC27" s="118"/>
    </row>
    <row r="28" spans="1:29">
      <c r="A28" s="186"/>
      <c r="B28" s="101"/>
      <c r="C28" s="187"/>
      <c r="D28" s="116"/>
      <c r="E28" s="173"/>
      <c r="F28" s="173"/>
      <c r="G28" s="171"/>
      <c r="H28" s="188"/>
      <c r="I28" s="188"/>
      <c r="J28" s="188"/>
      <c r="K28" s="188"/>
      <c r="L28" s="188"/>
      <c r="M28" s="188"/>
      <c r="N28" s="188"/>
      <c r="O28" s="188"/>
      <c r="P28" s="188"/>
      <c r="Q28" s="190"/>
      <c r="R28" s="188"/>
      <c r="S28" s="206"/>
      <c r="T28" s="206"/>
      <c r="U28" s="209"/>
      <c r="V28" s="188"/>
      <c r="W28" s="176"/>
      <c r="X28" s="189"/>
      <c r="Z28" s="117"/>
      <c r="AA28" s="118"/>
      <c r="AB28" s="118"/>
      <c r="AC28" s="118"/>
    </row>
    <row r="29" spans="1:29" ht="12.75" customHeight="1">
      <c r="A29" s="186"/>
      <c r="B29" s="101"/>
      <c r="C29" s="187"/>
      <c r="D29" s="116"/>
      <c r="E29" s="173"/>
      <c r="F29" s="173"/>
      <c r="G29" s="171"/>
      <c r="H29" s="188"/>
      <c r="I29" s="188"/>
      <c r="J29" s="188"/>
      <c r="K29" s="188"/>
      <c r="L29" s="188"/>
      <c r="M29" s="188"/>
      <c r="N29" s="188"/>
      <c r="O29" s="188"/>
      <c r="P29" s="188"/>
      <c r="Q29" s="190"/>
      <c r="R29" s="188"/>
      <c r="S29" s="206"/>
      <c r="T29" s="206"/>
      <c r="U29" s="209"/>
      <c r="V29" s="188"/>
      <c r="W29" s="172"/>
      <c r="X29" s="189"/>
      <c r="Z29" s="117"/>
      <c r="AA29" s="118"/>
      <c r="AB29" s="118"/>
      <c r="AC29" s="118"/>
    </row>
    <row r="30" spans="1:29" ht="12.75" customHeight="1">
      <c r="A30" s="186"/>
      <c r="B30" s="101"/>
      <c r="C30" s="187"/>
      <c r="D30" s="116"/>
      <c r="E30" s="173"/>
      <c r="F30" s="173"/>
      <c r="G30" s="171"/>
      <c r="H30" s="188"/>
      <c r="I30" s="188"/>
      <c r="J30" s="188"/>
      <c r="K30" s="188"/>
      <c r="L30" s="188"/>
      <c r="M30" s="188"/>
      <c r="N30" s="188"/>
      <c r="O30" s="188"/>
      <c r="P30" s="188"/>
      <c r="Q30" s="190"/>
      <c r="R30" s="188"/>
      <c r="S30" s="221"/>
      <c r="T30" s="206"/>
      <c r="U30" s="209"/>
      <c r="V30" s="188"/>
      <c r="W30" s="172"/>
      <c r="X30" s="189"/>
      <c r="Z30" s="117"/>
      <c r="AA30" s="118"/>
      <c r="AB30" s="118"/>
      <c r="AC30" s="118"/>
    </row>
    <row r="31" spans="1:29" ht="12.75" customHeight="1">
      <c r="A31" s="186"/>
      <c r="B31" s="101"/>
      <c r="C31" s="187"/>
      <c r="D31" s="116"/>
      <c r="E31" s="173"/>
      <c r="F31" s="173"/>
      <c r="G31" s="171"/>
      <c r="H31" s="188"/>
      <c r="I31" s="188"/>
      <c r="J31" s="188"/>
      <c r="K31" s="188"/>
      <c r="L31" s="188"/>
      <c r="M31" s="188"/>
      <c r="N31" s="188"/>
      <c r="O31" s="188"/>
      <c r="P31" s="188"/>
      <c r="Q31" s="190"/>
      <c r="R31" s="188"/>
      <c r="S31" s="206"/>
      <c r="T31" s="206"/>
      <c r="U31" s="209"/>
      <c r="V31" s="188"/>
      <c r="W31" s="172"/>
      <c r="X31" s="189"/>
      <c r="Z31" s="117"/>
      <c r="AA31" s="118"/>
      <c r="AB31" s="118"/>
      <c r="AC31" s="118"/>
    </row>
    <row r="32" spans="1:29">
      <c r="A32" s="186"/>
      <c r="B32" s="101"/>
      <c r="C32" s="187"/>
      <c r="D32" s="116"/>
      <c r="E32" s="173"/>
      <c r="F32" s="173"/>
      <c r="G32" s="171"/>
      <c r="H32" s="188"/>
      <c r="I32" s="188"/>
      <c r="J32" s="188"/>
      <c r="K32" s="188"/>
      <c r="L32" s="188"/>
      <c r="M32" s="188"/>
      <c r="N32" s="188"/>
      <c r="O32" s="188"/>
      <c r="P32" s="188"/>
      <c r="Q32" s="190"/>
      <c r="R32" s="188"/>
      <c r="S32" s="206"/>
      <c r="T32" s="206"/>
      <c r="U32" s="209"/>
      <c r="V32" s="188"/>
      <c r="W32" s="172"/>
      <c r="X32" s="189"/>
      <c r="Z32" s="117"/>
      <c r="AA32" s="118"/>
      <c r="AB32" s="118"/>
      <c r="AC32" s="118"/>
    </row>
    <row r="33" spans="1:29">
      <c r="A33" s="186"/>
      <c r="B33" s="101"/>
      <c r="C33" s="187"/>
      <c r="D33" s="116"/>
      <c r="E33" s="173"/>
      <c r="F33" s="173"/>
      <c r="G33" s="171"/>
      <c r="H33" s="188"/>
      <c r="I33" s="188"/>
      <c r="J33" s="188"/>
      <c r="K33" s="188"/>
      <c r="L33" s="188"/>
      <c r="M33" s="188"/>
      <c r="N33" s="188"/>
      <c r="O33" s="188"/>
      <c r="P33" s="188"/>
      <c r="Q33" s="190"/>
      <c r="R33" s="188"/>
      <c r="S33" s="206"/>
      <c r="T33" s="206"/>
      <c r="U33" s="209"/>
      <c r="V33" s="188"/>
      <c r="W33" s="172"/>
      <c r="X33" s="189"/>
      <c r="Z33" s="117"/>
      <c r="AA33" s="118"/>
      <c r="AB33" s="118"/>
      <c r="AC33" s="118"/>
    </row>
    <row r="34" spans="1:29">
      <c r="A34" s="186"/>
      <c r="B34" s="101"/>
      <c r="C34" s="187"/>
      <c r="D34" s="116"/>
      <c r="E34" s="173"/>
      <c r="F34" s="173"/>
      <c r="G34" s="171"/>
      <c r="H34" s="188"/>
      <c r="I34" s="188"/>
      <c r="J34" s="188"/>
      <c r="K34" s="188"/>
      <c r="L34" s="188"/>
      <c r="M34" s="188"/>
      <c r="N34" s="188"/>
      <c r="O34" s="188"/>
      <c r="P34" s="188"/>
      <c r="Q34" s="190"/>
      <c r="R34" s="188"/>
      <c r="S34" s="206"/>
      <c r="T34" s="206"/>
      <c r="U34" s="209"/>
      <c r="V34" s="188"/>
      <c r="W34" s="172"/>
      <c r="X34" s="189"/>
      <c r="Z34" s="117"/>
      <c r="AA34" s="118"/>
      <c r="AB34" s="118"/>
      <c r="AC34" s="118"/>
    </row>
    <row r="35" spans="1:29">
      <c r="A35" s="186"/>
      <c r="B35" s="101"/>
      <c r="C35" s="187"/>
      <c r="D35" s="116"/>
      <c r="E35" s="173"/>
      <c r="F35" s="173"/>
      <c r="G35" s="171"/>
      <c r="H35" s="188"/>
      <c r="I35" s="188"/>
      <c r="J35" s="188"/>
      <c r="K35" s="188"/>
      <c r="L35" s="188"/>
      <c r="M35" s="188"/>
      <c r="N35" s="188"/>
      <c r="O35" s="188"/>
      <c r="P35" s="188"/>
      <c r="Q35" s="190"/>
      <c r="R35" s="188"/>
      <c r="S35" s="206"/>
      <c r="T35" s="206"/>
      <c r="U35" s="209"/>
      <c r="V35" s="188"/>
      <c r="W35" s="176"/>
      <c r="X35" s="189"/>
      <c r="Z35" s="117"/>
      <c r="AA35" s="118"/>
      <c r="AB35" s="118"/>
      <c r="AC35" s="118"/>
    </row>
    <row r="36" spans="1:29">
      <c r="A36" s="186"/>
      <c r="B36" s="101"/>
      <c r="C36" s="187"/>
      <c r="D36" s="116"/>
      <c r="E36" s="173"/>
      <c r="F36" s="173"/>
      <c r="G36" s="171"/>
      <c r="H36" s="188"/>
      <c r="I36" s="188"/>
      <c r="J36" s="188"/>
      <c r="K36" s="188"/>
      <c r="L36" s="188"/>
      <c r="M36" s="188"/>
      <c r="N36" s="188"/>
      <c r="O36" s="188"/>
      <c r="P36" s="188"/>
      <c r="Q36" s="190"/>
      <c r="R36" s="188"/>
      <c r="S36" s="206"/>
      <c r="T36" s="206"/>
      <c r="U36" s="209"/>
      <c r="V36" s="188"/>
      <c r="W36" s="172"/>
      <c r="X36" s="189"/>
      <c r="Z36" s="117"/>
      <c r="AA36" s="118"/>
      <c r="AB36" s="118"/>
      <c r="AC36" s="118"/>
    </row>
    <row r="37" spans="1:29">
      <c r="A37" s="186"/>
      <c r="B37" s="101"/>
      <c r="C37" s="187"/>
      <c r="D37" s="116"/>
      <c r="E37" s="173"/>
      <c r="F37" s="173"/>
      <c r="G37" s="171"/>
      <c r="H37" s="188"/>
      <c r="I37" s="188"/>
      <c r="J37" s="188"/>
      <c r="K37" s="188"/>
      <c r="L37" s="188"/>
      <c r="M37" s="188"/>
      <c r="N37" s="188"/>
      <c r="O37" s="188"/>
      <c r="P37" s="188"/>
      <c r="Q37" s="190"/>
      <c r="R37" s="188"/>
      <c r="S37" s="206"/>
      <c r="T37" s="206"/>
      <c r="U37" s="209"/>
      <c r="V37" s="188"/>
      <c r="W37" s="172"/>
      <c r="X37" s="189"/>
      <c r="Z37" s="117"/>
      <c r="AA37" s="118"/>
      <c r="AB37" s="118"/>
      <c r="AC37" s="118"/>
    </row>
    <row r="38" spans="1:29">
      <c r="A38" s="186"/>
      <c r="B38" s="101"/>
      <c r="C38" s="187"/>
      <c r="D38" s="116"/>
      <c r="E38" s="173"/>
      <c r="F38" s="173"/>
      <c r="G38" s="171"/>
      <c r="H38" s="188"/>
      <c r="I38" s="188"/>
      <c r="J38" s="188"/>
      <c r="K38" s="188"/>
      <c r="L38" s="188"/>
      <c r="M38" s="188"/>
      <c r="N38" s="188"/>
      <c r="O38" s="188"/>
      <c r="P38" s="188"/>
      <c r="Q38" s="190"/>
      <c r="R38" s="188"/>
      <c r="S38" s="206"/>
      <c r="T38" s="206"/>
      <c r="U38" s="209"/>
      <c r="V38" s="188"/>
      <c r="W38" s="172"/>
      <c r="X38" s="189"/>
      <c r="Z38" s="117"/>
      <c r="AA38" s="118"/>
      <c r="AB38" s="118"/>
      <c r="AC38" s="118"/>
    </row>
    <row r="39" spans="1:29">
      <c r="A39" s="186"/>
      <c r="B39" s="101"/>
      <c r="C39" s="187"/>
      <c r="D39" s="116"/>
      <c r="E39" s="173"/>
      <c r="F39" s="173"/>
      <c r="G39" s="171"/>
      <c r="H39" s="188"/>
      <c r="I39" s="188"/>
      <c r="J39" s="188"/>
      <c r="K39" s="188"/>
      <c r="L39" s="188"/>
      <c r="M39" s="188"/>
      <c r="N39" s="188"/>
      <c r="O39" s="188"/>
      <c r="P39" s="188"/>
      <c r="Q39" s="190"/>
      <c r="R39" s="188"/>
      <c r="S39" s="206"/>
      <c r="T39" s="206"/>
      <c r="U39" s="209"/>
      <c r="V39" s="188"/>
      <c r="W39" s="172"/>
      <c r="X39" s="189"/>
      <c r="Z39" s="117"/>
      <c r="AA39" s="118"/>
      <c r="AB39" s="118"/>
      <c r="AC39" s="118"/>
    </row>
    <row r="40" spans="1:29">
      <c r="A40" s="186"/>
      <c r="B40" s="101"/>
      <c r="C40" s="187"/>
      <c r="D40" s="116"/>
      <c r="E40" s="173"/>
      <c r="F40" s="173"/>
      <c r="G40" s="171"/>
      <c r="H40" s="188"/>
      <c r="I40" s="188"/>
      <c r="J40" s="188"/>
      <c r="K40" s="188"/>
      <c r="L40" s="188"/>
      <c r="M40" s="188"/>
      <c r="N40" s="188"/>
      <c r="O40" s="188"/>
      <c r="P40" s="188"/>
      <c r="Q40" s="190"/>
      <c r="R40" s="188"/>
      <c r="S40" s="206"/>
      <c r="T40" s="209"/>
      <c r="U40" s="185"/>
      <c r="V40" s="188"/>
      <c r="W40" s="176"/>
      <c r="X40" s="189"/>
      <c r="Z40" s="117"/>
      <c r="AA40" s="118"/>
      <c r="AB40" s="118"/>
      <c r="AC40" s="118"/>
    </row>
    <row r="41" spans="1:29">
      <c r="A41" s="186"/>
      <c r="B41" s="101"/>
      <c r="C41" s="187"/>
      <c r="D41" s="116"/>
      <c r="E41" s="173"/>
      <c r="F41" s="173"/>
      <c r="G41" s="171"/>
      <c r="H41" s="188"/>
      <c r="I41" s="188"/>
      <c r="J41" s="188"/>
      <c r="K41" s="188"/>
      <c r="L41" s="188"/>
      <c r="M41" s="188"/>
      <c r="N41" s="188"/>
      <c r="O41" s="188"/>
      <c r="P41" s="188"/>
      <c r="Q41" s="190"/>
      <c r="R41" s="188"/>
      <c r="S41" s="206"/>
      <c r="T41" s="206"/>
      <c r="U41" s="209"/>
      <c r="V41" s="188"/>
      <c r="W41" s="172"/>
      <c r="X41" s="189"/>
      <c r="Z41" s="117"/>
      <c r="AA41" s="118"/>
      <c r="AB41" s="118"/>
      <c r="AC41" s="118"/>
    </row>
    <row r="42" spans="1:29">
      <c r="A42" s="186"/>
      <c r="B42" s="101"/>
      <c r="C42" s="187"/>
      <c r="D42" s="116"/>
      <c r="E42" s="173"/>
      <c r="F42" s="173"/>
      <c r="G42" s="171"/>
      <c r="H42" s="188"/>
      <c r="I42" s="188"/>
      <c r="J42" s="188"/>
      <c r="K42" s="188"/>
      <c r="L42" s="188"/>
      <c r="M42" s="188"/>
      <c r="N42" s="188"/>
      <c r="O42" s="188"/>
      <c r="P42" s="188"/>
      <c r="Q42" s="190"/>
      <c r="R42" s="188"/>
      <c r="S42" s="206"/>
      <c r="T42" s="206"/>
      <c r="U42" s="209"/>
      <c r="V42" s="188"/>
      <c r="W42" s="172"/>
      <c r="X42" s="189"/>
      <c r="Z42" s="117"/>
      <c r="AA42" s="118"/>
      <c r="AB42" s="118"/>
      <c r="AC42" s="118"/>
    </row>
    <row r="43" spans="1:29">
      <c r="A43" s="186"/>
      <c r="B43" s="101"/>
      <c r="C43" s="187"/>
      <c r="D43" s="116"/>
      <c r="E43" s="173"/>
      <c r="F43" s="173"/>
      <c r="G43" s="171"/>
      <c r="H43" s="188"/>
      <c r="I43" s="188"/>
      <c r="J43" s="188"/>
      <c r="K43" s="188"/>
      <c r="L43" s="188"/>
      <c r="M43" s="188"/>
      <c r="N43" s="188"/>
      <c r="O43" s="188"/>
      <c r="P43" s="188"/>
      <c r="Q43" s="190"/>
      <c r="R43" s="188"/>
      <c r="S43" s="206"/>
      <c r="T43" s="206"/>
      <c r="U43" s="209"/>
      <c r="V43" s="188"/>
      <c r="W43" s="172"/>
      <c r="X43" s="189"/>
      <c r="Z43" s="117"/>
      <c r="AA43" s="118"/>
      <c r="AB43" s="118"/>
      <c r="AC43" s="118"/>
    </row>
    <row r="44" spans="1:29">
      <c r="A44" s="186"/>
      <c r="B44" s="101"/>
      <c r="C44" s="187"/>
      <c r="D44" s="116"/>
      <c r="E44" s="173"/>
      <c r="F44" s="173"/>
      <c r="G44" s="171"/>
      <c r="H44" s="188"/>
      <c r="I44" s="188"/>
      <c r="J44" s="188"/>
      <c r="K44" s="188"/>
      <c r="L44" s="188"/>
      <c r="M44" s="188"/>
      <c r="N44" s="188"/>
      <c r="O44" s="188"/>
      <c r="P44" s="188"/>
      <c r="Q44" s="190"/>
      <c r="R44" s="188"/>
      <c r="S44" s="206"/>
      <c r="T44" s="206"/>
      <c r="U44" s="209"/>
      <c r="V44" s="188"/>
      <c r="W44" s="172"/>
      <c r="X44" s="189"/>
      <c r="Z44" s="117"/>
      <c r="AA44" s="118"/>
      <c r="AB44" s="118"/>
      <c r="AC44" s="118"/>
    </row>
    <row r="45" spans="1:29">
      <c r="A45" s="186"/>
      <c r="B45" s="101"/>
      <c r="C45" s="187"/>
      <c r="D45" s="116"/>
      <c r="E45" s="173"/>
      <c r="F45" s="173"/>
      <c r="G45" s="171"/>
      <c r="H45" s="188"/>
      <c r="I45" s="188"/>
      <c r="J45" s="188"/>
      <c r="K45" s="188"/>
      <c r="L45" s="188"/>
      <c r="M45" s="188"/>
      <c r="N45" s="188"/>
      <c r="O45" s="188"/>
      <c r="P45" s="188"/>
      <c r="Q45" s="190"/>
      <c r="R45" s="188"/>
      <c r="S45" s="206"/>
      <c r="T45" s="206"/>
      <c r="U45" s="209"/>
      <c r="V45" s="188"/>
      <c r="W45" s="172"/>
      <c r="X45" s="189"/>
      <c r="Z45" s="117"/>
      <c r="AA45" s="118"/>
      <c r="AB45" s="118"/>
      <c r="AC45" s="118"/>
    </row>
    <row r="46" spans="1:29">
      <c r="A46" s="186"/>
      <c r="B46" s="101"/>
      <c r="C46" s="187"/>
      <c r="D46" s="116"/>
      <c r="E46" s="173"/>
      <c r="F46" s="173"/>
      <c r="G46" s="171"/>
      <c r="H46" s="188"/>
      <c r="I46" s="188"/>
      <c r="J46" s="188"/>
      <c r="K46" s="188"/>
      <c r="L46" s="188"/>
      <c r="M46" s="188"/>
      <c r="N46" s="188"/>
      <c r="O46" s="188"/>
      <c r="P46" s="188"/>
      <c r="Q46" s="190"/>
      <c r="R46" s="188"/>
      <c r="S46" s="206"/>
      <c r="T46" s="206"/>
      <c r="U46" s="209"/>
      <c r="V46" s="188"/>
      <c r="W46" s="172"/>
      <c r="X46" s="189"/>
      <c r="Z46" s="117"/>
      <c r="AA46" s="118"/>
      <c r="AB46" s="118"/>
      <c r="AC46" s="118"/>
    </row>
    <row r="47" spans="1:29">
      <c r="A47" s="186"/>
      <c r="B47" s="101"/>
      <c r="C47" s="187"/>
      <c r="D47" s="116"/>
      <c r="E47" s="173"/>
      <c r="F47" s="173"/>
      <c r="G47" s="171"/>
      <c r="H47" s="188"/>
      <c r="I47" s="188"/>
      <c r="J47" s="188"/>
      <c r="K47" s="188"/>
      <c r="L47" s="188"/>
      <c r="M47" s="188"/>
      <c r="N47" s="188"/>
      <c r="O47" s="188"/>
      <c r="P47" s="188"/>
      <c r="Q47" s="190"/>
      <c r="R47" s="188"/>
      <c r="S47" s="206"/>
      <c r="T47" s="206"/>
      <c r="U47" s="209"/>
      <c r="V47" s="188"/>
      <c r="W47" s="172"/>
      <c r="X47" s="189"/>
      <c r="Z47" s="117"/>
      <c r="AA47" s="118"/>
      <c r="AB47" s="118"/>
      <c r="AC47" s="118"/>
    </row>
    <row r="48" spans="1:29">
      <c r="A48" s="186"/>
      <c r="B48" s="101"/>
      <c r="C48" s="187"/>
      <c r="D48" s="116"/>
      <c r="E48" s="173"/>
      <c r="F48" s="173"/>
      <c r="G48" s="171"/>
      <c r="H48" s="188"/>
      <c r="I48" s="188"/>
      <c r="J48" s="188"/>
      <c r="K48" s="188"/>
      <c r="L48" s="188"/>
      <c r="M48" s="188"/>
      <c r="N48" s="188"/>
      <c r="O48" s="188"/>
      <c r="P48" s="188"/>
      <c r="Q48" s="190"/>
      <c r="R48" s="188"/>
      <c r="S48" s="206"/>
      <c r="T48" s="206"/>
      <c r="U48" s="209"/>
      <c r="V48" s="188"/>
      <c r="W48" s="172"/>
      <c r="X48" s="189"/>
      <c r="Z48" s="117"/>
      <c r="AA48" s="118"/>
      <c r="AB48" s="118"/>
      <c r="AC48" s="118"/>
    </row>
    <row r="49" spans="1:29">
      <c r="A49" s="186"/>
      <c r="B49" s="101"/>
      <c r="C49" s="187"/>
      <c r="D49" s="116"/>
      <c r="E49" s="173"/>
      <c r="F49" s="173"/>
      <c r="G49" s="171"/>
      <c r="H49" s="188"/>
      <c r="I49" s="188"/>
      <c r="J49" s="188"/>
      <c r="K49" s="188"/>
      <c r="L49" s="188"/>
      <c r="M49" s="188"/>
      <c r="N49" s="188"/>
      <c r="O49" s="188"/>
      <c r="P49" s="188"/>
      <c r="Q49" s="190"/>
      <c r="R49" s="188"/>
      <c r="S49" s="206"/>
      <c r="T49" s="206"/>
      <c r="U49" s="209"/>
      <c r="V49" s="188"/>
      <c r="W49" s="176"/>
      <c r="X49" s="189"/>
      <c r="Z49" s="117"/>
      <c r="AA49" s="118"/>
      <c r="AB49" s="118"/>
      <c r="AC49" s="118"/>
    </row>
    <row r="50" spans="1:29">
      <c r="A50" s="186"/>
      <c r="B50" s="101"/>
      <c r="C50" s="187"/>
      <c r="D50" s="116"/>
      <c r="E50" s="173"/>
      <c r="F50" s="173"/>
      <c r="G50" s="171"/>
      <c r="H50" s="188"/>
      <c r="I50" s="188"/>
      <c r="J50" s="188"/>
      <c r="K50" s="188"/>
      <c r="L50" s="188"/>
      <c r="M50" s="188"/>
      <c r="N50" s="188"/>
      <c r="O50" s="188"/>
      <c r="P50" s="188"/>
      <c r="Q50" s="190"/>
      <c r="R50" s="188"/>
      <c r="S50" s="206"/>
      <c r="T50" s="206"/>
      <c r="U50" s="209"/>
      <c r="V50" s="188"/>
      <c r="W50" s="172"/>
      <c r="X50" s="189"/>
      <c r="Z50" s="117"/>
      <c r="AA50" s="118"/>
      <c r="AB50" s="118"/>
      <c r="AC50" s="118"/>
    </row>
    <row r="51" spans="1:29">
      <c r="A51" s="186"/>
      <c r="B51" s="101"/>
      <c r="C51" s="187"/>
      <c r="D51" s="116"/>
      <c r="E51" s="173"/>
      <c r="F51" s="173"/>
      <c r="G51" s="171"/>
      <c r="H51" s="188"/>
      <c r="I51" s="188"/>
      <c r="J51" s="188"/>
      <c r="K51" s="188"/>
      <c r="L51" s="188"/>
      <c r="M51" s="188"/>
      <c r="N51" s="188"/>
      <c r="O51" s="188"/>
      <c r="P51" s="188"/>
      <c r="Q51" s="190"/>
      <c r="R51" s="188"/>
      <c r="S51" s="206"/>
      <c r="T51" s="206"/>
      <c r="U51" s="209"/>
      <c r="V51" s="188"/>
      <c r="W51" s="172"/>
      <c r="X51" s="189"/>
      <c r="Z51" s="117"/>
      <c r="AA51" s="118"/>
      <c r="AB51" s="118"/>
      <c r="AC51" s="118"/>
    </row>
    <row r="52" spans="1:29">
      <c r="A52" s="186"/>
      <c r="B52" s="101"/>
      <c r="C52" s="187"/>
      <c r="D52" s="116"/>
      <c r="E52" s="173"/>
      <c r="F52" s="173"/>
      <c r="G52" s="171"/>
      <c r="H52" s="188"/>
      <c r="I52" s="188"/>
      <c r="J52" s="188"/>
      <c r="K52" s="188"/>
      <c r="L52" s="188"/>
      <c r="M52" s="188"/>
      <c r="N52" s="188"/>
      <c r="O52" s="188"/>
      <c r="P52" s="188"/>
      <c r="Q52" s="190"/>
      <c r="R52" s="188"/>
      <c r="S52" s="206"/>
      <c r="T52" s="206"/>
      <c r="U52" s="209"/>
      <c r="V52" s="188"/>
      <c r="W52" s="172"/>
      <c r="X52" s="189"/>
      <c r="Z52" s="117"/>
      <c r="AA52" s="118"/>
      <c r="AB52" s="118"/>
      <c r="AC52" s="118"/>
    </row>
    <row r="53" spans="1:29">
      <c r="A53" s="186"/>
      <c r="B53" s="101"/>
      <c r="C53" s="187"/>
      <c r="D53" s="116"/>
      <c r="E53" s="173"/>
      <c r="F53" s="173"/>
      <c r="G53" s="171"/>
      <c r="H53" s="188"/>
      <c r="I53" s="188"/>
      <c r="J53" s="188"/>
      <c r="K53" s="188"/>
      <c r="L53" s="188"/>
      <c r="M53" s="188"/>
      <c r="N53" s="188"/>
      <c r="O53" s="188"/>
      <c r="P53" s="188"/>
      <c r="Q53" s="190"/>
      <c r="R53" s="188"/>
      <c r="S53" s="206"/>
      <c r="T53" s="206"/>
      <c r="U53" s="209"/>
      <c r="V53" s="188"/>
      <c r="W53" s="172"/>
      <c r="X53" s="189"/>
      <c r="Z53" s="117"/>
      <c r="AA53" s="118"/>
      <c r="AB53" s="118"/>
      <c r="AC53" s="118"/>
    </row>
    <row r="54" spans="1:29">
      <c r="A54" s="186"/>
      <c r="B54" s="101"/>
      <c r="C54" s="187"/>
      <c r="D54" s="116"/>
      <c r="E54" s="173"/>
      <c r="F54" s="173"/>
      <c r="G54" s="171"/>
      <c r="H54" s="188"/>
      <c r="I54" s="188"/>
      <c r="J54" s="188"/>
      <c r="K54" s="188"/>
      <c r="L54" s="188"/>
      <c r="M54" s="188"/>
      <c r="N54" s="188"/>
      <c r="O54" s="188"/>
      <c r="P54" s="188"/>
      <c r="Q54" s="190"/>
      <c r="R54" s="188"/>
      <c r="S54" s="206"/>
      <c r="T54" s="206"/>
      <c r="U54" s="209"/>
      <c r="V54" s="188"/>
      <c r="W54" s="172"/>
      <c r="X54" s="189"/>
      <c r="Z54" s="117"/>
      <c r="AA54" s="118"/>
      <c r="AB54" s="118"/>
      <c r="AC54" s="118"/>
    </row>
    <row r="55" spans="1:29">
      <c r="A55" s="186"/>
      <c r="B55" s="101"/>
      <c r="C55" s="187"/>
      <c r="D55" s="116"/>
      <c r="E55" s="173"/>
      <c r="F55" s="173"/>
      <c r="G55" s="171"/>
      <c r="H55" s="188"/>
      <c r="I55" s="188"/>
      <c r="J55" s="188"/>
      <c r="K55" s="188"/>
      <c r="L55" s="188"/>
      <c r="M55" s="188"/>
      <c r="N55" s="188"/>
      <c r="O55" s="188"/>
      <c r="P55" s="188"/>
      <c r="Q55" s="190"/>
      <c r="R55" s="188"/>
      <c r="S55" s="206"/>
      <c r="T55" s="206"/>
      <c r="U55" s="209"/>
      <c r="V55" s="188"/>
      <c r="W55" s="172"/>
      <c r="X55" s="189"/>
      <c r="Z55" s="117"/>
      <c r="AA55" s="118"/>
      <c r="AB55" s="118"/>
      <c r="AC55" s="118"/>
    </row>
    <row r="56" spans="1:29">
      <c r="A56" s="186"/>
      <c r="B56" s="101"/>
      <c r="C56" s="187"/>
      <c r="D56" s="116"/>
      <c r="E56" s="173"/>
      <c r="F56" s="173"/>
      <c r="G56" s="171"/>
      <c r="H56" s="188"/>
      <c r="I56" s="188"/>
      <c r="J56" s="188"/>
      <c r="K56" s="188"/>
      <c r="L56" s="188"/>
      <c r="M56" s="188"/>
      <c r="N56" s="188"/>
      <c r="O56" s="188"/>
      <c r="P56" s="188"/>
      <c r="Q56" s="190"/>
      <c r="R56" s="188"/>
      <c r="S56" s="206"/>
      <c r="T56" s="206"/>
      <c r="U56" s="209"/>
      <c r="V56" s="188"/>
      <c r="W56" s="172"/>
      <c r="X56" s="189"/>
      <c r="Z56" s="117"/>
      <c r="AA56" s="118"/>
      <c r="AB56" s="118"/>
      <c r="AC56" s="118"/>
    </row>
    <row r="57" spans="1:29">
      <c r="A57" s="186"/>
      <c r="B57" s="101"/>
      <c r="C57" s="187"/>
      <c r="D57" s="116"/>
      <c r="E57" s="173"/>
      <c r="F57" s="173"/>
      <c r="G57" s="171"/>
      <c r="H57" s="188"/>
      <c r="I57" s="188"/>
      <c r="J57" s="188"/>
      <c r="K57" s="188"/>
      <c r="L57" s="188"/>
      <c r="M57" s="188"/>
      <c r="N57" s="188"/>
      <c r="O57" s="188"/>
      <c r="P57" s="188"/>
      <c r="Q57" s="190"/>
      <c r="R57" s="188"/>
      <c r="S57" s="206"/>
      <c r="T57" s="206"/>
      <c r="U57" s="209"/>
      <c r="V57" s="188"/>
      <c r="W57" s="172"/>
      <c r="X57" s="189"/>
      <c r="Z57" s="117"/>
      <c r="AA57" s="118"/>
      <c r="AB57" s="118"/>
      <c r="AC57" s="118"/>
    </row>
    <row r="58" spans="1:29">
      <c r="A58" s="186"/>
      <c r="B58" s="101"/>
      <c r="C58" s="187"/>
      <c r="D58" s="116"/>
      <c r="E58" s="173"/>
      <c r="F58" s="173"/>
      <c r="G58" s="171"/>
      <c r="H58" s="188"/>
      <c r="I58" s="188"/>
      <c r="J58" s="188"/>
      <c r="K58" s="188"/>
      <c r="L58" s="188"/>
      <c r="M58" s="188"/>
      <c r="N58" s="188"/>
      <c r="O58" s="188"/>
      <c r="P58" s="188"/>
      <c r="Q58" s="190"/>
      <c r="R58" s="188"/>
      <c r="S58" s="206"/>
      <c r="T58" s="206"/>
      <c r="U58" s="209"/>
      <c r="V58" s="188"/>
      <c r="W58" s="172"/>
      <c r="X58" s="189"/>
      <c r="Z58" s="117"/>
      <c r="AA58" s="118"/>
      <c r="AB58" s="118"/>
      <c r="AC58" s="118"/>
    </row>
    <row r="59" spans="1:29">
      <c r="A59" s="186"/>
      <c r="B59" s="101"/>
      <c r="C59" s="187"/>
      <c r="D59" s="116"/>
      <c r="E59" s="173"/>
      <c r="F59" s="173"/>
      <c r="G59" s="171"/>
      <c r="H59" s="188"/>
      <c r="I59" s="188"/>
      <c r="J59" s="188"/>
      <c r="K59" s="188"/>
      <c r="L59" s="188"/>
      <c r="M59" s="188"/>
      <c r="N59" s="188"/>
      <c r="O59" s="188"/>
      <c r="P59" s="188"/>
      <c r="Q59" s="190"/>
      <c r="R59" s="188"/>
      <c r="S59" s="206"/>
      <c r="T59" s="206"/>
      <c r="U59" s="209"/>
      <c r="V59" s="188"/>
      <c r="W59" s="172"/>
      <c r="X59" s="189"/>
      <c r="Z59" s="117"/>
      <c r="AA59" s="118"/>
      <c r="AB59" s="118"/>
      <c r="AC59" s="118"/>
    </row>
    <row r="60" spans="1:29">
      <c r="A60" s="186"/>
      <c r="B60" s="101"/>
      <c r="C60" s="187"/>
      <c r="D60" s="116"/>
      <c r="E60" s="173"/>
      <c r="F60" s="173"/>
      <c r="G60" s="171"/>
      <c r="H60" s="188"/>
      <c r="I60" s="188"/>
      <c r="J60" s="188"/>
      <c r="K60" s="188"/>
      <c r="L60" s="188"/>
      <c r="M60" s="188"/>
      <c r="N60" s="188"/>
      <c r="O60" s="188"/>
      <c r="P60" s="188"/>
      <c r="Q60" s="190"/>
      <c r="R60" s="188"/>
      <c r="S60" s="206"/>
      <c r="T60" s="206"/>
      <c r="U60" s="209"/>
      <c r="V60" s="188"/>
      <c r="W60" s="172"/>
      <c r="X60" s="189"/>
    </row>
    <row r="61" spans="1:29">
      <c r="A61" s="186"/>
      <c r="B61" s="101"/>
      <c r="C61" s="187"/>
      <c r="D61" s="116"/>
      <c r="E61" s="173"/>
      <c r="F61" s="173"/>
      <c r="G61" s="171"/>
      <c r="H61" s="188"/>
      <c r="I61" s="188"/>
      <c r="J61" s="188"/>
      <c r="K61" s="188"/>
      <c r="L61" s="188"/>
      <c r="M61" s="188"/>
      <c r="N61" s="188"/>
      <c r="O61" s="188"/>
      <c r="P61" s="188"/>
      <c r="Q61" s="190"/>
      <c r="R61" s="188"/>
      <c r="S61" s="206"/>
      <c r="T61" s="206"/>
      <c r="U61" s="209"/>
      <c r="V61" s="188"/>
      <c r="W61" s="172"/>
      <c r="X61" s="189"/>
    </row>
    <row r="62" spans="1:29">
      <c r="A62" s="186"/>
      <c r="B62" s="101"/>
      <c r="C62" s="187"/>
      <c r="D62" s="116"/>
      <c r="E62" s="173"/>
      <c r="F62" s="173"/>
      <c r="G62" s="171"/>
      <c r="H62" s="188"/>
      <c r="I62" s="188"/>
      <c r="J62" s="188"/>
      <c r="K62" s="188"/>
      <c r="L62" s="188"/>
      <c r="M62" s="188"/>
      <c r="N62" s="188"/>
      <c r="O62" s="188"/>
      <c r="P62" s="188"/>
      <c r="Q62" s="190"/>
      <c r="R62" s="188"/>
      <c r="S62" s="206"/>
      <c r="T62" s="206"/>
      <c r="U62" s="209"/>
      <c r="V62" s="188"/>
      <c r="W62" s="176"/>
      <c r="X62" s="189"/>
    </row>
    <row r="63" spans="1:29">
      <c r="A63" s="186"/>
      <c r="B63" s="101"/>
      <c r="C63" s="187"/>
      <c r="D63" s="116"/>
      <c r="E63" s="173"/>
      <c r="F63" s="173"/>
      <c r="G63" s="171"/>
      <c r="H63" s="188"/>
      <c r="I63" s="188"/>
      <c r="J63" s="188"/>
      <c r="K63" s="188"/>
      <c r="L63" s="188"/>
      <c r="M63" s="188"/>
      <c r="N63" s="188"/>
      <c r="O63" s="188"/>
      <c r="P63" s="188"/>
      <c r="Q63" s="190"/>
      <c r="R63" s="188"/>
      <c r="S63" s="206"/>
      <c r="T63" s="206"/>
      <c r="U63" s="209"/>
      <c r="V63" s="188"/>
      <c r="W63" s="172"/>
      <c r="X63" s="189"/>
      <c r="Z63" s="117"/>
      <c r="AA63" s="118"/>
      <c r="AB63" s="118"/>
      <c r="AC63" s="118"/>
    </row>
    <row r="64" spans="1:29">
      <c r="A64" s="186"/>
      <c r="B64" s="101"/>
      <c r="C64" s="187"/>
      <c r="D64" s="116"/>
      <c r="E64" s="173"/>
      <c r="F64" s="173"/>
      <c r="G64" s="171"/>
      <c r="H64" s="188"/>
      <c r="I64" s="188"/>
      <c r="J64" s="188"/>
      <c r="K64" s="188"/>
      <c r="L64" s="188"/>
      <c r="M64" s="188"/>
      <c r="N64" s="188"/>
      <c r="O64" s="188"/>
      <c r="P64" s="188"/>
      <c r="Q64" s="190"/>
      <c r="R64" s="188"/>
      <c r="S64" s="206"/>
      <c r="T64" s="206"/>
      <c r="U64" s="209"/>
      <c r="V64" s="188"/>
      <c r="W64" s="172"/>
      <c r="X64" s="189"/>
      <c r="Z64" s="117"/>
      <c r="AA64" s="118"/>
      <c r="AB64" s="118"/>
      <c r="AC64" s="118"/>
    </row>
    <row r="65" spans="1:29">
      <c r="A65" s="186"/>
      <c r="B65" s="101"/>
      <c r="C65" s="187"/>
      <c r="D65" s="116"/>
      <c r="E65" s="173"/>
      <c r="F65" s="173"/>
      <c r="G65" s="171"/>
      <c r="H65" s="188"/>
      <c r="I65" s="188"/>
      <c r="J65" s="188"/>
      <c r="K65" s="188"/>
      <c r="L65" s="188"/>
      <c r="M65" s="188"/>
      <c r="N65" s="188"/>
      <c r="O65" s="188"/>
      <c r="P65" s="188"/>
      <c r="Q65" s="190"/>
      <c r="R65" s="188"/>
      <c r="S65" s="206"/>
      <c r="T65" s="206"/>
      <c r="U65" s="209"/>
      <c r="V65" s="188"/>
      <c r="W65" s="172"/>
      <c r="X65" s="189"/>
    </row>
    <row r="66" spans="1:29">
      <c r="A66" s="186"/>
      <c r="B66" s="101"/>
      <c r="C66" s="187"/>
      <c r="D66" s="116"/>
      <c r="E66" s="173"/>
      <c r="F66" s="173"/>
      <c r="G66" s="171"/>
      <c r="H66" s="188"/>
      <c r="I66" s="188"/>
      <c r="J66" s="188"/>
      <c r="K66" s="188"/>
      <c r="L66" s="188"/>
      <c r="M66" s="188"/>
      <c r="N66" s="188"/>
      <c r="O66" s="188"/>
      <c r="P66" s="188"/>
      <c r="Q66" s="190"/>
      <c r="R66" s="188"/>
      <c r="S66" s="206"/>
      <c r="T66" s="206"/>
      <c r="U66" s="209"/>
      <c r="V66" s="188"/>
      <c r="W66" s="172"/>
      <c r="X66" s="189"/>
    </row>
    <row r="67" spans="1:29">
      <c r="A67" s="186"/>
      <c r="B67" s="101"/>
      <c r="C67" s="187"/>
      <c r="D67" s="116"/>
      <c r="E67" s="173"/>
      <c r="F67" s="173"/>
      <c r="G67" s="171"/>
      <c r="H67" s="188"/>
      <c r="I67" s="188"/>
      <c r="J67" s="188"/>
      <c r="K67" s="188"/>
      <c r="L67" s="188"/>
      <c r="M67" s="188"/>
      <c r="N67" s="188"/>
      <c r="O67" s="188"/>
      <c r="P67" s="188"/>
      <c r="Q67" s="190"/>
      <c r="R67" s="188"/>
      <c r="S67" s="206"/>
      <c r="T67" s="206"/>
      <c r="U67" s="209"/>
      <c r="V67" s="188"/>
      <c r="W67" s="172"/>
      <c r="X67" s="189"/>
    </row>
    <row r="68" spans="1:29">
      <c r="A68" s="186"/>
      <c r="B68" s="101"/>
      <c r="C68" s="187"/>
      <c r="D68" s="116"/>
      <c r="E68" s="173"/>
      <c r="F68" s="173"/>
      <c r="G68" s="171"/>
      <c r="H68" s="188"/>
      <c r="I68" s="188"/>
      <c r="J68" s="188"/>
      <c r="K68" s="188"/>
      <c r="L68" s="188"/>
      <c r="M68" s="188"/>
      <c r="N68" s="188"/>
      <c r="O68" s="188"/>
      <c r="P68" s="188"/>
      <c r="Q68" s="190"/>
      <c r="R68" s="188"/>
      <c r="S68" s="206"/>
      <c r="T68" s="206"/>
      <c r="U68" s="209"/>
      <c r="V68" s="188"/>
      <c r="W68" s="176"/>
      <c r="X68" s="189"/>
    </row>
    <row r="69" spans="1:29">
      <c r="A69" s="186"/>
      <c r="B69" s="101"/>
      <c r="C69" s="187"/>
      <c r="D69" s="116"/>
      <c r="E69" s="173"/>
      <c r="F69" s="173"/>
      <c r="G69" s="171"/>
      <c r="H69" s="188"/>
      <c r="I69" s="188"/>
      <c r="J69" s="188"/>
      <c r="K69" s="188"/>
      <c r="L69" s="188"/>
      <c r="M69" s="188"/>
      <c r="N69" s="188"/>
      <c r="O69" s="188"/>
      <c r="P69" s="188"/>
      <c r="Q69" s="190"/>
      <c r="R69" s="188"/>
      <c r="S69" s="206"/>
      <c r="T69" s="206"/>
      <c r="U69" s="206"/>
      <c r="V69" s="188"/>
      <c r="W69" s="172"/>
      <c r="X69" s="189"/>
    </row>
    <row r="70" spans="1:29">
      <c r="A70" s="186"/>
      <c r="B70" s="101"/>
      <c r="C70" s="187"/>
      <c r="D70" s="116"/>
      <c r="E70" s="173"/>
      <c r="F70" s="173"/>
      <c r="G70" s="171"/>
      <c r="H70" s="188"/>
      <c r="I70" s="188"/>
      <c r="J70" s="188"/>
      <c r="K70" s="188"/>
      <c r="L70" s="188"/>
      <c r="M70" s="188"/>
      <c r="N70" s="188"/>
      <c r="O70" s="188"/>
      <c r="P70" s="188"/>
      <c r="Q70" s="190"/>
      <c r="R70" s="188"/>
      <c r="S70" s="206"/>
      <c r="T70" s="206"/>
      <c r="U70" s="206"/>
      <c r="V70" s="188"/>
      <c r="W70" s="172"/>
      <c r="X70" s="189"/>
    </row>
    <row r="71" spans="1:29">
      <c r="A71" s="186"/>
      <c r="B71" s="101"/>
      <c r="C71" s="187"/>
      <c r="D71" s="116"/>
      <c r="E71" s="173"/>
      <c r="F71" s="173"/>
      <c r="G71" s="171"/>
      <c r="H71" s="188"/>
      <c r="I71" s="188"/>
      <c r="J71" s="188"/>
      <c r="K71" s="188"/>
      <c r="L71" s="188"/>
      <c r="M71" s="188"/>
      <c r="N71" s="188"/>
      <c r="O71" s="188"/>
      <c r="P71" s="188"/>
      <c r="Q71" s="190"/>
      <c r="R71" s="188"/>
      <c r="S71" s="206"/>
      <c r="T71" s="206"/>
      <c r="U71" s="206"/>
      <c r="V71" s="188"/>
      <c r="W71" s="172"/>
      <c r="X71" s="189"/>
    </row>
    <row r="72" spans="1:29">
      <c r="A72" s="186"/>
      <c r="B72" s="101"/>
      <c r="C72" s="187"/>
      <c r="D72" s="116"/>
      <c r="E72" s="173"/>
      <c r="F72" s="173"/>
      <c r="G72" s="171"/>
      <c r="H72" s="188"/>
      <c r="I72" s="188"/>
      <c r="J72" s="188"/>
      <c r="K72" s="188"/>
      <c r="L72" s="188"/>
      <c r="M72" s="188"/>
      <c r="N72" s="188"/>
      <c r="O72" s="188"/>
      <c r="P72" s="188"/>
      <c r="Q72" s="190"/>
      <c r="R72" s="188"/>
      <c r="S72" s="206"/>
      <c r="T72" s="206"/>
      <c r="U72" s="206"/>
      <c r="V72" s="188"/>
      <c r="W72" s="172"/>
      <c r="X72" s="189"/>
    </row>
    <row r="73" spans="1:29">
      <c r="A73" s="186"/>
      <c r="B73" s="101"/>
      <c r="C73" s="187"/>
      <c r="D73" s="116"/>
      <c r="E73" s="173"/>
      <c r="F73" s="173"/>
      <c r="G73" s="171"/>
      <c r="H73" s="188"/>
      <c r="I73" s="188"/>
      <c r="J73" s="188"/>
      <c r="K73" s="188"/>
      <c r="L73" s="188"/>
      <c r="M73" s="188"/>
      <c r="N73" s="188"/>
      <c r="O73" s="188"/>
      <c r="P73" s="188"/>
      <c r="Q73" s="190"/>
      <c r="R73" s="188"/>
      <c r="S73" s="206"/>
      <c r="T73" s="206"/>
      <c r="U73" s="206"/>
      <c r="V73" s="188"/>
      <c r="W73" s="172"/>
      <c r="X73" s="189"/>
    </row>
    <row r="74" spans="1:29">
      <c r="A74" s="186"/>
      <c r="B74" s="101"/>
      <c r="C74" s="187"/>
      <c r="D74" s="116"/>
      <c r="E74" s="173"/>
      <c r="F74" s="173"/>
      <c r="G74" s="171"/>
      <c r="H74" s="188"/>
      <c r="I74" s="188"/>
      <c r="J74" s="188"/>
      <c r="K74" s="188"/>
      <c r="L74" s="188"/>
      <c r="M74" s="188"/>
      <c r="N74" s="188"/>
      <c r="O74" s="188"/>
      <c r="P74" s="188"/>
      <c r="Q74" s="190"/>
      <c r="R74" s="188"/>
      <c r="S74" s="206"/>
      <c r="T74" s="206"/>
      <c r="U74" s="206"/>
      <c r="V74" s="188"/>
      <c r="W74" s="172"/>
      <c r="X74" s="189"/>
    </row>
    <row r="75" spans="1:29">
      <c r="A75" s="186"/>
      <c r="B75" s="101"/>
      <c r="C75" s="187"/>
      <c r="D75" s="116"/>
      <c r="E75" s="173"/>
      <c r="F75" s="173"/>
      <c r="G75" s="171"/>
      <c r="H75" s="188"/>
      <c r="I75" s="188"/>
      <c r="J75" s="188"/>
      <c r="K75" s="188"/>
      <c r="L75" s="188"/>
      <c r="M75" s="188"/>
      <c r="N75" s="188"/>
      <c r="O75" s="188"/>
      <c r="P75" s="188"/>
      <c r="Q75" s="190"/>
      <c r="R75" s="188"/>
      <c r="S75" s="206"/>
      <c r="T75" s="206"/>
      <c r="U75" s="206"/>
      <c r="V75" s="188"/>
      <c r="W75" s="172"/>
      <c r="X75" s="189"/>
    </row>
    <row r="76" spans="1:29">
      <c r="A76" s="186"/>
      <c r="B76" s="101"/>
      <c r="C76" s="187"/>
      <c r="D76" s="116"/>
      <c r="E76" s="173"/>
      <c r="F76" s="173"/>
      <c r="G76" s="171"/>
      <c r="H76" s="188"/>
      <c r="I76" s="188"/>
      <c r="J76" s="188"/>
      <c r="K76" s="188"/>
      <c r="L76" s="188"/>
      <c r="M76" s="188"/>
      <c r="N76" s="188"/>
      <c r="O76" s="188"/>
      <c r="P76" s="188"/>
      <c r="Q76" s="190"/>
      <c r="R76" s="188"/>
      <c r="S76" s="206"/>
      <c r="T76" s="209"/>
      <c r="U76" s="207"/>
      <c r="V76" s="188"/>
      <c r="W76" s="176"/>
      <c r="X76" s="189"/>
      <c r="Z76" s="117"/>
      <c r="AA76" s="118"/>
      <c r="AB76" s="118"/>
      <c r="AC76" s="118"/>
    </row>
    <row r="77" spans="1:29">
      <c r="A77" s="186"/>
      <c r="B77" s="101"/>
      <c r="C77" s="187"/>
      <c r="D77" s="116"/>
      <c r="E77" s="173"/>
      <c r="F77" s="173"/>
      <c r="G77" s="171"/>
      <c r="H77" s="188"/>
      <c r="I77" s="188"/>
      <c r="J77" s="188"/>
      <c r="K77" s="188"/>
      <c r="L77" s="188"/>
      <c r="M77" s="188"/>
      <c r="N77" s="188"/>
      <c r="O77" s="188"/>
      <c r="P77" s="188"/>
      <c r="Q77" s="190"/>
      <c r="R77" s="188"/>
      <c r="S77" s="206"/>
      <c r="T77" s="206"/>
      <c r="U77" s="206"/>
      <c r="V77" s="188"/>
      <c r="W77" s="172"/>
      <c r="X77" s="189"/>
      <c r="Z77" s="117"/>
      <c r="AA77" s="118"/>
      <c r="AB77" s="118"/>
      <c r="AC77" s="118"/>
    </row>
    <row r="78" spans="1:29">
      <c r="A78" s="186"/>
      <c r="B78" s="101"/>
      <c r="C78" s="187"/>
      <c r="D78" s="116"/>
      <c r="E78" s="173"/>
      <c r="F78" s="173"/>
      <c r="G78" s="171"/>
      <c r="H78" s="188"/>
      <c r="I78" s="188"/>
      <c r="J78" s="188"/>
      <c r="K78" s="188"/>
      <c r="L78" s="188"/>
      <c r="M78" s="188"/>
      <c r="N78" s="188"/>
      <c r="O78" s="188"/>
      <c r="P78" s="188"/>
      <c r="Q78" s="190"/>
      <c r="R78" s="188"/>
      <c r="S78" s="206"/>
      <c r="T78" s="206"/>
      <c r="U78" s="206"/>
      <c r="V78" s="188"/>
      <c r="W78" s="172"/>
      <c r="X78" s="189"/>
    </row>
    <row r="79" spans="1:29">
      <c r="A79" s="186"/>
      <c r="B79" s="101"/>
      <c r="C79" s="187"/>
      <c r="D79" s="116"/>
      <c r="E79" s="173"/>
      <c r="F79" s="173"/>
      <c r="G79" s="171"/>
      <c r="H79" s="188"/>
      <c r="I79" s="188"/>
      <c r="J79" s="188"/>
      <c r="K79" s="188"/>
      <c r="L79" s="188"/>
      <c r="M79" s="188"/>
      <c r="N79" s="188"/>
      <c r="O79" s="188"/>
      <c r="P79" s="188"/>
      <c r="Q79" s="190"/>
      <c r="R79" s="188"/>
      <c r="S79" s="206"/>
      <c r="T79" s="206"/>
      <c r="U79" s="206"/>
      <c r="V79" s="188"/>
      <c r="W79" s="172"/>
      <c r="X79" s="189"/>
    </row>
    <row r="80" spans="1:29">
      <c r="A80" s="186"/>
      <c r="B80" s="101"/>
      <c r="C80" s="187"/>
      <c r="D80" s="116"/>
      <c r="E80" s="173"/>
      <c r="F80" s="173"/>
      <c r="G80" s="171"/>
      <c r="H80" s="188"/>
      <c r="I80" s="188"/>
      <c r="J80" s="188"/>
      <c r="K80" s="188"/>
      <c r="L80" s="188"/>
      <c r="M80" s="188"/>
      <c r="N80" s="188"/>
      <c r="O80" s="188"/>
      <c r="P80" s="188"/>
      <c r="Q80" s="190"/>
      <c r="R80" s="188"/>
      <c r="S80" s="206"/>
      <c r="T80" s="206"/>
      <c r="U80" s="206"/>
      <c r="V80" s="188"/>
      <c r="W80" s="172"/>
      <c r="X80" s="189"/>
    </row>
    <row r="81" spans="1:29">
      <c r="A81" s="186"/>
      <c r="B81" s="101"/>
      <c r="C81" s="187"/>
      <c r="D81" s="116"/>
      <c r="E81" s="173"/>
      <c r="F81" s="173"/>
      <c r="G81" s="171"/>
      <c r="H81" s="188"/>
      <c r="I81" s="188"/>
      <c r="J81" s="188"/>
      <c r="K81" s="188"/>
      <c r="L81" s="188"/>
      <c r="M81" s="188"/>
      <c r="N81" s="188"/>
      <c r="O81" s="188"/>
      <c r="P81" s="188"/>
      <c r="Q81" s="190"/>
      <c r="R81" s="188"/>
      <c r="S81" s="206"/>
      <c r="T81" s="206"/>
      <c r="U81" s="206"/>
      <c r="V81" s="188"/>
      <c r="W81" s="172"/>
      <c r="X81" s="189"/>
    </row>
    <row r="82" spans="1:29">
      <c r="A82" s="186"/>
      <c r="B82" s="101"/>
      <c r="C82" s="187"/>
      <c r="D82" s="116"/>
      <c r="E82" s="173"/>
      <c r="F82" s="173"/>
      <c r="G82" s="171"/>
      <c r="H82" s="188"/>
      <c r="I82" s="188"/>
      <c r="J82" s="188"/>
      <c r="K82" s="188"/>
      <c r="L82" s="188"/>
      <c r="M82" s="188"/>
      <c r="N82" s="188"/>
      <c r="O82" s="188"/>
      <c r="P82" s="188"/>
      <c r="Q82" s="190"/>
      <c r="R82" s="188"/>
      <c r="S82" s="206"/>
      <c r="T82" s="206"/>
      <c r="U82" s="206"/>
      <c r="V82" s="188"/>
      <c r="W82" s="172"/>
      <c r="X82" s="189"/>
      <c r="Z82" s="117"/>
      <c r="AA82" s="118"/>
      <c r="AB82" s="118"/>
      <c r="AC82" s="118"/>
    </row>
    <row r="83" spans="1:29">
      <c r="A83" s="186"/>
      <c r="B83" s="101"/>
      <c r="C83" s="187"/>
      <c r="D83" s="116"/>
      <c r="E83" s="173"/>
      <c r="F83" s="173"/>
      <c r="G83" s="171"/>
      <c r="H83" s="188"/>
      <c r="I83" s="188"/>
      <c r="J83" s="188"/>
      <c r="K83" s="188"/>
      <c r="L83" s="188"/>
      <c r="M83" s="188"/>
      <c r="N83" s="188"/>
      <c r="O83" s="188"/>
      <c r="P83" s="188"/>
      <c r="Q83" s="190"/>
      <c r="R83" s="188"/>
      <c r="S83" s="206"/>
      <c r="T83" s="206"/>
      <c r="U83" s="206"/>
      <c r="V83" s="188"/>
      <c r="W83" s="172"/>
      <c r="X83" s="189"/>
      <c r="Z83" s="117"/>
      <c r="AA83" s="118"/>
      <c r="AB83" s="118"/>
      <c r="AC83" s="118"/>
    </row>
    <row r="84" spans="1:29">
      <c r="A84" s="186"/>
      <c r="B84" s="101"/>
      <c r="C84" s="187"/>
      <c r="D84" s="116"/>
      <c r="E84" s="173"/>
      <c r="F84" s="173"/>
      <c r="G84" s="171"/>
      <c r="H84" s="188"/>
      <c r="I84" s="188"/>
      <c r="J84" s="188"/>
      <c r="K84" s="188"/>
      <c r="L84" s="188"/>
      <c r="M84" s="188"/>
      <c r="N84" s="188"/>
      <c r="O84" s="188"/>
      <c r="P84" s="188"/>
      <c r="Q84" s="190"/>
      <c r="R84" s="188"/>
      <c r="S84" s="206"/>
      <c r="T84" s="206"/>
      <c r="U84" s="206"/>
      <c r="V84" s="188"/>
      <c r="W84" s="172"/>
      <c r="X84" s="189"/>
    </row>
    <row r="85" spans="1:29">
      <c r="A85" s="186"/>
      <c r="B85" s="101"/>
      <c r="C85" s="187"/>
      <c r="D85" s="116"/>
      <c r="E85" s="173"/>
      <c r="F85" s="173"/>
      <c r="G85" s="171"/>
      <c r="H85" s="188"/>
      <c r="I85" s="188"/>
      <c r="J85" s="188"/>
      <c r="K85" s="188"/>
      <c r="L85" s="188"/>
      <c r="M85" s="188"/>
      <c r="N85" s="188"/>
      <c r="O85" s="188"/>
      <c r="P85" s="188"/>
      <c r="Q85" s="190"/>
      <c r="R85" s="188"/>
      <c r="S85" s="206"/>
      <c r="T85" s="206"/>
      <c r="U85" s="206"/>
      <c r="V85" s="188"/>
      <c r="W85" s="172"/>
      <c r="X85" s="189"/>
    </row>
    <row r="86" spans="1:29">
      <c r="A86" s="186"/>
      <c r="B86" s="101"/>
      <c r="C86" s="187"/>
      <c r="D86" s="116"/>
      <c r="E86" s="173"/>
      <c r="F86" s="173"/>
      <c r="G86" s="171"/>
      <c r="H86" s="188"/>
      <c r="I86" s="188"/>
      <c r="J86" s="188"/>
      <c r="K86" s="188"/>
      <c r="L86" s="188"/>
      <c r="M86" s="188"/>
      <c r="N86" s="188"/>
      <c r="O86" s="188"/>
      <c r="P86" s="188"/>
      <c r="Q86" s="190"/>
      <c r="R86" s="188"/>
      <c r="S86" s="206"/>
      <c r="T86" s="206"/>
      <c r="U86" s="206"/>
      <c r="V86" s="188"/>
      <c r="W86" s="172"/>
      <c r="X86" s="189"/>
    </row>
    <row r="87" spans="1:29">
      <c r="A87" s="186"/>
      <c r="B87" s="101"/>
      <c r="C87" s="187"/>
      <c r="D87" s="116"/>
      <c r="E87" s="173"/>
      <c r="F87" s="173"/>
      <c r="G87" s="171"/>
      <c r="H87" s="188"/>
      <c r="I87" s="188"/>
      <c r="J87" s="188"/>
      <c r="K87" s="188"/>
      <c r="L87" s="188"/>
      <c r="M87" s="188"/>
      <c r="N87" s="188"/>
      <c r="O87" s="188"/>
      <c r="P87" s="188"/>
      <c r="Q87" s="190"/>
      <c r="R87" s="188"/>
      <c r="S87" s="206"/>
      <c r="T87" s="206"/>
      <c r="U87" s="206"/>
      <c r="V87" s="188"/>
      <c r="W87" s="172"/>
      <c r="X87" s="189"/>
      <c r="Z87" s="117"/>
      <c r="AA87" s="118"/>
      <c r="AB87" s="118"/>
      <c r="AC87" s="118"/>
    </row>
    <row r="88" spans="1:29">
      <c r="A88" s="186"/>
      <c r="B88" s="101"/>
      <c r="C88" s="187"/>
      <c r="D88" s="116"/>
      <c r="E88" s="173"/>
      <c r="F88" s="173"/>
      <c r="G88" s="171"/>
      <c r="H88" s="188"/>
      <c r="I88" s="188"/>
      <c r="J88" s="188"/>
      <c r="K88" s="188"/>
      <c r="L88" s="188"/>
      <c r="M88" s="188"/>
      <c r="N88" s="188"/>
      <c r="O88" s="188"/>
      <c r="P88" s="188"/>
      <c r="Q88" s="190"/>
      <c r="R88" s="188"/>
      <c r="S88" s="206"/>
      <c r="T88" s="206"/>
      <c r="U88" s="206"/>
      <c r="V88" s="188"/>
      <c r="W88" s="172"/>
      <c r="X88" s="189"/>
      <c r="Z88" s="117"/>
      <c r="AA88" s="118"/>
      <c r="AB88" s="118"/>
      <c r="AC88" s="118"/>
    </row>
    <row r="89" spans="1:29">
      <c r="A89" s="186"/>
      <c r="B89" s="101"/>
      <c r="C89" s="187"/>
      <c r="D89" s="116"/>
      <c r="E89" s="173"/>
      <c r="F89" s="173"/>
      <c r="G89" s="171"/>
      <c r="H89" s="188"/>
      <c r="I89" s="188"/>
      <c r="J89" s="188"/>
      <c r="K89" s="188"/>
      <c r="L89" s="188"/>
      <c r="M89" s="188"/>
      <c r="N89" s="188"/>
      <c r="O89" s="188"/>
      <c r="P89" s="188"/>
      <c r="Q89" s="190"/>
      <c r="R89" s="188"/>
      <c r="S89" s="206"/>
      <c r="T89" s="206"/>
      <c r="U89" s="206"/>
      <c r="V89" s="188"/>
      <c r="W89" s="172"/>
      <c r="X89" s="189"/>
    </row>
    <row r="90" spans="1:29">
      <c r="A90" s="186"/>
      <c r="B90" s="101"/>
      <c r="C90" s="187"/>
      <c r="D90" s="116"/>
      <c r="E90" s="173"/>
      <c r="F90" s="173"/>
      <c r="G90" s="171"/>
      <c r="H90" s="188"/>
      <c r="I90" s="188"/>
      <c r="J90" s="188"/>
      <c r="K90" s="188"/>
      <c r="L90" s="188"/>
      <c r="M90" s="188"/>
      <c r="N90" s="188"/>
      <c r="O90" s="188"/>
      <c r="P90" s="188"/>
      <c r="Q90" s="190"/>
      <c r="R90" s="188"/>
      <c r="S90" s="206"/>
      <c r="T90" s="206"/>
      <c r="U90" s="206"/>
      <c r="V90" s="188"/>
      <c r="W90" s="172"/>
      <c r="X90" s="189"/>
    </row>
    <row r="91" spans="1:29">
      <c r="A91" s="186"/>
      <c r="B91" s="101"/>
      <c r="C91" s="187"/>
      <c r="D91" s="116"/>
      <c r="E91" s="173"/>
      <c r="F91" s="173"/>
      <c r="G91" s="171"/>
      <c r="H91" s="188"/>
      <c r="I91" s="188"/>
      <c r="J91" s="188"/>
      <c r="K91" s="188"/>
      <c r="L91" s="188"/>
      <c r="M91" s="188"/>
      <c r="N91" s="188"/>
      <c r="O91" s="188"/>
      <c r="P91" s="188"/>
      <c r="Q91" s="190"/>
      <c r="R91" s="188"/>
      <c r="S91" s="206"/>
      <c r="T91" s="206"/>
      <c r="U91" s="206"/>
      <c r="V91" s="188"/>
      <c r="W91" s="172"/>
      <c r="X91" s="189"/>
    </row>
    <row r="92" spans="1:29">
      <c r="A92" s="186"/>
      <c r="B92" s="101"/>
      <c r="C92" s="187"/>
      <c r="D92" s="116"/>
      <c r="E92" s="173"/>
      <c r="F92" s="173"/>
      <c r="G92" s="171"/>
      <c r="H92" s="188"/>
      <c r="I92" s="188"/>
      <c r="J92" s="188"/>
      <c r="K92" s="188"/>
      <c r="L92" s="188"/>
      <c r="M92" s="188"/>
      <c r="N92" s="188"/>
      <c r="O92" s="188"/>
      <c r="P92" s="188"/>
      <c r="Q92" s="190"/>
      <c r="R92" s="188"/>
      <c r="S92" s="206"/>
      <c r="T92" s="206"/>
      <c r="U92" s="206"/>
      <c r="V92" s="188"/>
      <c r="W92" s="172"/>
      <c r="X92" s="189"/>
    </row>
    <row r="93" spans="1:29">
      <c r="A93" s="186"/>
      <c r="B93" s="101"/>
      <c r="C93" s="187"/>
      <c r="D93" s="116"/>
      <c r="E93" s="173"/>
      <c r="F93" s="173"/>
      <c r="G93" s="171"/>
      <c r="H93" s="188"/>
      <c r="I93" s="188"/>
      <c r="J93" s="188"/>
      <c r="K93" s="188"/>
      <c r="L93" s="188"/>
      <c r="M93" s="188"/>
      <c r="N93" s="188"/>
      <c r="O93" s="188"/>
      <c r="P93" s="188"/>
      <c r="Q93" s="190"/>
      <c r="R93" s="188"/>
      <c r="S93" s="206"/>
      <c r="T93" s="206"/>
      <c r="U93" s="206"/>
      <c r="V93" s="188"/>
      <c r="W93" s="172"/>
      <c r="X93" s="189"/>
      <c r="Z93" s="117"/>
      <c r="AA93" s="118"/>
      <c r="AB93" s="118"/>
      <c r="AC93" s="118"/>
    </row>
    <row r="94" spans="1:29">
      <c r="A94" s="186"/>
      <c r="B94" s="101"/>
      <c r="C94" s="187"/>
      <c r="D94" s="116"/>
      <c r="E94" s="173"/>
      <c r="F94" s="173"/>
      <c r="G94" s="171"/>
      <c r="H94" s="188"/>
      <c r="I94" s="188"/>
      <c r="J94" s="188"/>
      <c r="K94" s="188"/>
      <c r="L94" s="188"/>
      <c r="M94" s="188"/>
      <c r="N94" s="188"/>
      <c r="O94" s="188"/>
      <c r="P94" s="188"/>
      <c r="Q94" s="190"/>
      <c r="R94" s="188"/>
      <c r="S94" s="206"/>
      <c r="T94" s="206"/>
      <c r="U94" s="206"/>
      <c r="V94" s="188"/>
      <c r="W94" s="172"/>
      <c r="X94" s="189"/>
      <c r="Z94" s="117"/>
      <c r="AA94" s="118"/>
      <c r="AB94" s="118"/>
      <c r="AC94" s="118"/>
    </row>
    <row r="95" spans="1:29">
      <c r="A95" s="186"/>
      <c r="B95" s="101"/>
      <c r="C95" s="187"/>
      <c r="D95" s="116"/>
      <c r="E95" s="173"/>
      <c r="F95" s="173"/>
      <c r="G95" s="171"/>
      <c r="H95" s="188"/>
      <c r="I95" s="188"/>
      <c r="J95" s="188"/>
      <c r="K95" s="188"/>
      <c r="L95" s="188"/>
      <c r="M95" s="188"/>
      <c r="N95" s="188"/>
      <c r="O95" s="188"/>
      <c r="P95" s="188"/>
      <c r="Q95" s="190"/>
      <c r="R95" s="188"/>
      <c r="S95" s="206"/>
      <c r="T95" s="206"/>
      <c r="U95" s="206"/>
      <c r="V95" s="188"/>
      <c r="W95" s="172"/>
      <c r="X95" s="189"/>
    </row>
    <row r="96" spans="1:29">
      <c r="A96" s="186"/>
      <c r="B96" s="101"/>
      <c r="C96" s="187"/>
      <c r="D96" s="116"/>
      <c r="E96" s="173"/>
      <c r="F96" s="173"/>
      <c r="G96" s="171"/>
      <c r="H96" s="188"/>
      <c r="I96" s="188"/>
      <c r="J96" s="188"/>
      <c r="K96" s="188"/>
      <c r="L96" s="188"/>
      <c r="M96" s="188"/>
      <c r="N96" s="188"/>
      <c r="O96" s="188"/>
      <c r="P96" s="188"/>
      <c r="Q96" s="190"/>
      <c r="R96" s="188"/>
      <c r="S96" s="206"/>
      <c r="T96" s="206"/>
      <c r="U96" s="206"/>
      <c r="V96" s="188"/>
      <c r="W96" s="172"/>
      <c r="X96" s="189"/>
    </row>
    <row r="97" spans="1:29">
      <c r="A97" s="186"/>
      <c r="B97" s="101"/>
      <c r="C97" s="187"/>
      <c r="D97" s="116"/>
      <c r="E97" s="173"/>
      <c r="F97" s="173"/>
      <c r="G97" s="171"/>
      <c r="H97" s="188"/>
      <c r="I97" s="188"/>
      <c r="J97" s="188"/>
      <c r="K97" s="188"/>
      <c r="L97" s="188"/>
      <c r="M97" s="188"/>
      <c r="N97" s="188"/>
      <c r="O97" s="188"/>
      <c r="P97" s="188"/>
      <c r="Q97" s="190"/>
      <c r="R97" s="188"/>
      <c r="S97" s="206"/>
      <c r="T97" s="206"/>
      <c r="U97" s="206"/>
      <c r="V97" s="188"/>
      <c r="W97" s="172"/>
      <c r="X97" s="189"/>
    </row>
    <row r="98" spans="1:29">
      <c r="A98" s="186"/>
      <c r="B98" s="101"/>
      <c r="C98" s="187"/>
      <c r="D98" s="116"/>
      <c r="E98" s="173"/>
      <c r="F98" s="173"/>
      <c r="G98" s="171"/>
      <c r="H98" s="188"/>
      <c r="I98" s="188"/>
      <c r="J98" s="188"/>
      <c r="K98" s="188"/>
      <c r="L98" s="188"/>
      <c r="M98" s="188"/>
      <c r="N98" s="188"/>
      <c r="O98" s="188"/>
      <c r="P98" s="188"/>
      <c r="Q98" s="190"/>
      <c r="R98" s="188"/>
      <c r="S98" s="206"/>
      <c r="T98" s="206"/>
      <c r="U98" s="206"/>
      <c r="V98" s="188"/>
      <c r="W98" s="172"/>
      <c r="X98" s="189"/>
    </row>
    <row r="99" spans="1:29">
      <c r="A99" s="186"/>
      <c r="B99" s="101"/>
      <c r="C99" s="187"/>
      <c r="D99" s="116"/>
      <c r="E99" s="173"/>
      <c r="F99" s="173"/>
      <c r="G99" s="171"/>
      <c r="H99" s="188"/>
      <c r="I99" s="188"/>
      <c r="J99" s="188"/>
      <c r="K99" s="188"/>
      <c r="L99" s="188"/>
      <c r="M99" s="188"/>
      <c r="N99" s="188"/>
      <c r="O99" s="188"/>
      <c r="P99" s="188"/>
      <c r="Q99" s="190"/>
      <c r="R99" s="188"/>
      <c r="S99" s="206"/>
      <c r="T99" s="206"/>
      <c r="U99" s="206"/>
      <c r="V99" s="188"/>
      <c r="W99" s="172"/>
      <c r="X99" s="189"/>
      <c r="Z99" s="117"/>
      <c r="AA99" s="118"/>
      <c r="AB99" s="118"/>
      <c r="AC99" s="118"/>
    </row>
    <row r="100" spans="1:29">
      <c r="A100" s="186"/>
      <c r="B100" s="101"/>
      <c r="C100" s="187"/>
      <c r="D100" s="116"/>
      <c r="E100" s="173"/>
      <c r="F100" s="173"/>
      <c r="G100" s="171"/>
      <c r="H100" s="188"/>
      <c r="I100" s="188"/>
      <c r="J100" s="188"/>
      <c r="K100" s="188"/>
      <c r="L100" s="188"/>
      <c r="M100" s="188"/>
      <c r="N100" s="188"/>
      <c r="O100" s="188"/>
      <c r="P100" s="188"/>
      <c r="Q100" s="190"/>
      <c r="R100" s="188"/>
      <c r="S100" s="206"/>
      <c r="T100" s="206"/>
      <c r="U100" s="206"/>
      <c r="V100" s="188"/>
      <c r="W100" s="172"/>
      <c r="X100" s="189"/>
      <c r="Z100" s="117"/>
      <c r="AA100" s="118"/>
      <c r="AB100" s="118"/>
      <c r="AC100" s="118"/>
    </row>
    <row r="101" spans="1:29">
      <c r="A101" s="186"/>
      <c r="B101" s="101"/>
      <c r="C101" s="187"/>
      <c r="D101" s="116"/>
      <c r="E101" s="173"/>
      <c r="F101" s="173"/>
      <c r="G101" s="171"/>
      <c r="H101" s="188"/>
      <c r="I101" s="188"/>
      <c r="J101" s="188"/>
      <c r="K101" s="188"/>
      <c r="L101" s="188"/>
      <c r="M101" s="188"/>
      <c r="N101" s="188"/>
      <c r="O101" s="188"/>
      <c r="P101" s="188"/>
      <c r="Q101" s="190"/>
      <c r="R101" s="188"/>
      <c r="S101" s="206"/>
      <c r="T101" s="206"/>
      <c r="U101" s="206"/>
      <c r="V101" s="188"/>
      <c r="W101" s="172"/>
      <c r="X101" s="189"/>
    </row>
    <row r="102" spans="1:29">
      <c r="A102" s="186"/>
      <c r="B102" s="101"/>
      <c r="C102" s="187"/>
      <c r="D102" s="116"/>
      <c r="E102" s="173"/>
      <c r="F102" s="173"/>
      <c r="G102" s="171"/>
      <c r="H102" s="188"/>
      <c r="I102" s="188"/>
      <c r="J102" s="188"/>
      <c r="K102" s="188"/>
      <c r="L102" s="188"/>
      <c r="M102" s="188"/>
      <c r="N102" s="188"/>
      <c r="O102" s="188"/>
      <c r="P102" s="188"/>
      <c r="Q102" s="190"/>
      <c r="R102" s="188"/>
      <c r="S102" s="206"/>
      <c r="T102" s="206"/>
      <c r="U102" s="206"/>
      <c r="V102" s="188"/>
      <c r="W102" s="172"/>
      <c r="X102" s="189"/>
    </row>
    <row r="103" spans="1:29">
      <c r="A103" s="186"/>
      <c r="B103" s="101"/>
      <c r="C103" s="187"/>
      <c r="D103" s="116"/>
      <c r="E103" s="173"/>
      <c r="F103" s="173"/>
      <c r="G103" s="171"/>
      <c r="H103" s="188"/>
      <c r="I103" s="188"/>
      <c r="J103" s="188"/>
      <c r="K103" s="188"/>
      <c r="L103" s="188"/>
      <c r="M103" s="188"/>
      <c r="N103" s="188"/>
      <c r="O103" s="188"/>
      <c r="P103" s="188"/>
      <c r="Q103" s="190"/>
      <c r="R103" s="188"/>
      <c r="S103" s="206"/>
      <c r="T103" s="206"/>
      <c r="U103" s="206"/>
      <c r="V103" s="188"/>
      <c r="W103" s="172"/>
      <c r="X103" s="189"/>
    </row>
    <row r="104" spans="1:29">
      <c r="A104" s="186"/>
      <c r="B104" s="101"/>
      <c r="C104" s="187"/>
      <c r="D104" s="116"/>
      <c r="E104" s="173"/>
      <c r="F104" s="173"/>
      <c r="G104" s="171"/>
      <c r="H104" s="188"/>
      <c r="I104" s="188"/>
      <c r="J104" s="188"/>
      <c r="K104" s="188"/>
      <c r="L104" s="188"/>
      <c r="M104" s="188"/>
      <c r="N104" s="188"/>
      <c r="O104" s="188"/>
      <c r="P104" s="188"/>
      <c r="Q104" s="190"/>
      <c r="R104" s="188"/>
      <c r="S104" s="206"/>
      <c r="T104" s="206"/>
      <c r="U104" s="206"/>
      <c r="V104" s="188"/>
      <c r="W104" s="172"/>
      <c r="X104" s="189"/>
    </row>
    <row r="105" spans="1:29">
      <c r="A105" s="186"/>
      <c r="B105" s="101"/>
      <c r="C105" s="187"/>
      <c r="D105" s="116"/>
      <c r="E105" s="173"/>
      <c r="F105" s="173"/>
      <c r="G105" s="171"/>
      <c r="H105" s="188"/>
      <c r="I105" s="188"/>
      <c r="J105" s="188"/>
      <c r="K105" s="188"/>
      <c r="L105" s="188"/>
      <c r="M105" s="188"/>
      <c r="N105" s="188"/>
      <c r="O105" s="188"/>
      <c r="P105" s="188"/>
      <c r="Q105" s="190"/>
      <c r="R105" s="188"/>
      <c r="S105" s="206"/>
      <c r="T105" s="206"/>
      <c r="U105" s="206"/>
      <c r="V105" s="188"/>
      <c r="W105" s="172"/>
      <c r="X105" s="189"/>
      <c r="Z105" s="117"/>
      <c r="AA105" s="118"/>
      <c r="AB105" s="118"/>
      <c r="AC105" s="118"/>
    </row>
    <row r="106" spans="1:29">
      <c r="A106" s="186"/>
      <c r="B106" s="101"/>
      <c r="C106" s="187"/>
      <c r="D106" s="116"/>
      <c r="E106" s="173"/>
      <c r="F106" s="173"/>
      <c r="G106" s="171"/>
      <c r="H106" s="188"/>
      <c r="I106" s="188"/>
      <c r="J106" s="188"/>
      <c r="K106" s="188"/>
      <c r="L106" s="188"/>
      <c r="M106" s="188"/>
      <c r="N106" s="188"/>
      <c r="O106" s="188"/>
      <c r="P106" s="188"/>
      <c r="Q106" s="190"/>
      <c r="R106" s="188"/>
      <c r="S106" s="206"/>
      <c r="T106" s="206"/>
      <c r="U106" s="206"/>
      <c r="V106" s="188"/>
      <c r="W106" s="172"/>
      <c r="X106" s="189"/>
      <c r="Z106" s="117"/>
      <c r="AA106" s="118"/>
      <c r="AB106" s="118"/>
      <c r="AC106" s="118"/>
    </row>
    <row r="107" spans="1:29">
      <c r="A107" s="186"/>
      <c r="B107" s="101"/>
      <c r="C107" s="187"/>
      <c r="D107" s="116"/>
      <c r="E107" s="173"/>
      <c r="F107" s="173"/>
      <c r="G107" s="171"/>
      <c r="H107" s="188"/>
      <c r="I107" s="188"/>
      <c r="J107" s="188"/>
      <c r="K107" s="188"/>
      <c r="L107" s="188"/>
      <c r="M107" s="188"/>
      <c r="N107" s="188"/>
      <c r="O107" s="188"/>
      <c r="P107" s="188"/>
      <c r="Q107" s="190"/>
      <c r="R107" s="188"/>
      <c r="S107" s="206"/>
      <c r="T107" s="206"/>
      <c r="U107" s="206"/>
      <c r="V107" s="188"/>
      <c r="W107" s="172"/>
      <c r="X107" s="189"/>
      <c r="Z107" s="117"/>
      <c r="AA107" s="118"/>
      <c r="AB107" s="118"/>
      <c r="AC107" s="118"/>
    </row>
    <row r="108" spans="1:29">
      <c r="A108" s="186"/>
      <c r="B108" s="101"/>
      <c r="C108" s="187"/>
      <c r="D108" s="116"/>
      <c r="E108" s="173"/>
      <c r="F108" s="173"/>
      <c r="G108" s="171"/>
      <c r="H108" s="188"/>
      <c r="I108" s="188"/>
      <c r="J108" s="188"/>
      <c r="K108" s="188"/>
      <c r="L108" s="188"/>
      <c r="M108" s="188"/>
      <c r="N108" s="188"/>
      <c r="O108" s="188"/>
      <c r="P108" s="188"/>
      <c r="Q108" s="190"/>
      <c r="R108" s="188"/>
      <c r="S108" s="206"/>
      <c r="T108" s="206"/>
      <c r="U108" s="206"/>
      <c r="V108" s="188"/>
      <c r="W108" s="172"/>
      <c r="X108" s="189"/>
    </row>
    <row r="109" spans="1:29">
      <c r="A109" s="186"/>
      <c r="B109" s="101"/>
      <c r="C109" s="187"/>
      <c r="D109" s="116"/>
      <c r="E109" s="173"/>
      <c r="F109" s="173"/>
      <c r="G109" s="171"/>
      <c r="H109" s="188"/>
      <c r="I109" s="188"/>
      <c r="J109" s="188"/>
      <c r="K109" s="188"/>
      <c r="L109" s="188"/>
      <c r="M109" s="188"/>
      <c r="N109" s="188"/>
      <c r="O109" s="188"/>
      <c r="P109" s="188"/>
      <c r="Q109" s="190"/>
      <c r="R109" s="188"/>
      <c r="S109" s="206"/>
      <c r="T109" s="206"/>
      <c r="U109" s="206"/>
      <c r="V109" s="188"/>
      <c r="W109" s="172"/>
      <c r="X109" s="189"/>
    </row>
    <row r="110" spans="1:29">
      <c r="A110" s="186"/>
      <c r="B110" s="101"/>
      <c r="C110" s="187"/>
      <c r="D110" s="116"/>
      <c r="E110" s="173"/>
      <c r="F110" s="173"/>
      <c r="G110" s="171"/>
      <c r="H110" s="188"/>
      <c r="I110" s="188"/>
      <c r="J110" s="188"/>
      <c r="K110" s="188"/>
      <c r="L110" s="188"/>
      <c r="M110" s="188"/>
      <c r="N110" s="188"/>
      <c r="O110" s="188"/>
      <c r="P110" s="188"/>
      <c r="Q110" s="190"/>
      <c r="R110" s="188"/>
      <c r="S110" s="206"/>
      <c r="T110" s="206"/>
      <c r="U110" s="206"/>
      <c r="V110" s="188"/>
      <c r="W110" s="172"/>
      <c r="X110" s="189"/>
    </row>
    <row r="111" spans="1:29">
      <c r="A111" s="186"/>
      <c r="B111" s="101"/>
      <c r="C111" s="187"/>
      <c r="D111" s="116"/>
      <c r="E111" s="173"/>
      <c r="F111" s="173"/>
      <c r="G111" s="171"/>
      <c r="H111" s="188"/>
      <c r="I111" s="188"/>
      <c r="J111" s="188"/>
      <c r="K111" s="188"/>
      <c r="L111" s="188"/>
      <c r="M111" s="188"/>
      <c r="N111" s="188"/>
      <c r="O111" s="188"/>
      <c r="P111" s="188"/>
      <c r="Q111" s="190"/>
      <c r="R111" s="188"/>
      <c r="S111" s="206"/>
      <c r="T111" s="206"/>
      <c r="U111" s="206"/>
      <c r="V111" s="188"/>
      <c r="W111" s="172"/>
      <c r="X111" s="189"/>
    </row>
    <row r="112" spans="1:29">
      <c r="A112" s="186"/>
      <c r="B112" s="101"/>
      <c r="C112" s="187"/>
      <c r="D112" s="116"/>
      <c r="E112" s="173"/>
      <c r="F112" s="173"/>
      <c r="G112" s="171"/>
      <c r="H112" s="188"/>
      <c r="I112" s="188"/>
      <c r="J112" s="188"/>
      <c r="K112" s="188"/>
      <c r="L112" s="188"/>
      <c r="M112" s="188"/>
      <c r="N112" s="188"/>
      <c r="O112" s="188"/>
      <c r="P112" s="188"/>
      <c r="Q112" s="190"/>
      <c r="R112" s="188"/>
      <c r="S112" s="206"/>
      <c r="T112" s="206"/>
      <c r="U112" s="206"/>
      <c r="V112" s="188"/>
      <c r="W112" s="172"/>
      <c r="X112" s="189"/>
      <c r="Z112" s="117"/>
      <c r="AA112" s="118"/>
      <c r="AB112" s="118"/>
      <c r="AC112" s="118"/>
    </row>
    <row r="113" spans="1:29">
      <c r="A113" s="186"/>
      <c r="B113" s="101"/>
      <c r="C113" s="187"/>
      <c r="D113" s="116"/>
      <c r="E113" s="173"/>
      <c r="F113" s="173"/>
      <c r="G113" s="171"/>
      <c r="H113" s="188"/>
      <c r="I113" s="188"/>
      <c r="J113" s="188"/>
      <c r="K113" s="188"/>
      <c r="L113" s="188"/>
      <c r="M113" s="188"/>
      <c r="N113" s="188"/>
      <c r="O113" s="188"/>
      <c r="P113" s="188"/>
      <c r="Q113" s="190"/>
      <c r="R113" s="188"/>
      <c r="S113" s="206"/>
      <c r="T113" s="206"/>
      <c r="U113" s="206"/>
      <c r="V113" s="188"/>
      <c r="W113" s="172"/>
      <c r="X113" s="189"/>
      <c r="Z113" s="117"/>
      <c r="AA113" s="118"/>
      <c r="AB113" s="118"/>
      <c r="AC113" s="118"/>
    </row>
    <row r="114" spans="1:29">
      <c r="A114" s="186"/>
      <c r="B114" s="101"/>
      <c r="C114" s="187"/>
      <c r="D114" s="116"/>
      <c r="E114" s="173"/>
      <c r="F114" s="173"/>
      <c r="G114" s="171"/>
      <c r="H114" s="188"/>
      <c r="I114" s="188"/>
      <c r="J114" s="188"/>
      <c r="K114" s="188"/>
      <c r="L114" s="188"/>
      <c r="M114" s="188"/>
      <c r="N114" s="188"/>
      <c r="O114" s="188"/>
      <c r="P114" s="188"/>
      <c r="Q114" s="190"/>
      <c r="R114" s="188"/>
      <c r="S114" s="206"/>
      <c r="T114" s="206"/>
      <c r="U114" s="206"/>
      <c r="V114" s="188"/>
      <c r="W114" s="172"/>
      <c r="X114" s="189"/>
    </row>
    <row r="115" spans="1:29">
      <c r="A115" s="186"/>
      <c r="B115" s="101"/>
      <c r="C115" s="187"/>
      <c r="D115" s="116"/>
      <c r="E115" s="173"/>
      <c r="F115" s="173"/>
      <c r="G115" s="171"/>
      <c r="H115" s="188"/>
      <c r="I115" s="188"/>
      <c r="J115" s="188"/>
      <c r="K115" s="188"/>
      <c r="L115" s="188"/>
      <c r="M115" s="188"/>
      <c r="N115" s="188"/>
      <c r="O115" s="188"/>
      <c r="P115" s="188"/>
      <c r="Q115" s="190"/>
      <c r="R115" s="188"/>
      <c r="S115" s="206"/>
      <c r="T115" s="206"/>
      <c r="U115" s="206"/>
      <c r="V115" s="188"/>
      <c r="W115" s="172"/>
      <c r="X115" s="189"/>
    </row>
    <row r="116" spans="1:29">
      <c r="A116" s="186"/>
      <c r="B116" s="101"/>
      <c r="C116" s="184"/>
      <c r="D116" s="116"/>
      <c r="E116" s="173"/>
      <c r="F116" s="173"/>
      <c r="G116" s="171"/>
      <c r="H116" s="188"/>
      <c r="I116" s="188"/>
      <c r="J116" s="188"/>
      <c r="K116" s="188"/>
      <c r="L116" s="188"/>
      <c r="M116" s="188"/>
      <c r="N116" s="188"/>
      <c r="O116" s="188"/>
      <c r="P116" s="188"/>
      <c r="Q116" s="190"/>
      <c r="R116" s="188"/>
      <c r="S116" s="206"/>
      <c r="T116" s="206"/>
      <c r="U116" s="206"/>
      <c r="V116" s="188"/>
      <c r="W116" s="172"/>
      <c r="X116" s="189"/>
    </row>
    <row r="117" spans="1:29">
      <c r="A117" s="186"/>
      <c r="B117" s="101"/>
      <c r="C117" s="187"/>
      <c r="D117" s="116"/>
      <c r="E117" s="173"/>
      <c r="F117" s="173"/>
      <c r="G117" s="171"/>
      <c r="H117" s="188"/>
      <c r="I117" s="188"/>
      <c r="J117" s="188"/>
      <c r="K117" s="188"/>
      <c r="L117" s="188"/>
      <c r="M117" s="188"/>
      <c r="N117" s="188"/>
      <c r="O117" s="188"/>
      <c r="P117" s="188"/>
      <c r="Q117" s="190"/>
      <c r="R117" s="188"/>
      <c r="S117" s="206"/>
      <c r="T117" s="206"/>
      <c r="U117" s="206"/>
      <c r="V117" s="188"/>
      <c r="W117" s="172"/>
      <c r="X117" s="189"/>
    </row>
    <row r="118" spans="1:29">
      <c r="A118" s="186"/>
      <c r="B118" s="101"/>
      <c r="C118" s="187"/>
      <c r="D118" s="116"/>
      <c r="E118" s="173"/>
      <c r="F118" s="173"/>
      <c r="G118" s="171"/>
      <c r="H118" s="188"/>
      <c r="I118" s="188"/>
      <c r="J118" s="188"/>
      <c r="K118" s="188"/>
      <c r="L118" s="188"/>
      <c r="M118" s="188"/>
      <c r="N118" s="188"/>
      <c r="O118" s="188"/>
      <c r="P118" s="188"/>
      <c r="Q118" s="190"/>
      <c r="R118" s="188"/>
      <c r="S118" s="206"/>
      <c r="T118" s="206"/>
      <c r="U118" s="206"/>
      <c r="V118" s="188"/>
      <c r="W118" s="172"/>
      <c r="X118" s="189"/>
      <c r="Z118" s="117"/>
      <c r="AA118" s="118"/>
      <c r="AB118" s="118"/>
      <c r="AC118" s="118"/>
    </row>
    <row r="119" spans="1:29">
      <c r="A119" s="186"/>
      <c r="B119" s="101"/>
      <c r="C119" s="187"/>
      <c r="D119" s="116"/>
      <c r="E119" s="173"/>
      <c r="F119" s="173"/>
      <c r="G119" s="171"/>
      <c r="H119" s="188"/>
      <c r="I119" s="188"/>
      <c r="J119" s="188"/>
      <c r="K119" s="188"/>
      <c r="L119" s="188"/>
      <c r="M119" s="188"/>
      <c r="N119" s="188"/>
      <c r="O119" s="188"/>
      <c r="P119" s="188"/>
      <c r="Q119" s="190"/>
      <c r="R119" s="188"/>
      <c r="S119" s="206"/>
      <c r="T119" s="206"/>
      <c r="U119" s="206"/>
      <c r="V119" s="188"/>
      <c r="W119" s="172"/>
      <c r="X119" s="189"/>
      <c r="Z119" s="117"/>
      <c r="AA119" s="118"/>
      <c r="AB119" s="118"/>
      <c r="AC119" s="118"/>
    </row>
    <row r="120" spans="1:29">
      <c r="A120" s="186"/>
      <c r="B120" s="101"/>
      <c r="C120" s="187"/>
      <c r="D120" s="116"/>
      <c r="E120" s="173"/>
      <c r="F120" s="173"/>
      <c r="G120" s="171"/>
      <c r="H120" s="188"/>
      <c r="I120" s="188"/>
      <c r="J120" s="188"/>
      <c r="K120" s="188"/>
      <c r="L120" s="188"/>
      <c r="M120" s="188"/>
      <c r="N120" s="188"/>
      <c r="O120" s="188"/>
      <c r="P120" s="188"/>
      <c r="Q120" s="190"/>
      <c r="R120" s="188"/>
      <c r="S120" s="206"/>
      <c r="T120" s="206"/>
      <c r="U120" s="206"/>
      <c r="V120" s="188"/>
      <c r="W120" s="172"/>
      <c r="X120" s="189"/>
    </row>
    <row r="121" spans="1:29">
      <c r="A121" s="186"/>
      <c r="B121" s="101"/>
      <c r="C121" s="187"/>
      <c r="D121" s="116"/>
      <c r="E121" s="173"/>
      <c r="F121" s="173"/>
      <c r="G121" s="171"/>
      <c r="H121" s="188"/>
      <c r="I121" s="188"/>
      <c r="J121" s="188"/>
      <c r="K121" s="188"/>
      <c r="L121" s="188"/>
      <c r="M121" s="188"/>
      <c r="N121" s="188"/>
      <c r="O121" s="188"/>
      <c r="P121" s="188"/>
      <c r="Q121" s="190"/>
      <c r="R121" s="188"/>
      <c r="S121" s="206"/>
      <c r="T121" s="206"/>
      <c r="U121" s="206"/>
      <c r="V121" s="188"/>
      <c r="W121" s="172"/>
      <c r="X121" s="189"/>
      <c r="Z121" s="117"/>
      <c r="AA121" s="118"/>
      <c r="AB121" s="118"/>
      <c r="AC121" s="118"/>
    </row>
    <row r="122" spans="1:29">
      <c r="A122" s="186"/>
      <c r="B122" s="101"/>
      <c r="C122" s="187"/>
      <c r="D122" s="116"/>
      <c r="E122" s="173"/>
      <c r="F122" s="173"/>
      <c r="G122" s="171"/>
      <c r="H122" s="188"/>
      <c r="I122" s="188"/>
      <c r="J122" s="188"/>
      <c r="K122" s="188"/>
      <c r="L122" s="188"/>
      <c r="M122" s="188"/>
      <c r="N122" s="188"/>
      <c r="O122" s="188"/>
      <c r="P122" s="188"/>
      <c r="Q122" s="190"/>
      <c r="R122" s="188"/>
      <c r="S122" s="206"/>
      <c r="T122" s="206"/>
      <c r="U122" s="206"/>
      <c r="V122" s="188"/>
      <c r="W122" s="172"/>
      <c r="X122" s="189"/>
      <c r="Z122" s="117"/>
      <c r="AA122" s="118"/>
      <c r="AB122" s="118"/>
      <c r="AC122" s="118"/>
    </row>
    <row r="123" spans="1:29">
      <c r="A123" s="186"/>
      <c r="B123" s="101"/>
      <c r="C123" s="187"/>
      <c r="D123" s="116"/>
      <c r="E123" s="173"/>
      <c r="F123" s="173"/>
      <c r="G123" s="171"/>
      <c r="H123" s="188"/>
      <c r="I123" s="188"/>
      <c r="J123" s="188"/>
      <c r="K123" s="188"/>
      <c r="L123" s="188"/>
      <c r="M123" s="188"/>
      <c r="N123" s="188"/>
      <c r="O123" s="188"/>
      <c r="P123" s="188"/>
      <c r="Q123" s="190"/>
      <c r="R123" s="188"/>
      <c r="S123" s="206"/>
      <c r="T123" s="206"/>
      <c r="U123" s="206"/>
      <c r="V123" s="188"/>
      <c r="W123" s="172"/>
      <c r="X123" s="189"/>
      <c r="Z123" s="117"/>
      <c r="AA123" s="118"/>
      <c r="AB123" s="118"/>
      <c r="AC123" s="118"/>
    </row>
    <row r="124" spans="1:29">
      <c r="A124" s="186"/>
      <c r="B124" s="101"/>
      <c r="C124" s="187"/>
      <c r="D124" s="116"/>
      <c r="E124" s="173"/>
      <c r="F124" s="173"/>
      <c r="G124" s="171"/>
      <c r="H124" s="188"/>
      <c r="I124" s="188"/>
      <c r="J124" s="188"/>
      <c r="K124" s="188"/>
      <c r="L124" s="188"/>
      <c r="M124" s="188"/>
      <c r="N124" s="188"/>
      <c r="O124" s="188"/>
      <c r="P124" s="188"/>
      <c r="Q124" s="190"/>
      <c r="R124" s="188"/>
      <c r="S124" s="206"/>
      <c r="T124" s="206"/>
      <c r="U124" s="206"/>
      <c r="V124" s="188"/>
      <c r="W124" s="172"/>
      <c r="X124" s="189"/>
      <c r="Z124" s="117"/>
      <c r="AA124" s="118"/>
      <c r="AB124" s="118"/>
      <c r="AC124" s="118"/>
    </row>
    <row r="125" spans="1:29">
      <c r="A125" s="186"/>
      <c r="B125" s="101"/>
      <c r="C125" s="187"/>
      <c r="D125" s="116"/>
      <c r="E125" s="173"/>
      <c r="F125" s="173"/>
      <c r="G125" s="171"/>
      <c r="H125" s="188"/>
      <c r="I125" s="188"/>
      <c r="J125" s="188"/>
      <c r="K125" s="188"/>
      <c r="L125" s="188"/>
      <c r="M125" s="188"/>
      <c r="N125" s="188"/>
      <c r="O125" s="188"/>
      <c r="P125" s="188"/>
      <c r="Q125" s="190"/>
      <c r="R125" s="188"/>
      <c r="S125" s="206"/>
      <c r="T125" s="206"/>
      <c r="U125" s="206"/>
      <c r="V125" s="188"/>
      <c r="W125" s="172"/>
      <c r="X125" s="189"/>
      <c r="Z125" s="117"/>
      <c r="AA125" s="118"/>
      <c r="AB125" s="118"/>
      <c r="AC125" s="118"/>
    </row>
    <row r="126" spans="1:29">
      <c r="A126" s="186"/>
      <c r="B126" s="101"/>
      <c r="C126" s="187"/>
      <c r="D126" s="116"/>
      <c r="E126" s="173"/>
      <c r="F126" s="173"/>
      <c r="G126" s="171"/>
      <c r="H126" s="188"/>
      <c r="I126" s="188"/>
      <c r="J126" s="188"/>
      <c r="K126" s="188"/>
      <c r="L126" s="188"/>
      <c r="M126" s="188"/>
      <c r="N126" s="188"/>
      <c r="O126" s="188"/>
      <c r="P126" s="188"/>
      <c r="Q126" s="190"/>
      <c r="R126" s="188"/>
      <c r="S126" s="206"/>
      <c r="T126" s="206"/>
      <c r="U126" s="206"/>
      <c r="V126" s="188"/>
      <c r="W126" s="172"/>
      <c r="X126" s="189"/>
      <c r="Z126" s="117"/>
      <c r="AA126" s="118"/>
      <c r="AB126" s="118"/>
      <c r="AC126" s="118"/>
    </row>
    <row r="127" spans="1:29">
      <c r="A127" s="186"/>
      <c r="B127" s="101"/>
      <c r="C127" s="187"/>
      <c r="D127" s="116"/>
      <c r="E127" s="173"/>
      <c r="F127" s="173"/>
      <c r="G127" s="171"/>
      <c r="H127" s="188"/>
      <c r="I127" s="188"/>
      <c r="J127" s="188"/>
      <c r="K127" s="188"/>
      <c r="L127" s="188"/>
      <c r="M127" s="188"/>
      <c r="N127" s="188"/>
      <c r="O127" s="188"/>
      <c r="P127" s="188"/>
      <c r="Q127" s="190"/>
      <c r="R127" s="188"/>
      <c r="S127" s="206"/>
      <c r="T127" s="206"/>
      <c r="U127" s="206"/>
      <c r="V127" s="188"/>
      <c r="W127" s="172"/>
      <c r="X127" s="189"/>
    </row>
    <row r="128" spans="1:29">
      <c r="A128" s="186"/>
      <c r="B128" s="101"/>
      <c r="C128" s="187"/>
      <c r="D128" s="116"/>
      <c r="E128" s="173"/>
      <c r="F128" s="173"/>
      <c r="G128" s="171"/>
      <c r="H128" s="188"/>
      <c r="I128" s="188"/>
      <c r="J128" s="188"/>
      <c r="K128" s="188"/>
      <c r="L128" s="188"/>
      <c r="M128" s="188"/>
      <c r="N128" s="188"/>
      <c r="O128" s="188"/>
      <c r="P128" s="188"/>
      <c r="Q128" s="190"/>
      <c r="R128" s="188"/>
      <c r="S128" s="206"/>
      <c r="T128" s="206"/>
      <c r="U128" s="206"/>
      <c r="V128" s="188"/>
      <c r="W128" s="172"/>
      <c r="X128" s="189"/>
    </row>
    <row r="129" spans="1:29">
      <c r="A129" s="186"/>
      <c r="B129" s="101"/>
      <c r="C129" s="187"/>
      <c r="D129" s="116"/>
      <c r="E129" s="173"/>
      <c r="F129" s="173"/>
      <c r="G129" s="171"/>
      <c r="H129" s="188"/>
      <c r="I129" s="188"/>
      <c r="J129" s="188"/>
      <c r="K129" s="188"/>
      <c r="L129" s="188"/>
      <c r="M129" s="188"/>
      <c r="N129" s="188"/>
      <c r="O129" s="188"/>
      <c r="P129" s="188"/>
      <c r="Q129" s="190"/>
      <c r="R129" s="188"/>
      <c r="S129" s="206"/>
      <c r="T129" s="206"/>
      <c r="U129" s="206"/>
      <c r="V129" s="188"/>
      <c r="W129" s="172"/>
      <c r="X129" s="189"/>
    </row>
    <row r="130" spans="1:29">
      <c r="A130" s="186"/>
      <c r="B130" s="101"/>
      <c r="C130" s="187"/>
      <c r="D130" s="116"/>
      <c r="E130" s="173"/>
      <c r="F130" s="173"/>
      <c r="G130" s="171"/>
      <c r="H130" s="188"/>
      <c r="I130" s="188"/>
      <c r="J130" s="188"/>
      <c r="K130" s="188"/>
      <c r="L130" s="188"/>
      <c r="M130" s="188"/>
      <c r="N130" s="188"/>
      <c r="O130" s="188"/>
      <c r="P130" s="188"/>
      <c r="Q130" s="190"/>
      <c r="R130" s="188"/>
      <c r="S130" s="206"/>
      <c r="T130" s="206"/>
      <c r="U130" s="206"/>
      <c r="V130" s="188"/>
      <c r="W130" s="172"/>
      <c r="X130" s="189"/>
    </row>
    <row r="131" spans="1:29">
      <c r="A131" s="186"/>
      <c r="B131" s="101"/>
      <c r="C131" s="187"/>
      <c r="D131" s="116"/>
      <c r="E131" s="173"/>
      <c r="F131" s="173"/>
      <c r="G131" s="171"/>
      <c r="H131" s="188"/>
      <c r="I131" s="188"/>
      <c r="J131" s="188"/>
      <c r="K131" s="188"/>
      <c r="L131" s="188"/>
      <c r="M131" s="188"/>
      <c r="N131" s="188"/>
      <c r="O131" s="188"/>
      <c r="P131" s="188"/>
      <c r="Q131" s="190"/>
      <c r="R131" s="188"/>
      <c r="S131" s="206"/>
      <c r="T131" s="206"/>
      <c r="U131" s="206"/>
      <c r="V131" s="188"/>
      <c r="W131" s="172"/>
      <c r="X131" s="191"/>
    </row>
    <row r="132" spans="1:29">
      <c r="A132" s="186"/>
      <c r="B132" s="101"/>
      <c r="C132" s="187"/>
      <c r="D132" s="116"/>
      <c r="E132" s="173"/>
      <c r="F132" s="173"/>
      <c r="G132" s="171"/>
      <c r="H132" s="188"/>
      <c r="I132" s="188"/>
      <c r="J132" s="188"/>
      <c r="K132" s="188"/>
      <c r="L132" s="188"/>
      <c r="M132" s="188"/>
      <c r="N132" s="188"/>
      <c r="O132" s="188"/>
      <c r="P132" s="188"/>
      <c r="Q132" s="190"/>
      <c r="R132" s="188"/>
      <c r="S132" s="206"/>
      <c r="T132" s="206"/>
      <c r="U132" s="206"/>
      <c r="V132" s="188"/>
      <c r="W132" s="172"/>
      <c r="X132" s="189"/>
    </row>
    <row r="133" spans="1:29">
      <c r="A133" s="186"/>
      <c r="B133" s="101"/>
      <c r="C133" s="187"/>
      <c r="D133" s="116"/>
      <c r="E133" s="173"/>
      <c r="F133" s="173"/>
      <c r="G133" s="171"/>
      <c r="H133" s="188"/>
      <c r="I133" s="188"/>
      <c r="J133" s="188"/>
      <c r="K133" s="188"/>
      <c r="L133" s="188"/>
      <c r="M133" s="188"/>
      <c r="N133" s="188"/>
      <c r="O133" s="188"/>
      <c r="P133" s="188"/>
      <c r="Q133" s="190"/>
      <c r="R133" s="188"/>
      <c r="S133" s="206"/>
      <c r="T133" s="206"/>
      <c r="U133" s="206"/>
      <c r="V133" s="188"/>
      <c r="W133" s="172"/>
      <c r="X133" s="191"/>
    </row>
    <row r="134" spans="1:29">
      <c r="A134" s="186"/>
      <c r="B134" s="101"/>
      <c r="C134" s="187"/>
      <c r="D134" s="116"/>
      <c r="E134" s="173"/>
      <c r="F134" s="173"/>
      <c r="G134" s="171"/>
      <c r="H134" s="188"/>
      <c r="I134" s="188"/>
      <c r="J134" s="188"/>
      <c r="K134" s="188"/>
      <c r="L134" s="188"/>
      <c r="M134" s="188"/>
      <c r="N134" s="188"/>
      <c r="O134" s="188"/>
      <c r="P134" s="188"/>
      <c r="Q134" s="190"/>
      <c r="R134" s="188"/>
      <c r="S134" s="206"/>
      <c r="T134" s="206"/>
      <c r="U134" s="206"/>
      <c r="V134" s="188"/>
      <c r="W134" s="172"/>
      <c r="X134" s="191"/>
    </row>
    <row r="135" spans="1:29">
      <c r="A135" s="186"/>
      <c r="B135" s="101"/>
      <c r="C135" s="187"/>
      <c r="D135" s="116"/>
      <c r="E135" s="173"/>
      <c r="F135" s="173"/>
      <c r="G135" s="171"/>
      <c r="H135" s="188"/>
      <c r="I135" s="188"/>
      <c r="J135" s="188"/>
      <c r="K135" s="188"/>
      <c r="L135" s="188"/>
      <c r="M135" s="188"/>
      <c r="N135" s="188"/>
      <c r="O135" s="188"/>
      <c r="P135" s="188"/>
      <c r="Q135" s="190"/>
      <c r="R135" s="188"/>
      <c r="S135" s="206"/>
      <c r="T135" s="206"/>
      <c r="U135" s="206"/>
      <c r="V135" s="188"/>
      <c r="W135" s="172"/>
      <c r="X135" s="189"/>
    </row>
    <row r="136" spans="1:29">
      <c r="A136" s="186"/>
      <c r="B136" s="101"/>
      <c r="C136" s="187"/>
      <c r="D136" s="116"/>
      <c r="E136" s="173"/>
      <c r="F136" s="173"/>
      <c r="G136" s="171"/>
      <c r="H136" s="188"/>
      <c r="I136" s="188"/>
      <c r="J136" s="188"/>
      <c r="K136" s="188"/>
      <c r="L136" s="188"/>
      <c r="M136" s="188"/>
      <c r="N136" s="188"/>
      <c r="O136" s="188"/>
      <c r="P136" s="188"/>
      <c r="Q136" s="190"/>
      <c r="R136" s="188"/>
      <c r="S136" s="206"/>
      <c r="T136" s="206"/>
      <c r="U136" s="206"/>
      <c r="V136" s="188"/>
      <c r="W136" s="172"/>
      <c r="X136" s="189"/>
      <c r="Z136" s="117"/>
      <c r="AA136" s="118"/>
      <c r="AB136" s="118"/>
      <c r="AC136" s="118"/>
    </row>
    <row r="137" spans="1:29">
      <c r="A137" s="186"/>
      <c r="B137" s="101"/>
      <c r="C137" s="187"/>
      <c r="D137" s="116"/>
      <c r="E137" s="173"/>
      <c r="F137" s="173"/>
      <c r="G137" s="171"/>
      <c r="H137" s="188"/>
      <c r="I137" s="188"/>
      <c r="J137" s="188"/>
      <c r="K137" s="188"/>
      <c r="L137" s="188"/>
      <c r="M137" s="188"/>
      <c r="N137" s="188"/>
      <c r="O137" s="188"/>
      <c r="P137" s="188"/>
      <c r="Q137" s="190"/>
      <c r="R137" s="188"/>
      <c r="S137" s="206"/>
      <c r="T137" s="206"/>
      <c r="U137" s="206"/>
      <c r="V137" s="188"/>
      <c r="W137" s="172"/>
      <c r="X137" s="189"/>
      <c r="Z137" s="117"/>
      <c r="AA137" s="118"/>
      <c r="AB137" s="118"/>
      <c r="AC137" s="118"/>
    </row>
    <row r="138" spans="1:29">
      <c r="A138" s="186"/>
      <c r="B138" s="101"/>
      <c r="C138" s="187"/>
      <c r="D138" s="116"/>
      <c r="E138" s="173"/>
      <c r="F138" s="173"/>
      <c r="G138" s="171"/>
      <c r="H138" s="188"/>
      <c r="I138" s="188"/>
      <c r="J138" s="188"/>
      <c r="K138" s="188"/>
      <c r="L138" s="188"/>
      <c r="M138" s="188"/>
      <c r="N138" s="188"/>
      <c r="O138" s="188"/>
      <c r="P138" s="188"/>
      <c r="Q138" s="190"/>
      <c r="R138" s="188"/>
      <c r="S138" s="206"/>
      <c r="T138" s="206"/>
      <c r="U138" s="206"/>
      <c r="V138" s="188"/>
      <c r="W138" s="172"/>
      <c r="X138" s="189"/>
      <c r="Z138" s="117"/>
      <c r="AA138" s="118"/>
      <c r="AB138" s="118"/>
      <c r="AC138" s="118"/>
    </row>
    <row r="139" spans="1:29">
      <c r="A139" s="186"/>
      <c r="B139" s="101"/>
      <c r="C139" s="187"/>
      <c r="D139" s="116"/>
      <c r="E139" s="173"/>
      <c r="F139" s="173"/>
      <c r="G139" s="171"/>
      <c r="H139" s="188"/>
      <c r="I139" s="188"/>
      <c r="J139" s="188"/>
      <c r="K139" s="188"/>
      <c r="L139" s="188"/>
      <c r="M139" s="188"/>
      <c r="N139" s="188"/>
      <c r="O139" s="188"/>
      <c r="P139" s="188"/>
      <c r="Q139" s="190"/>
      <c r="R139" s="188"/>
      <c r="S139" s="206"/>
      <c r="T139" s="206"/>
      <c r="U139" s="206"/>
      <c r="V139" s="188"/>
      <c r="W139" s="172"/>
      <c r="X139" s="189"/>
      <c r="Z139" s="117"/>
      <c r="AA139" s="118"/>
      <c r="AB139" s="118"/>
      <c r="AC139" s="118"/>
    </row>
    <row r="140" spans="1:29">
      <c r="A140" s="186"/>
      <c r="B140" s="101"/>
      <c r="C140" s="187"/>
      <c r="D140" s="116"/>
      <c r="E140" s="173"/>
      <c r="F140" s="173"/>
      <c r="G140" s="171"/>
      <c r="H140" s="188"/>
      <c r="I140" s="188"/>
      <c r="J140" s="188"/>
      <c r="K140" s="188"/>
      <c r="L140" s="188"/>
      <c r="M140" s="188"/>
      <c r="N140" s="188"/>
      <c r="O140" s="188"/>
      <c r="P140" s="188"/>
      <c r="Q140" s="190"/>
      <c r="R140" s="188"/>
      <c r="S140" s="206"/>
      <c r="T140" s="206"/>
      <c r="U140" s="206"/>
      <c r="V140" s="188"/>
      <c r="W140" s="172"/>
      <c r="X140" s="189"/>
    </row>
    <row r="141" spans="1:29">
      <c r="A141" s="186"/>
      <c r="B141" s="101"/>
      <c r="C141" s="187"/>
      <c r="D141" s="116"/>
      <c r="E141" s="173"/>
      <c r="F141" s="173"/>
      <c r="G141" s="171"/>
      <c r="H141" s="188"/>
      <c r="I141" s="188"/>
      <c r="J141" s="188"/>
      <c r="K141" s="188"/>
      <c r="L141" s="188"/>
      <c r="M141" s="188"/>
      <c r="N141" s="188"/>
      <c r="O141" s="188"/>
      <c r="P141" s="188"/>
      <c r="Q141" s="190"/>
      <c r="R141" s="188"/>
      <c r="S141" s="206"/>
      <c r="T141" s="206"/>
      <c r="U141" s="206"/>
      <c r="V141" s="188"/>
      <c r="W141" s="172"/>
      <c r="X141" s="189"/>
      <c r="Y141" s="185"/>
      <c r="Z141" s="185"/>
    </row>
    <row r="142" spans="1:29">
      <c r="A142" s="186"/>
      <c r="B142" s="101"/>
      <c r="C142" s="187"/>
      <c r="D142" s="116"/>
      <c r="E142" s="173"/>
      <c r="F142" s="173"/>
      <c r="G142" s="171"/>
      <c r="H142" s="188"/>
      <c r="I142" s="188"/>
      <c r="J142" s="188"/>
      <c r="K142" s="188"/>
      <c r="L142" s="188"/>
      <c r="M142" s="188"/>
      <c r="N142" s="188"/>
      <c r="O142" s="188"/>
      <c r="P142" s="188"/>
      <c r="Q142" s="190"/>
      <c r="R142" s="188"/>
      <c r="S142" s="206"/>
      <c r="T142" s="206"/>
      <c r="U142" s="206"/>
      <c r="V142" s="188"/>
      <c r="W142" s="172"/>
      <c r="X142" s="189"/>
      <c r="Y142" s="185"/>
      <c r="Z142" s="185"/>
    </row>
    <row r="143" spans="1:29">
      <c r="A143" s="186"/>
      <c r="B143" s="101"/>
      <c r="C143" s="187"/>
      <c r="D143" s="116"/>
      <c r="E143" s="173"/>
      <c r="F143" s="173"/>
      <c r="G143" s="171"/>
      <c r="H143" s="188"/>
      <c r="I143" s="188"/>
      <c r="J143" s="188"/>
      <c r="K143" s="188"/>
      <c r="L143" s="188"/>
      <c r="M143" s="188"/>
      <c r="N143" s="188"/>
      <c r="O143" s="188"/>
      <c r="P143" s="188"/>
      <c r="Q143" s="190"/>
      <c r="R143" s="188"/>
      <c r="S143" s="206"/>
      <c r="T143" s="206"/>
      <c r="U143" s="206"/>
      <c r="V143" s="188"/>
      <c r="W143" s="172"/>
      <c r="X143" s="189"/>
      <c r="Y143" s="185"/>
      <c r="Z143" s="185"/>
    </row>
    <row r="144" spans="1:29">
      <c r="A144" s="186"/>
      <c r="B144" s="101"/>
      <c r="C144" s="187"/>
      <c r="D144" s="116"/>
      <c r="E144" s="173"/>
      <c r="F144" s="173"/>
      <c r="G144" s="171"/>
      <c r="H144" s="188"/>
      <c r="I144" s="188"/>
      <c r="J144" s="188"/>
      <c r="K144" s="188"/>
      <c r="L144" s="188"/>
      <c r="M144" s="188"/>
      <c r="N144" s="188"/>
      <c r="O144" s="188"/>
      <c r="P144" s="188"/>
      <c r="Q144" s="190"/>
      <c r="R144" s="188"/>
      <c r="S144" s="206"/>
      <c r="T144" s="206"/>
      <c r="U144" s="206"/>
      <c r="V144" s="188"/>
      <c r="W144" s="172"/>
      <c r="X144" s="189"/>
    </row>
    <row r="145" spans="1:29">
      <c r="A145" s="186"/>
      <c r="B145" s="101"/>
      <c r="C145" s="187"/>
      <c r="D145" s="116"/>
      <c r="E145" s="173"/>
      <c r="F145" s="173"/>
      <c r="G145" s="171"/>
      <c r="H145" s="188"/>
      <c r="I145" s="188"/>
      <c r="J145" s="188"/>
      <c r="K145" s="188"/>
      <c r="L145" s="188"/>
      <c r="M145" s="188"/>
      <c r="N145" s="188"/>
      <c r="O145" s="188"/>
      <c r="P145" s="188"/>
      <c r="Q145" s="190"/>
      <c r="R145" s="188"/>
      <c r="S145" s="206"/>
      <c r="T145" s="206"/>
      <c r="U145" s="206"/>
      <c r="V145" s="188"/>
      <c r="W145" s="172"/>
      <c r="X145" s="189"/>
    </row>
    <row r="146" spans="1:29">
      <c r="A146" s="186"/>
      <c r="B146" s="101"/>
      <c r="C146" s="187"/>
      <c r="D146" s="116"/>
      <c r="E146" s="173"/>
      <c r="F146" s="173"/>
      <c r="G146" s="171"/>
      <c r="H146" s="188"/>
      <c r="I146" s="188"/>
      <c r="J146" s="188"/>
      <c r="K146" s="188"/>
      <c r="L146" s="188"/>
      <c r="M146" s="188"/>
      <c r="N146" s="188"/>
      <c r="O146" s="188"/>
      <c r="P146" s="188"/>
      <c r="Q146" s="190"/>
      <c r="R146" s="188"/>
      <c r="S146" s="206"/>
      <c r="T146" s="206"/>
      <c r="U146" s="206"/>
      <c r="V146" s="188"/>
      <c r="W146" s="172"/>
      <c r="X146" s="189"/>
      <c r="Z146" s="117"/>
      <c r="AA146" s="118"/>
      <c r="AB146" s="118"/>
      <c r="AC146" s="118"/>
    </row>
    <row r="147" spans="1:29">
      <c r="A147" s="186"/>
      <c r="B147" s="101"/>
      <c r="C147" s="187"/>
      <c r="D147" s="116"/>
      <c r="E147" s="173"/>
      <c r="F147" s="173"/>
      <c r="G147" s="171"/>
      <c r="H147" s="188"/>
      <c r="I147" s="188"/>
      <c r="J147" s="188"/>
      <c r="K147" s="188"/>
      <c r="L147" s="188"/>
      <c r="M147" s="188"/>
      <c r="N147" s="188"/>
      <c r="O147" s="188"/>
      <c r="P147" s="188"/>
      <c r="Q147" s="190"/>
      <c r="R147" s="188"/>
      <c r="S147" s="206"/>
      <c r="T147" s="206"/>
      <c r="U147" s="206"/>
      <c r="V147" s="188"/>
      <c r="W147" s="172"/>
      <c r="X147" s="189"/>
      <c r="Z147" s="117"/>
      <c r="AA147" s="118"/>
      <c r="AB147" s="118"/>
      <c r="AC147" s="118"/>
    </row>
    <row r="148" spans="1:29">
      <c r="A148" s="186"/>
      <c r="B148" s="101"/>
      <c r="C148" s="187"/>
      <c r="D148" s="116"/>
      <c r="E148" s="173"/>
      <c r="F148" s="173"/>
      <c r="G148" s="171"/>
      <c r="H148" s="188"/>
      <c r="I148" s="188"/>
      <c r="J148" s="188"/>
      <c r="K148" s="188"/>
      <c r="L148" s="188"/>
      <c r="M148" s="188"/>
      <c r="N148" s="188"/>
      <c r="O148" s="188"/>
      <c r="P148" s="188"/>
      <c r="Q148" s="190"/>
      <c r="R148" s="188"/>
      <c r="S148" s="206"/>
      <c r="T148" s="206"/>
      <c r="U148" s="206"/>
      <c r="V148" s="188"/>
      <c r="W148" s="172"/>
      <c r="X148" s="189"/>
      <c r="Z148" s="117"/>
      <c r="AA148" s="118"/>
      <c r="AB148" s="118"/>
      <c r="AC148" s="118"/>
    </row>
    <row r="149" spans="1:29">
      <c r="A149" s="186"/>
      <c r="B149" s="101"/>
      <c r="C149" s="187"/>
      <c r="D149" s="116"/>
      <c r="E149" s="173"/>
      <c r="F149" s="173"/>
      <c r="G149" s="171"/>
      <c r="H149" s="188"/>
      <c r="I149" s="188"/>
      <c r="J149" s="188"/>
      <c r="K149" s="188"/>
      <c r="L149" s="188"/>
      <c r="M149" s="188"/>
      <c r="N149" s="188"/>
      <c r="O149" s="188"/>
      <c r="P149" s="188"/>
      <c r="Q149" s="190"/>
      <c r="R149" s="188"/>
      <c r="S149" s="206"/>
      <c r="T149" s="206"/>
      <c r="U149" s="206"/>
      <c r="V149" s="188"/>
      <c r="W149" s="172"/>
      <c r="X149" s="189"/>
    </row>
    <row r="150" spans="1:29">
      <c r="A150" s="186"/>
      <c r="B150" s="101"/>
      <c r="C150" s="187"/>
      <c r="D150" s="116"/>
      <c r="E150" s="173"/>
      <c r="F150" s="173"/>
      <c r="G150" s="171"/>
      <c r="H150" s="188"/>
      <c r="I150" s="188"/>
      <c r="J150" s="188"/>
      <c r="K150" s="188"/>
      <c r="L150" s="188"/>
      <c r="M150" s="188"/>
      <c r="N150" s="188"/>
      <c r="O150" s="188"/>
      <c r="P150" s="188"/>
      <c r="Q150" s="190"/>
      <c r="R150" s="188"/>
      <c r="S150" s="206"/>
      <c r="T150" s="206"/>
      <c r="U150" s="206"/>
      <c r="V150" s="188"/>
      <c r="W150" s="172"/>
      <c r="X150" s="189"/>
    </row>
    <row r="151" spans="1:29">
      <c r="A151" s="186"/>
      <c r="B151" s="101"/>
      <c r="C151" s="187"/>
      <c r="D151" s="116"/>
      <c r="E151" s="173"/>
      <c r="F151" s="173"/>
      <c r="G151" s="171"/>
      <c r="H151" s="188"/>
      <c r="I151" s="188"/>
      <c r="J151" s="188"/>
      <c r="K151" s="188"/>
      <c r="L151" s="188"/>
      <c r="M151" s="188"/>
      <c r="N151" s="188"/>
      <c r="O151" s="188"/>
      <c r="P151" s="188"/>
      <c r="Q151" s="190"/>
      <c r="R151" s="188"/>
      <c r="S151" s="206"/>
      <c r="T151" s="206"/>
      <c r="U151" s="206"/>
      <c r="V151" s="188"/>
      <c r="W151" s="172"/>
      <c r="X151" s="189"/>
    </row>
    <row r="152" spans="1:29">
      <c r="A152" s="186"/>
      <c r="B152" s="101"/>
      <c r="C152" s="187"/>
      <c r="D152" s="116"/>
      <c r="E152" s="173"/>
      <c r="F152" s="173"/>
      <c r="G152" s="171"/>
      <c r="H152" s="188"/>
      <c r="I152" s="188"/>
      <c r="J152" s="188"/>
      <c r="K152" s="188"/>
      <c r="L152" s="188"/>
      <c r="M152" s="188"/>
      <c r="N152" s="188"/>
      <c r="O152" s="188"/>
      <c r="P152" s="188"/>
      <c r="Q152" s="190"/>
      <c r="R152" s="188"/>
      <c r="S152" s="206"/>
      <c r="T152" s="206"/>
      <c r="U152" s="206"/>
      <c r="V152" s="188"/>
      <c r="W152" s="172"/>
      <c r="X152" s="189"/>
    </row>
    <row r="153" spans="1:29">
      <c r="A153" s="186"/>
      <c r="B153" s="101"/>
      <c r="C153" s="187"/>
      <c r="D153" s="116"/>
      <c r="E153" s="173"/>
      <c r="F153" s="173"/>
      <c r="G153" s="171"/>
      <c r="H153" s="188"/>
      <c r="I153" s="188"/>
      <c r="J153" s="188"/>
      <c r="K153" s="188"/>
      <c r="L153" s="188"/>
      <c r="M153" s="188"/>
      <c r="N153" s="188"/>
      <c r="O153" s="188"/>
      <c r="P153" s="188"/>
      <c r="Q153" s="190"/>
      <c r="R153" s="188"/>
      <c r="S153" s="206"/>
      <c r="T153" s="206"/>
      <c r="U153" s="206"/>
      <c r="V153" s="188"/>
      <c r="W153" s="172"/>
      <c r="X153" s="189"/>
    </row>
    <row r="154" spans="1:29">
      <c r="A154" s="186"/>
      <c r="B154" s="101"/>
      <c r="C154" s="187"/>
      <c r="D154" s="116"/>
      <c r="E154" s="173"/>
      <c r="F154" s="173"/>
      <c r="G154" s="171"/>
      <c r="H154" s="188"/>
      <c r="I154" s="188"/>
      <c r="J154" s="188"/>
      <c r="K154" s="188"/>
      <c r="L154" s="188"/>
      <c r="M154" s="188"/>
      <c r="N154" s="188"/>
      <c r="O154" s="188"/>
      <c r="P154" s="188"/>
      <c r="Q154" s="190"/>
      <c r="R154" s="188"/>
      <c r="S154" s="206"/>
      <c r="T154" s="206"/>
      <c r="U154" s="206"/>
      <c r="V154" s="188"/>
      <c r="W154" s="172"/>
      <c r="X154" s="189"/>
      <c r="Z154" s="117"/>
      <c r="AA154" s="118"/>
      <c r="AB154" s="118"/>
      <c r="AC154" s="118"/>
    </row>
    <row r="155" spans="1:29">
      <c r="A155" s="186"/>
      <c r="B155" s="101"/>
      <c r="C155" s="187"/>
      <c r="D155" s="116"/>
      <c r="E155" s="173"/>
      <c r="F155" s="173"/>
      <c r="G155" s="171"/>
      <c r="H155" s="188"/>
      <c r="I155" s="188"/>
      <c r="J155" s="188"/>
      <c r="K155" s="188"/>
      <c r="L155" s="188"/>
      <c r="M155" s="188"/>
      <c r="N155" s="188"/>
      <c r="O155" s="188"/>
      <c r="P155" s="188"/>
      <c r="Q155" s="190"/>
      <c r="R155" s="188"/>
      <c r="S155" s="206"/>
      <c r="T155" s="206"/>
      <c r="U155" s="206"/>
      <c r="V155" s="188"/>
      <c r="W155" s="172"/>
      <c r="X155" s="189"/>
      <c r="Z155" s="117"/>
      <c r="AA155" s="118"/>
      <c r="AB155" s="118"/>
      <c r="AC155" s="118"/>
    </row>
    <row r="156" spans="1:29">
      <c r="A156" s="186"/>
      <c r="B156" s="101"/>
      <c r="C156" s="187"/>
      <c r="D156" s="116"/>
      <c r="E156" s="173"/>
      <c r="F156" s="173"/>
      <c r="G156" s="171"/>
      <c r="H156" s="188"/>
      <c r="I156" s="188"/>
      <c r="J156" s="188"/>
      <c r="K156" s="188"/>
      <c r="L156" s="188"/>
      <c r="M156" s="188"/>
      <c r="N156" s="188"/>
      <c r="O156" s="188"/>
      <c r="P156" s="188"/>
      <c r="Q156" s="190"/>
      <c r="R156" s="188"/>
      <c r="S156" s="206"/>
      <c r="T156" s="206"/>
      <c r="U156" s="206"/>
      <c r="V156" s="188"/>
      <c r="W156" s="172"/>
      <c r="X156" s="189"/>
      <c r="Z156" s="117"/>
      <c r="AA156" s="118"/>
      <c r="AB156" s="118"/>
      <c r="AC156" s="118"/>
    </row>
    <row r="157" spans="1:29">
      <c r="A157" s="186"/>
      <c r="B157" s="101"/>
      <c r="C157" s="187"/>
      <c r="D157" s="116"/>
      <c r="E157" s="173"/>
      <c r="F157" s="173"/>
      <c r="G157" s="171"/>
      <c r="H157" s="188"/>
      <c r="I157" s="188"/>
      <c r="J157" s="188"/>
      <c r="K157" s="188"/>
      <c r="L157" s="188"/>
      <c r="M157" s="188"/>
      <c r="N157" s="188"/>
      <c r="O157" s="188"/>
      <c r="P157" s="188"/>
      <c r="Q157" s="190"/>
      <c r="R157" s="188"/>
      <c r="S157" s="206"/>
      <c r="T157" s="206"/>
      <c r="U157" s="206"/>
      <c r="V157" s="188"/>
      <c r="W157" s="172"/>
      <c r="X157" s="189"/>
      <c r="Z157" s="117"/>
      <c r="AA157" s="118"/>
      <c r="AB157" s="118"/>
      <c r="AC157" s="118"/>
    </row>
    <row r="158" spans="1:29">
      <c r="A158" s="186"/>
      <c r="B158" s="101"/>
      <c r="C158" s="187"/>
      <c r="D158" s="116"/>
      <c r="E158" s="173"/>
      <c r="F158" s="173"/>
      <c r="G158" s="171"/>
      <c r="H158" s="188"/>
      <c r="I158" s="188"/>
      <c r="J158" s="188"/>
      <c r="K158" s="188"/>
      <c r="L158" s="188"/>
      <c r="M158" s="188"/>
      <c r="N158" s="188"/>
      <c r="O158" s="188"/>
      <c r="P158" s="188"/>
      <c r="Q158" s="190"/>
      <c r="R158" s="188"/>
      <c r="S158" s="206"/>
      <c r="T158" s="206"/>
      <c r="U158" s="206"/>
      <c r="V158" s="188"/>
      <c r="W158" s="172"/>
      <c r="X158" s="189"/>
    </row>
    <row r="159" spans="1:29">
      <c r="A159" s="186"/>
      <c r="B159" s="101"/>
      <c r="C159" s="187"/>
      <c r="D159" s="116"/>
      <c r="E159" s="173"/>
      <c r="F159" s="173"/>
      <c r="G159" s="171"/>
      <c r="H159" s="188"/>
      <c r="I159" s="188"/>
      <c r="J159" s="188"/>
      <c r="K159" s="188"/>
      <c r="L159" s="188"/>
      <c r="M159" s="188"/>
      <c r="N159" s="188"/>
      <c r="O159" s="188"/>
      <c r="P159" s="188"/>
      <c r="Q159" s="190"/>
      <c r="R159" s="188"/>
      <c r="S159" s="206"/>
      <c r="T159" s="206"/>
      <c r="U159" s="206"/>
      <c r="V159" s="188"/>
      <c r="W159" s="172"/>
      <c r="X159" s="189"/>
    </row>
    <row r="160" spans="1:29">
      <c r="A160" s="186"/>
      <c r="B160" s="101"/>
      <c r="C160" s="187"/>
      <c r="D160" s="116"/>
      <c r="E160" s="173"/>
      <c r="F160" s="173"/>
      <c r="G160" s="171"/>
      <c r="H160" s="188"/>
      <c r="I160" s="188"/>
      <c r="J160" s="188"/>
      <c r="K160" s="188"/>
      <c r="L160" s="188"/>
      <c r="M160" s="188"/>
      <c r="N160" s="188"/>
      <c r="O160" s="188"/>
      <c r="P160" s="188"/>
      <c r="Q160" s="190"/>
      <c r="R160" s="188"/>
      <c r="S160" s="206"/>
      <c r="T160" s="206"/>
      <c r="U160" s="206"/>
      <c r="V160" s="188"/>
      <c r="W160" s="172"/>
      <c r="X160" s="189"/>
    </row>
    <row r="161" spans="1:29">
      <c r="A161" s="186"/>
      <c r="B161" s="101"/>
      <c r="C161" s="187"/>
      <c r="D161" s="116"/>
      <c r="E161" s="173"/>
      <c r="F161" s="173"/>
      <c r="G161" s="171"/>
      <c r="H161" s="188"/>
      <c r="I161" s="188"/>
      <c r="J161" s="188"/>
      <c r="K161" s="188"/>
      <c r="L161" s="188"/>
      <c r="M161" s="188"/>
      <c r="N161" s="188"/>
      <c r="O161" s="188"/>
      <c r="P161" s="188"/>
      <c r="Q161" s="190"/>
      <c r="R161" s="188"/>
      <c r="S161" s="206"/>
      <c r="T161" s="206"/>
      <c r="U161" s="206"/>
      <c r="V161" s="188"/>
      <c r="W161" s="172"/>
      <c r="X161" s="189"/>
    </row>
    <row r="162" spans="1:29">
      <c r="A162" s="186"/>
      <c r="B162" s="101"/>
      <c r="C162" s="187"/>
      <c r="D162" s="116"/>
      <c r="E162" s="173"/>
      <c r="F162" s="173"/>
      <c r="G162" s="171"/>
      <c r="H162" s="188"/>
      <c r="I162" s="188"/>
      <c r="J162" s="188"/>
      <c r="K162" s="188"/>
      <c r="L162" s="188"/>
      <c r="M162" s="188"/>
      <c r="N162" s="188"/>
      <c r="O162" s="188"/>
      <c r="P162" s="188"/>
      <c r="Q162" s="190"/>
      <c r="R162" s="188"/>
      <c r="S162" s="206"/>
      <c r="T162" s="206"/>
      <c r="U162" s="206"/>
      <c r="V162" s="188"/>
      <c r="W162" s="172"/>
      <c r="X162" s="189"/>
      <c r="Z162" s="117"/>
      <c r="AA162" s="118"/>
      <c r="AB162" s="118"/>
      <c r="AC162" s="118"/>
    </row>
    <row r="163" spans="1:29">
      <c r="A163" s="186"/>
      <c r="B163" s="101"/>
      <c r="C163" s="187"/>
      <c r="D163" s="116"/>
      <c r="E163" s="173"/>
      <c r="F163" s="173"/>
      <c r="G163" s="171"/>
      <c r="H163" s="188"/>
      <c r="I163" s="188"/>
      <c r="J163" s="188"/>
      <c r="K163" s="188"/>
      <c r="L163" s="188"/>
      <c r="M163" s="188"/>
      <c r="N163" s="188"/>
      <c r="O163" s="188"/>
      <c r="P163" s="188"/>
      <c r="Q163" s="190"/>
      <c r="R163" s="188"/>
      <c r="S163" s="206"/>
      <c r="T163" s="206"/>
      <c r="U163" s="206"/>
      <c r="V163" s="188"/>
      <c r="W163" s="172"/>
      <c r="X163" s="189"/>
      <c r="Z163" s="117"/>
      <c r="AA163" s="118"/>
      <c r="AB163" s="118"/>
      <c r="AC163" s="118"/>
    </row>
    <row r="164" spans="1:29">
      <c r="A164" s="186"/>
      <c r="B164" s="101"/>
      <c r="C164" s="187"/>
      <c r="D164" s="116"/>
      <c r="E164" s="173"/>
      <c r="F164" s="173"/>
      <c r="G164" s="171"/>
      <c r="H164" s="188"/>
      <c r="I164" s="188"/>
      <c r="J164" s="188"/>
      <c r="K164" s="188"/>
      <c r="L164" s="188"/>
      <c r="M164" s="188"/>
      <c r="N164" s="188"/>
      <c r="O164" s="188"/>
      <c r="P164" s="188"/>
      <c r="Q164" s="190"/>
      <c r="R164" s="188"/>
      <c r="S164" s="206"/>
      <c r="T164" s="206"/>
      <c r="U164" s="206"/>
      <c r="V164" s="188"/>
      <c r="W164" s="172"/>
      <c r="X164" s="189"/>
    </row>
    <row r="165" spans="1:29">
      <c r="A165" s="186"/>
      <c r="B165" s="101"/>
      <c r="C165" s="187"/>
      <c r="D165" s="116"/>
      <c r="E165" s="173"/>
      <c r="F165" s="173"/>
      <c r="G165" s="171"/>
      <c r="H165" s="188"/>
      <c r="I165" s="188"/>
      <c r="J165" s="188"/>
      <c r="K165" s="188"/>
      <c r="L165" s="188"/>
      <c r="M165" s="188"/>
      <c r="N165" s="188"/>
      <c r="O165" s="188"/>
      <c r="P165" s="188"/>
      <c r="Q165" s="190"/>
      <c r="R165" s="188"/>
      <c r="S165" s="206"/>
      <c r="T165" s="206"/>
      <c r="U165" s="206"/>
      <c r="V165" s="188"/>
      <c r="W165" s="172"/>
      <c r="X165" s="189"/>
    </row>
    <row r="166" spans="1:29">
      <c r="A166" s="186"/>
      <c r="B166" s="101"/>
      <c r="C166" s="187"/>
      <c r="D166" s="116"/>
      <c r="E166" s="173"/>
      <c r="F166" s="173"/>
      <c r="G166" s="171"/>
      <c r="H166" s="188"/>
      <c r="I166" s="188"/>
      <c r="J166" s="188"/>
      <c r="K166" s="188"/>
      <c r="L166" s="188"/>
      <c r="M166" s="188"/>
      <c r="N166" s="188"/>
      <c r="O166" s="188"/>
      <c r="P166" s="188"/>
      <c r="Q166" s="190"/>
      <c r="R166" s="188"/>
      <c r="S166" s="206"/>
      <c r="T166" s="206"/>
      <c r="U166" s="206"/>
      <c r="V166" s="188"/>
      <c r="W166" s="172"/>
      <c r="X166" s="189"/>
    </row>
    <row r="167" spans="1:29">
      <c r="A167" s="186"/>
      <c r="B167" s="101"/>
      <c r="C167" s="187"/>
      <c r="D167" s="116"/>
      <c r="E167" s="173"/>
      <c r="F167" s="173"/>
      <c r="G167" s="171"/>
      <c r="H167" s="188"/>
      <c r="I167" s="188"/>
      <c r="J167" s="188"/>
      <c r="K167" s="188"/>
      <c r="L167" s="188"/>
      <c r="M167" s="188"/>
      <c r="N167" s="188"/>
      <c r="O167" s="188"/>
      <c r="P167" s="188"/>
      <c r="Q167" s="190"/>
      <c r="R167" s="188"/>
      <c r="S167" s="206"/>
      <c r="T167" s="206"/>
      <c r="U167" s="206"/>
      <c r="V167" s="188"/>
      <c r="W167" s="172"/>
      <c r="X167" s="189"/>
    </row>
    <row r="168" spans="1:29">
      <c r="A168" s="186"/>
      <c r="B168" s="101"/>
      <c r="C168" s="187"/>
      <c r="D168" s="116"/>
      <c r="E168" s="173"/>
      <c r="F168" s="173"/>
      <c r="G168" s="171"/>
      <c r="H168" s="188"/>
      <c r="I168" s="188"/>
      <c r="J168" s="188"/>
      <c r="K168" s="188"/>
      <c r="L168" s="188"/>
      <c r="M168" s="188"/>
      <c r="N168" s="188"/>
      <c r="O168" s="188"/>
      <c r="P168" s="188"/>
      <c r="Q168" s="190"/>
      <c r="R168" s="188"/>
      <c r="S168" s="206"/>
      <c r="T168" s="206"/>
      <c r="U168" s="206"/>
      <c r="V168" s="188"/>
      <c r="W168" s="172"/>
      <c r="X168" s="191"/>
    </row>
    <row r="169" spans="1:29">
      <c r="A169" s="186"/>
      <c r="B169" s="101"/>
      <c r="C169" s="187"/>
      <c r="D169" s="116"/>
      <c r="E169" s="173"/>
      <c r="F169" s="173"/>
      <c r="G169" s="171"/>
      <c r="H169" s="188"/>
      <c r="I169" s="188"/>
      <c r="J169" s="188"/>
      <c r="K169" s="188"/>
      <c r="L169" s="188"/>
      <c r="M169" s="188"/>
      <c r="N169" s="188"/>
      <c r="O169" s="188"/>
      <c r="P169" s="188"/>
      <c r="Q169" s="190"/>
      <c r="R169" s="188"/>
      <c r="S169" s="206"/>
      <c r="T169" s="206"/>
      <c r="U169" s="206"/>
      <c r="V169" s="188"/>
      <c r="W169" s="172"/>
      <c r="X169" s="189"/>
      <c r="Z169" s="117"/>
      <c r="AA169" s="118"/>
      <c r="AB169" s="118"/>
      <c r="AC169" s="118"/>
    </row>
    <row r="170" spans="1:29">
      <c r="A170" s="186"/>
      <c r="B170" s="101"/>
      <c r="C170" s="187"/>
      <c r="D170" s="116"/>
      <c r="E170" s="173"/>
      <c r="F170" s="173"/>
      <c r="G170" s="171"/>
      <c r="H170" s="188"/>
      <c r="I170" s="188"/>
      <c r="J170" s="188"/>
      <c r="K170" s="188"/>
      <c r="L170" s="188"/>
      <c r="M170" s="188"/>
      <c r="N170" s="188"/>
      <c r="O170" s="188"/>
      <c r="P170" s="188"/>
      <c r="Q170" s="190"/>
      <c r="R170" s="188"/>
      <c r="S170" s="206"/>
      <c r="T170" s="206"/>
      <c r="U170" s="206"/>
      <c r="V170" s="188"/>
      <c r="W170" s="172"/>
      <c r="X170" s="189"/>
      <c r="Z170" s="117"/>
      <c r="AA170" s="118"/>
      <c r="AB170" s="118"/>
      <c r="AC170" s="118"/>
    </row>
    <row r="171" spans="1:29">
      <c r="A171" s="186"/>
      <c r="B171" s="101"/>
      <c r="C171" s="187"/>
      <c r="D171" s="116"/>
      <c r="E171" s="173"/>
      <c r="F171" s="173"/>
      <c r="G171" s="171"/>
      <c r="H171" s="188"/>
      <c r="I171" s="188"/>
      <c r="J171" s="188"/>
      <c r="K171" s="188"/>
      <c r="L171" s="188"/>
      <c r="M171" s="188"/>
      <c r="N171" s="188"/>
      <c r="O171" s="188"/>
      <c r="P171" s="188"/>
      <c r="Q171" s="190"/>
      <c r="R171" s="188"/>
      <c r="S171" s="206"/>
      <c r="T171" s="206"/>
      <c r="U171" s="206"/>
      <c r="V171" s="188"/>
      <c r="W171" s="172"/>
      <c r="X171" s="191"/>
    </row>
    <row r="172" spans="1:29">
      <c r="A172" s="186"/>
      <c r="B172" s="101"/>
      <c r="C172" s="187"/>
      <c r="D172" s="116"/>
      <c r="E172" s="173"/>
      <c r="F172" s="173"/>
      <c r="G172" s="171"/>
      <c r="H172" s="188"/>
      <c r="I172" s="188"/>
      <c r="J172" s="188"/>
      <c r="K172" s="188"/>
      <c r="L172" s="188"/>
      <c r="M172" s="188"/>
      <c r="N172" s="188"/>
      <c r="O172" s="188"/>
      <c r="P172" s="188"/>
      <c r="Q172" s="190"/>
      <c r="R172" s="188"/>
      <c r="S172" s="206"/>
      <c r="T172" s="206"/>
      <c r="U172" s="209"/>
      <c r="V172" s="188"/>
      <c r="W172" s="176"/>
      <c r="X172" s="189"/>
    </row>
    <row r="173" spans="1:29">
      <c r="A173" s="186"/>
      <c r="B173" s="101"/>
      <c r="C173" s="187"/>
      <c r="D173" s="116"/>
      <c r="E173" s="173"/>
      <c r="F173" s="173"/>
      <c r="G173" s="171"/>
      <c r="H173" s="188"/>
      <c r="I173" s="188"/>
      <c r="J173" s="188"/>
      <c r="K173" s="188"/>
      <c r="L173" s="188"/>
      <c r="M173" s="188"/>
      <c r="N173" s="188"/>
      <c r="O173" s="188"/>
      <c r="P173" s="188"/>
      <c r="Q173" s="190"/>
      <c r="R173" s="188"/>
      <c r="S173" s="206"/>
      <c r="T173" s="206"/>
      <c r="U173" s="209"/>
      <c r="V173" s="188"/>
      <c r="W173" s="172"/>
      <c r="X173" s="189"/>
      <c r="Z173" s="117"/>
      <c r="AA173" s="118"/>
      <c r="AB173" s="118"/>
      <c r="AC173" s="118"/>
    </row>
    <row r="174" spans="1:29">
      <c r="A174" s="186"/>
      <c r="B174" s="101"/>
      <c r="C174" s="187"/>
      <c r="D174" s="116"/>
      <c r="E174" s="173"/>
      <c r="F174" s="173"/>
      <c r="G174" s="171"/>
      <c r="H174" s="188"/>
      <c r="I174" s="188"/>
      <c r="J174" s="188"/>
      <c r="K174" s="188"/>
      <c r="L174" s="188"/>
      <c r="M174" s="188"/>
      <c r="N174" s="188"/>
      <c r="O174" s="188"/>
      <c r="P174" s="188"/>
      <c r="Q174" s="190"/>
      <c r="R174" s="188"/>
      <c r="S174" s="206"/>
      <c r="T174" s="206"/>
      <c r="U174" s="209"/>
      <c r="V174" s="188"/>
      <c r="W174" s="172"/>
      <c r="X174" s="189"/>
      <c r="Z174" s="117"/>
      <c r="AA174" s="118"/>
      <c r="AB174" s="118"/>
      <c r="AC174" s="118"/>
    </row>
    <row r="175" spans="1:29">
      <c r="A175" s="186"/>
      <c r="B175" s="101"/>
      <c r="C175" s="187"/>
      <c r="D175" s="116"/>
      <c r="E175" s="173"/>
      <c r="F175" s="173"/>
      <c r="G175" s="171"/>
      <c r="H175" s="188"/>
      <c r="I175" s="188"/>
      <c r="J175" s="188"/>
      <c r="K175" s="188"/>
      <c r="L175" s="188"/>
      <c r="M175" s="188"/>
      <c r="N175" s="188"/>
      <c r="O175" s="188"/>
      <c r="P175" s="188"/>
      <c r="Q175" s="190"/>
      <c r="R175" s="188"/>
      <c r="S175" s="206"/>
      <c r="T175" s="206"/>
      <c r="U175" s="209"/>
      <c r="V175" s="188"/>
      <c r="W175" s="172"/>
      <c r="X175" s="189"/>
      <c r="Z175" s="117"/>
      <c r="AA175" s="118"/>
      <c r="AB175" s="118"/>
      <c r="AC175" s="118"/>
    </row>
    <row r="176" spans="1:29">
      <c r="A176" s="186"/>
      <c r="B176" s="101"/>
      <c r="C176" s="187"/>
      <c r="D176" s="116"/>
      <c r="E176" s="173"/>
      <c r="F176" s="173"/>
      <c r="G176" s="171"/>
      <c r="H176" s="188"/>
      <c r="I176" s="188"/>
      <c r="J176" s="188"/>
      <c r="K176" s="188"/>
      <c r="L176" s="188"/>
      <c r="M176" s="188"/>
      <c r="N176" s="188"/>
      <c r="O176" s="188"/>
      <c r="P176" s="188"/>
      <c r="Q176" s="190"/>
      <c r="R176" s="188"/>
      <c r="S176" s="206"/>
      <c r="T176" s="206"/>
      <c r="U176" s="209"/>
      <c r="V176" s="188"/>
      <c r="W176" s="172"/>
      <c r="X176" s="189"/>
      <c r="Z176" s="117"/>
      <c r="AA176" s="118"/>
      <c r="AB176" s="118"/>
      <c r="AC176" s="118"/>
    </row>
    <row r="177" spans="1:29">
      <c r="A177" s="186"/>
      <c r="B177" s="101"/>
      <c r="C177" s="187"/>
      <c r="D177" s="116"/>
      <c r="E177" s="173"/>
      <c r="F177" s="173"/>
      <c r="G177" s="171"/>
      <c r="H177" s="188"/>
      <c r="I177" s="188"/>
      <c r="J177" s="188"/>
      <c r="K177" s="188"/>
      <c r="L177" s="188"/>
      <c r="M177" s="188"/>
      <c r="N177" s="188"/>
      <c r="O177" s="188"/>
      <c r="P177" s="188"/>
      <c r="Q177" s="190"/>
      <c r="R177" s="188"/>
      <c r="S177" s="206"/>
      <c r="T177" s="206"/>
      <c r="U177" s="209"/>
      <c r="V177" s="188"/>
      <c r="W177" s="172"/>
      <c r="X177" s="189"/>
      <c r="Z177" s="117"/>
      <c r="AA177" s="118"/>
      <c r="AB177" s="118"/>
      <c r="AC177" s="118"/>
    </row>
    <row r="178" spans="1:29">
      <c r="A178" s="186"/>
      <c r="B178" s="101"/>
      <c r="C178" s="187"/>
      <c r="D178" s="116"/>
      <c r="E178" s="173"/>
      <c r="F178" s="173"/>
      <c r="G178" s="171"/>
      <c r="H178" s="188"/>
      <c r="I178" s="188"/>
      <c r="J178" s="188"/>
      <c r="K178" s="188"/>
      <c r="L178" s="188"/>
      <c r="M178" s="188"/>
      <c r="N178" s="188"/>
      <c r="O178" s="188"/>
      <c r="P178" s="188"/>
      <c r="Q178" s="190"/>
      <c r="R178" s="188"/>
      <c r="S178" s="206"/>
      <c r="T178" s="206"/>
      <c r="U178" s="209"/>
      <c r="V178" s="188"/>
      <c r="W178" s="172"/>
      <c r="X178" s="189"/>
    </row>
    <row r="179" spans="1:29">
      <c r="A179" s="186"/>
      <c r="B179" s="101"/>
      <c r="C179" s="187"/>
      <c r="D179" s="116"/>
      <c r="E179" s="173"/>
      <c r="F179" s="173"/>
      <c r="G179" s="171"/>
      <c r="H179" s="188"/>
      <c r="I179" s="188"/>
      <c r="J179" s="188"/>
      <c r="K179" s="188"/>
      <c r="L179" s="188"/>
      <c r="M179" s="188"/>
      <c r="N179" s="188"/>
      <c r="O179" s="188"/>
      <c r="P179" s="188"/>
      <c r="Q179" s="190"/>
      <c r="R179" s="188"/>
      <c r="S179" s="206"/>
      <c r="T179" s="206"/>
      <c r="U179" s="209"/>
      <c r="V179" s="188"/>
      <c r="W179" s="172"/>
      <c r="X179" s="189"/>
    </row>
    <row r="180" spans="1:29">
      <c r="A180" s="186"/>
      <c r="B180" s="101"/>
      <c r="C180" s="187"/>
      <c r="D180" s="116"/>
      <c r="E180" s="174"/>
      <c r="F180" s="174"/>
      <c r="G180" s="171"/>
      <c r="H180" s="188"/>
      <c r="I180" s="188"/>
      <c r="J180" s="188"/>
      <c r="K180" s="188"/>
      <c r="L180" s="188"/>
      <c r="M180" s="188"/>
      <c r="N180" s="188"/>
      <c r="O180" s="188"/>
      <c r="P180" s="188"/>
      <c r="Q180" s="190"/>
      <c r="R180" s="188"/>
      <c r="S180" s="206"/>
      <c r="T180" s="206"/>
      <c r="U180" s="209"/>
      <c r="V180" s="188"/>
      <c r="W180" s="172"/>
      <c r="X180" s="189"/>
    </row>
    <row r="181" spans="1:29">
      <c r="A181" s="186"/>
      <c r="B181" s="101"/>
      <c r="C181" s="187"/>
      <c r="D181" s="116"/>
      <c r="E181" s="174"/>
      <c r="F181" s="174"/>
      <c r="G181" s="171"/>
      <c r="H181" s="188"/>
      <c r="I181" s="188"/>
      <c r="J181" s="188"/>
      <c r="K181" s="188"/>
      <c r="L181" s="188"/>
      <c r="M181" s="188"/>
      <c r="N181" s="188"/>
      <c r="O181" s="188"/>
      <c r="P181" s="188"/>
      <c r="Q181" s="190"/>
      <c r="R181" s="188"/>
      <c r="S181" s="206"/>
      <c r="T181" s="206"/>
      <c r="U181" s="209"/>
      <c r="V181" s="188"/>
      <c r="W181" s="172"/>
      <c r="X181" s="189"/>
    </row>
    <row r="182" spans="1:29">
      <c r="A182" s="186"/>
      <c r="B182" s="101"/>
      <c r="C182" s="187"/>
      <c r="D182" s="116"/>
      <c r="E182" s="173"/>
      <c r="F182" s="173"/>
      <c r="G182" s="171"/>
      <c r="H182" s="188"/>
      <c r="I182" s="188"/>
      <c r="J182" s="188"/>
      <c r="K182" s="188"/>
      <c r="L182" s="188"/>
      <c r="M182" s="188"/>
      <c r="N182" s="188"/>
      <c r="O182" s="188"/>
      <c r="P182" s="188"/>
      <c r="Q182" s="190"/>
      <c r="R182" s="188"/>
      <c r="S182" s="206"/>
      <c r="T182" s="206"/>
      <c r="U182" s="209"/>
      <c r="V182" s="188"/>
      <c r="W182" s="172"/>
      <c r="X182" s="189"/>
      <c r="Z182" s="117"/>
      <c r="AA182" s="118"/>
      <c r="AB182" s="118"/>
      <c r="AC182" s="118"/>
    </row>
    <row r="183" spans="1:29">
      <c r="A183" s="186"/>
      <c r="B183" s="101"/>
      <c r="C183" s="187"/>
      <c r="D183" s="116"/>
      <c r="E183" s="173"/>
      <c r="F183" s="173"/>
      <c r="G183" s="171"/>
      <c r="H183" s="188"/>
      <c r="I183" s="188"/>
      <c r="J183" s="188"/>
      <c r="K183" s="188"/>
      <c r="L183" s="188"/>
      <c r="M183" s="188"/>
      <c r="N183" s="188"/>
      <c r="O183" s="188"/>
      <c r="P183" s="188"/>
      <c r="Q183" s="190"/>
      <c r="R183" s="188"/>
      <c r="S183" s="206"/>
      <c r="T183" s="206"/>
      <c r="U183" s="209"/>
      <c r="V183" s="188"/>
      <c r="W183" s="172"/>
      <c r="X183" s="189"/>
      <c r="Z183" s="117"/>
      <c r="AA183" s="118"/>
      <c r="AB183" s="118"/>
      <c r="AC183" s="118"/>
    </row>
    <row r="184" spans="1:29">
      <c r="A184" s="186"/>
      <c r="B184" s="101"/>
      <c r="C184" s="187"/>
      <c r="D184" s="116"/>
      <c r="E184" s="173"/>
      <c r="F184" s="173"/>
      <c r="G184" s="171"/>
      <c r="H184" s="172"/>
      <c r="I184" s="172"/>
      <c r="J184" s="172"/>
      <c r="K184" s="172"/>
      <c r="L184" s="188"/>
      <c r="M184" s="188"/>
      <c r="N184" s="188"/>
      <c r="O184" s="188"/>
      <c r="P184" s="188"/>
      <c r="Q184" s="190"/>
      <c r="R184" s="188"/>
      <c r="S184" s="206"/>
      <c r="T184" s="206"/>
      <c r="U184" s="209"/>
      <c r="V184" s="188"/>
      <c r="W184" s="172"/>
      <c r="X184" s="189"/>
    </row>
    <row r="185" spans="1:29">
      <c r="A185" s="186"/>
      <c r="B185" s="101"/>
      <c r="C185" s="187"/>
      <c r="D185" s="116"/>
      <c r="E185" s="173"/>
      <c r="F185" s="173"/>
      <c r="G185" s="171"/>
      <c r="H185" s="172"/>
      <c r="I185" s="172"/>
      <c r="J185" s="172"/>
      <c r="K185" s="172"/>
      <c r="L185" s="188"/>
      <c r="M185" s="188"/>
      <c r="N185" s="188"/>
      <c r="O185" s="188"/>
      <c r="P185" s="188"/>
      <c r="Q185" s="190"/>
      <c r="R185" s="188"/>
      <c r="S185" s="206"/>
      <c r="T185" s="206"/>
      <c r="U185" s="209"/>
      <c r="V185" s="188"/>
      <c r="W185" s="172"/>
      <c r="X185" s="189"/>
    </row>
    <row r="186" spans="1:29">
      <c r="A186" s="186"/>
      <c r="B186" s="101"/>
      <c r="C186" s="187"/>
      <c r="D186" s="116"/>
      <c r="E186" s="173"/>
      <c r="F186" s="173"/>
      <c r="G186" s="171"/>
      <c r="H186" s="172"/>
      <c r="I186" s="172"/>
      <c r="J186" s="172"/>
      <c r="K186" s="172"/>
      <c r="L186" s="188"/>
      <c r="M186" s="188"/>
      <c r="N186" s="188"/>
      <c r="O186" s="188"/>
      <c r="P186" s="188"/>
      <c r="Q186" s="190"/>
      <c r="R186" s="188"/>
      <c r="S186" s="206"/>
      <c r="T186" s="206"/>
      <c r="U186" s="209"/>
      <c r="V186" s="188"/>
      <c r="W186" s="172"/>
      <c r="X186" s="189"/>
    </row>
    <row r="187" spans="1:29">
      <c r="A187" s="186"/>
      <c r="B187" s="101"/>
      <c r="C187" s="187"/>
      <c r="D187" s="116"/>
      <c r="E187" s="173"/>
      <c r="F187" s="173"/>
      <c r="G187" s="171"/>
      <c r="H187" s="172"/>
      <c r="I187" s="172"/>
      <c r="J187" s="172"/>
      <c r="K187" s="172"/>
      <c r="L187" s="188"/>
      <c r="M187" s="188"/>
      <c r="N187" s="188"/>
      <c r="O187" s="188"/>
      <c r="P187" s="188"/>
      <c r="Q187" s="190"/>
      <c r="R187" s="188"/>
      <c r="S187" s="206"/>
      <c r="T187" s="206"/>
      <c r="U187" s="209"/>
      <c r="V187" s="188"/>
      <c r="W187" s="172"/>
      <c r="X187" s="189"/>
    </row>
    <row r="188" spans="1:29">
      <c r="A188" s="186"/>
      <c r="B188" s="101"/>
      <c r="C188" s="187"/>
      <c r="D188" s="116"/>
      <c r="E188" s="173"/>
      <c r="F188" s="173"/>
      <c r="G188" s="171"/>
      <c r="H188" s="172"/>
      <c r="I188" s="172"/>
      <c r="J188" s="172"/>
      <c r="K188" s="172"/>
      <c r="L188" s="188"/>
      <c r="M188" s="188"/>
      <c r="N188" s="188"/>
      <c r="O188" s="188"/>
      <c r="P188" s="188"/>
      <c r="Q188" s="190"/>
      <c r="R188" s="188"/>
      <c r="S188" s="206"/>
      <c r="T188" s="206"/>
      <c r="U188" s="209"/>
      <c r="V188" s="188"/>
      <c r="W188" s="172"/>
      <c r="X188" s="189"/>
      <c r="Z188" s="117"/>
      <c r="AA188" s="118"/>
      <c r="AB188" s="118"/>
      <c r="AC188" s="118"/>
    </row>
    <row r="189" spans="1:29">
      <c r="A189" s="186"/>
      <c r="B189" s="101"/>
      <c r="C189" s="187"/>
      <c r="D189" s="116"/>
      <c r="E189" s="173"/>
      <c r="F189" s="173"/>
      <c r="G189" s="171"/>
      <c r="H189" s="172"/>
      <c r="I189" s="172"/>
      <c r="J189" s="172"/>
      <c r="K189" s="172"/>
      <c r="L189" s="188"/>
      <c r="M189" s="188"/>
      <c r="N189" s="188"/>
      <c r="O189" s="188"/>
      <c r="P189" s="188"/>
      <c r="Q189" s="190"/>
      <c r="R189" s="188"/>
      <c r="S189" s="206"/>
      <c r="T189" s="206"/>
      <c r="U189" s="209"/>
      <c r="V189" s="188"/>
      <c r="W189" s="172"/>
      <c r="X189" s="189"/>
      <c r="Z189" s="117"/>
      <c r="AA189" s="118"/>
      <c r="AB189" s="118"/>
      <c r="AC189" s="118"/>
    </row>
    <row r="190" spans="1:29">
      <c r="A190" s="186"/>
      <c r="B190" s="101"/>
      <c r="C190" s="187"/>
      <c r="D190" s="116"/>
      <c r="E190" s="173"/>
      <c r="F190" s="173"/>
      <c r="G190" s="171"/>
      <c r="H190" s="172"/>
      <c r="I190" s="172"/>
      <c r="J190" s="172"/>
      <c r="K190" s="172"/>
      <c r="L190" s="188"/>
      <c r="M190" s="188"/>
      <c r="N190" s="188"/>
      <c r="O190" s="188"/>
      <c r="P190" s="188"/>
      <c r="Q190" s="190"/>
      <c r="R190" s="188"/>
      <c r="S190" s="206"/>
      <c r="T190" s="206"/>
      <c r="U190" s="209"/>
      <c r="V190" s="188"/>
      <c r="W190" s="172"/>
      <c r="X190" s="189"/>
    </row>
    <row r="191" spans="1:29">
      <c r="A191" s="186"/>
      <c r="B191" s="101"/>
      <c r="C191" s="187"/>
      <c r="D191" s="116"/>
      <c r="E191" s="173"/>
      <c r="F191" s="173"/>
      <c r="G191" s="171"/>
      <c r="H191" s="172"/>
      <c r="I191" s="172"/>
      <c r="J191" s="172"/>
      <c r="K191" s="172"/>
      <c r="L191" s="188"/>
      <c r="M191" s="188"/>
      <c r="N191" s="188"/>
      <c r="O191" s="188"/>
      <c r="P191" s="188"/>
      <c r="Q191" s="190"/>
      <c r="R191" s="188"/>
      <c r="S191" s="206"/>
      <c r="T191" s="206"/>
      <c r="U191" s="209"/>
      <c r="V191" s="188"/>
      <c r="W191" s="172"/>
      <c r="X191" s="189"/>
    </row>
    <row r="192" spans="1:29">
      <c r="A192" s="186"/>
      <c r="B192" s="101"/>
      <c r="C192" s="187"/>
      <c r="D192" s="116"/>
      <c r="E192" s="173"/>
      <c r="F192" s="173"/>
      <c r="G192" s="171"/>
      <c r="H192" s="172"/>
      <c r="I192" s="172"/>
      <c r="J192" s="172"/>
      <c r="K192" s="172"/>
      <c r="L192" s="188"/>
      <c r="M192" s="188"/>
      <c r="N192" s="188"/>
      <c r="O192" s="188"/>
      <c r="P192" s="188"/>
      <c r="Q192" s="190"/>
      <c r="R192" s="188"/>
      <c r="S192" s="206"/>
      <c r="T192" s="206"/>
      <c r="U192" s="209"/>
      <c r="V192" s="188"/>
      <c r="W192" s="172"/>
      <c r="X192" s="189"/>
    </row>
    <row r="193" spans="1:29">
      <c r="A193" s="186"/>
      <c r="B193" s="101"/>
      <c r="C193" s="187"/>
      <c r="D193" s="116"/>
      <c r="E193" s="173"/>
      <c r="F193" s="173"/>
      <c r="G193" s="171"/>
      <c r="H193" s="172"/>
      <c r="I193" s="172"/>
      <c r="J193" s="172"/>
      <c r="K193" s="172"/>
      <c r="L193" s="188"/>
      <c r="M193" s="188"/>
      <c r="N193" s="188"/>
      <c r="O193" s="188"/>
      <c r="P193" s="188"/>
      <c r="Q193" s="190"/>
      <c r="R193" s="188"/>
      <c r="S193" s="206"/>
      <c r="T193" s="206"/>
      <c r="U193" s="209"/>
      <c r="V193" s="188"/>
      <c r="W193" s="172"/>
      <c r="X193" s="189"/>
    </row>
    <row r="194" spans="1:29">
      <c r="A194" s="186"/>
      <c r="B194" s="101"/>
      <c r="C194" s="187"/>
      <c r="D194" s="116"/>
      <c r="E194" s="173"/>
      <c r="F194" s="173"/>
      <c r="G194" s="171"/>
      <c r="H194" s="172"/>
      <c r="I194" s="172"/>
      <c r="J194" s="172"/>
      <c r="K194" s="172"/>
      <c r="L194" s="188"/>
      <c r="M194" s="188"/>
      <c r="N194" s="188"/>
      <c r="O194" s="188"/>
      <c r="P194" s="188"/>
      <c r="Q194" s="190"/>
      <c r="R194" s="188"/>
      <c r="S194" s="206"/>
      <c r="T194" s="206"/>
      <c r="U194" s="209"/>
      <c r="V194" s="188"/>
      <c r="W194" s="172"/>
      <c r="X194" s="189"/>
      <c r="Z194" s="117"/>
      <c r="AA194" s="118"/>
      <c r="AB194" s="118"/>
      <c r="AC194" s="118"/>
    </row>
    <row r="195" spans="1:29">
      <c r="A195" s="186"/>
      <c r="B195" s="101"/>
      <c r="C195" s="187"/>
      <c r="D195" s="116"/>
      <c r="E195" s="173"/>
      <c r="F195" s="173"/>
      <c r="G195" s="171"/>
      <c r="H195" s="172"/>
      <c r="I195" s="172"/>
      <c r="J195" s="172"/>
      <c r="K195" s="172"/>
      <c r="L195" s="188"/>
      <c r="M195" s="188"/>
      <c r="N195" s="188"/>
      <c r="O195" s="188"/>
      <c r="P195" s="188"/>
      <c r="Q195" s="190"/>
      <c r="R195" s="188"/>
      <c r="S195" s="206"/>
      <c r="T195" s="206"/>
      <c r="U195" s="209"/>
      <c r="V195" s="188"/>
      <c r="W195" s="172"/>
      <c r="X195" s="189"/>
      <c r="Z195" s="117"/>
      <c r="AA195" s="118"/>
      <c r="AB195" s="118"/>
      <c r="AC195" s="118"/>
    </row>
    <row r="196" spans="1:29">
      <c r="A196" s="186"/>
      <c r="B196" s="101"/>
      <c r="C196" s="187"/>
      <c r="D196" s="116"/>
      <c r="E196" s="173"/>
      <c r="F196" s="173"/>
      <c r="G196" s="171"/>
      <c r="H196" s="172"/>
      <c r="I196" s="172"/>
      <c r="J196" s="172"/>
      <c r="K196" s="172"/>
      <c r="L196" s="188"/>
      <c r="M196" s="188"/>
      <c r="N196" s="188"/>
      <c r="O196" s="188"/>
      <c r="P196" s="188"/>
      <c r="Q196" s="190"/>
      <c r="R196" s="188"/>
      <c r="S196" s="206"/>
      <c r="T196" s="206"/>
      <c r="U196" s="209"/>
      <c r="V196" s="188"/>
      <c r="W196" s="172"/>
      <c r="X196" s="189"/>
      <c r="Z196" s="117"/>
      <c r="AA196" s="118"/>
      <c r="AB196" s="118"/>
      <c r="AC196" s="118"/>
    </row>
    <row r="197" spans="1:29">
      <c r="A197" s="186"/>
      <c r="B197" s="101"/>
      <c r="C197" s="187"/>
      <c r="D197" s="116"/>
      <c r="E197" s="173"/>
      <c r="F197" s="173"/>
      <c r="G197" s="171"/>
      <c r="H197" s="172"/>
      <c r="I197" s="172"/>
      <c r="J197" s="172"/>
      <c r="K197" s="172"/>
      <c r="L197" s="188"/>
      <c r="M197" s="188"/>
      <c r="N197" s="188"/>
      <c r="O197" s="188"/>
      <c r="P197" s="188"/>
      <c r="Q197" s="190"/>
      <c r="R197" s="188"/>
      <c r="S197" s="206"/>
      <c r="T197" s="206"/>
      <c r="U197" s="209"/>
      <c r="V197" s="188"/>
      <c r="W197" s="172"/>
      <c r="X197" s="189"/>
    </row>
    <row r="198" spans="1:29">
      <c r="A198" s="186"/>
      <c r="B198" s="101"/>
      <c r="C198" s="187"/>
      <c r="D198" s="116"/>
      <c r="E198" s="173"/>
      <c r="F198" s="173"/>
      <c r="G198" s="171"/>
      <c r="H198" s="172"/>
      <c r="I198" s="172"/>
      <c r="J198" s="172"/>
      <c r="K198" s="172"/>
      <c r="L198" s="188"/>
      <c r="M198" s="188"/>
      <c r="N198" s="188"/>
      <c r="O198" s="188"/>
      <c r="P198" s="188"/>
      <c r="Q198" s="190"/>
      <c r="R198" s="188"/>
      <c r="S198" s="206"/>
      <c r="T198" s="206"/>
      <c r="U198" s="209"/>
      <c r="V198" s="188"/>
      <c r="W198" s="172"/>
      <c r="X198" s="191"/>
    </row>
    <row r="199" spans="1:29">
      <c r="A199" s="186"/>
      <c r="B199" s="101"/>
      <c r="C199" s="187"/>
      <c r="D199" s="116"/>
      <c r="E199" s="173"/>
      <c r="F199" s="173"/>
      <c r="G199" s="171"/>
      <c r="H199" s="172"/>
      <c r="I199" s="172"/>
      <c r="J199" s="172"/>
      <c r="K199" s="172"/>
      <c r="L199" s="188"/>
      <c r="M199" s="188"/>
      <c r="N199" s="188"/>
      <c r="O199" s="188"/>
      <c r="P199" s="188"/>
      <c r="Q199" s="190"/>
      <c r="R199" s="188"/>
      <c r="S199" s="206"/>
      <c r="T199" s="206"/>
      <c r="U199" s="209"/>
      <c r="V199" s="188"/>
      <c r="W199" s="172"/>
      <c r="X199" s="189"/>
    </row>
    <row r="200" spans="1:29">
      <c r="A200" s="186"/>
      <c r="B200" s="101"/>
      <c r="C200" s="187"/>
      <c r="D200" s="116"/>
      <c r="E200" s="173"/>
      <c r="F200" s="173"/>
      <c r="G200" s="171"/>
      <c r="H200" s="172"/>
      <c r="I200" s="172"/>
      <c r="J200" s="172"/>
      <c r="K200" s="172"/>
      <c r="L200" s="188"/>
      <c r="M200" s="188"/>
      <c r="N200" s="188"/>
      <c r="O200" s="188"/>
      <c r="P200" s="188"/>
      <c r="Q200" s="190"/>
      <c r="R200" s="188"/>
      <c r="S200" s="206"/>
      <c r="T200" s="206"/>
      <c r="U200" s="209"/>
      <c r="V200" s="188"/>
      <c r="W200" s="172"/>
      <c r="X200" s="189"/>
    </row>
    <row r="201" spans="1:29">
      <c r="A201" s="186"/>
      <c r="B201" s="101"/>
      <c r="C201" s="187"/>
      <c r="D201" s="116"/>
      <c r="E201" s="173"/>
      <c r="F201" s="173"/>
      <c r="G201" s="171"/>
      <c r="H201" s="172"/>
      <c r="I201" s="172"/>
      <c r="J201" s="172"/>
      <c r="K201" s="172"/>
      <c r="L201" s="188"/>
      <c r="M201" s="188"/>
      <c r="N201" s="188"/>
      <c r="O201" s="188"/>
      <c r="P201" s="188"/>
      <c r="Q201" s="190"/>
      <c r="R201" s="188"/>
      <c r="S201" s="206"/>
      <c r="T201" s="206"/>
      <c r="U201" s="206"/>
      <c r="V201" s="188"/>
      <c r="W201" s="176"/>
      <c r="X201" s="189"/>
      <c r="Z201" s="117"/>
      <c r="AA201" s="118"/>
      <c r="AB201" s="118"/>
      <c r="AC201" s="118"/>
    </row>
    <row r="202" spans="1:29">
      <c r="A202" s="186"/>
      <c r="B202" s="101"/>
      <c r="C202" s="187"/>
      <c r="D202" s="116"/>
      <c r="E202" s="173"/>
      <c r="F202" s="173"/>
      <c r="G202" s="171"/>
      <c r="H202" s="172"/>
      <c r="I202" s="172"/>
      <c r="J202" s="172"/>
      <c r="K202" s="172"/>
      <c r="L202" s="188"/>
      <c r="M202" s="188"/>
      <c r="N202" s="188"/>
      <c r="O202" s="188"/>
      <c r="P202" s="188"/>
      <c r="Q202" s="188"/>
      <c r="R202" s="188"/>
      <c r="S202" s="206"/>
      <c r="T202" s="206"/>
      <c r="U202" s="206"/>
      <c r="V202" s="188"/>
      <c r="W202" s="172"/>
      <c r="X202" s="189"/>
      <c r="Z202" s="117"/>
      <c r="AA202" s="118"/>
      <c r="AB202" s="118"/>
      <c r="AC202" s="118"/>
    </row>
    <row r="203" spans="1:29">
      <c r="A203" s="186"/>
      <c r="B203" s="101"/>
      <c r="C203" s="187"/>
      <c r="D203" s="116"/>
      <c r="E203" s="173"/>
      <c r="F203" s="173"/>
      <c r="G203" s="171"/>
      <c r="H203" s="172"/>
      <c r="I203" s="172"/>
      <c r="J203" s="172"/>
      <c r="K203" s="172"/>
      <c r="L203" s="188"/>
      <c r="M203" s="188"/>
      <c r="N203" s="188"/>
      <c r="O203" s="188"/>
      <c r="P203" s="188"/>
      <c r="Q203" s="188"/>
      <c r="R203" s="188"/>
      <c r="S203" s="206"/>
      <c r="T203" s="206"/>
      <c r="U203" s="206"/>
      <c r="V203" s="188"/>
      <c r="W203" s="172"/>
      <c r="X203" s="189"/>
    </row>
    <row r="204" spans="1:29">
      <c r="A204" s="186"/>
      <c r="B204" s="101"/>
      <c r="C204" s="187"/>
      <c r="D204" s="116"/>
      <c r="E204" s="173"/>
      <c r="F204" s="173"/>
      <c r="G204" s="171"/>
      <c r="H204" s="172"/>
      <c r="I204" s="172"/>
      <c r="J204" s="172"/>
      <c r="K204" s="172"/>
      <c r="L204" s="188"/>
      <c r="M204" s="188"/>
      <c r="N204" s="188"/>
      <c r="O204" s="188"/>
      <c r="P204" s="188"/>
      <c r="Q204" s="188"/>
      <c r="R204" s="188"/>
      <c r="S204" s="206"/>
      <c r="T204" s="206"/>
      <c r="U204" s="206"/>
      <c r="V204" s="188"/>
      <c r="W204" s="172"/>
      <c r="X204" s="189"/>
    </row>
    <row r="205" spans="1:29">
      <c r="A205" s="186"/>
      <c r="B205" s="101"/>
      <c r="C205" s="187"/>
      <c r="D205" s="116"/>
      <c r="E205" s="173"/>
      <c r="F205" s="173"/>
      <c r="G205" s="171"/>
      <c r="H205" s="172"/>
      <c r="I205" s="172"/>
      <c r="J205" s="172"/>
      <c r="K205" s="172"/>
      <c r="L205" s="188"/>
      <c r="M205" s="188"/>
      <c r="N205" s="188"/>
      <c r="O205" s="188"/>
      <c r="P205" s="188"/>
      <c r="Q205" s="188"/>
      <c r="R205" s="188"/>
      <c r="S205" s="206"/>
      <c r="T205" s="206"/>
      <c r="U205" s="206"/>
      <c r="V205" s="188"/>
      <c r="W205" s="172"/>
      <c r="X205" s="189"/>
    </row>
    <row r="206" spans="1:29">
      <c r="A206" s="186"/>
      <c r="B206" s="101"/>
      <c r="C206" s="187"/>
      <c r="D206" s="116"/>
      <c r="E206" s="173"/>
      <c r="F206" s="173"/>
      <c r="G206" s="171"/>
      <c r="H206" s="172"/>
      <c r="I206" s="172"/>
      <c r="J206" s="172"/>
      <c r="K206" s="172"/>
      <c r="L206" s="188"/>
      <c r="M206" s="188"/>
      <c r="N206" s="188"/>
      <c r="O206" s="188"/>
      <c r="P206" s="188"/>
      <c r="Q206" s="188"/>
      <c r="R206" s="188"/>
      <c r="S206" s="206"/>
      <c r="T206" s="206"/>
      <c r="U206" s="206"/>
      <c r="V206" s="188"/>
      <c r="W206" s="172"/>
      <c r="X206" s="189"/>
    </row>
    <row r="207" spans="1:29">
      <c r="A207" s="186"/>
      <c r="B207" s="101"/>
      <c r="C207" s="187"/>
      <c r="D207" s="116"/>
      <c r="E207" s="173"/>
      <c r="F207" s="173"/>
      <c r="G207" s="171"/>
      <c r="H207" s="172"/>
      <c r="I207" s="172"/>
      <c r="J207" s="172"/>
      <c r="K207" s="172"/>
      <c r="L207" s="188"/>
      <c r="M207" s="188"/>
      <c r="N207" s="188"/>
      <c r="O207" s="188"/>
      <c r="P207" s="188"/>
      <c r="Q207" s="188"/>
      <c r="R207" s="188"/>
      <c r="S207" s="206"/>
      <c r="T207" s="206"/>
      <c r="U207" s="206"/>
      <c r="V207" s="188"/>
      <c r="W207" s="172"/>
      <c r="X207" s="189"/>
      <c r="Z207" s="117"/>
      <c r="AA207" s="118"/>
      <c r="AB207" s="118"/>
      <c r="AC207" s="118"/>
    </row>
    <row r="208" spans="1:29">
      <c r="A208" s="186"/>
      <c r="B208" s="101"/>
      <c r="C208" s="187"/>
      <c r="D208" s="116"/>
      <c r="E208" s="173"/>
      <c r="F208" s="173"/>
      <c r="G208" s="171"/>
      <c r="H208" s="172"/>
      <c r="I208" s="172"/>
      <c r="J208" s="172"/>
      <c r="K208" s="172"/>
      <c r="L208" s="188"/>
      <c r="M208" s="188"/>
      <c r="N208" s="188"/>
      <c r="O208" s="188"/>
      <c r="P208" s="188"/>
      <c r="Q208" s="188"/>
      <c r="R208" s="188"/>
      <c r="S208" s="206"/>
      <c r="T208" s="206"/>
      <c r="U208" s="206"/>
      <c r="V208" s="188"/>
      <c r="W208" s="172"/>
      <c r="X208" s="189"/>
      <c r="Z208" s="117"/>
      <c r="AA208" s="118"/>
      <c r="AB208" s="118"/>
      <c r="AC208" s="118"/>
    </row>
    <row r="209" spans="1:29">
      <c r="A209" s="186"/>
      <c r="B209" s="101"/>
      <c r="C209" s="187"/>
      <c r="D209" s="116"/>
      <c r="E209" s="173"/>
      <c r="F209" s="173"/>
      <c r="G209" s="171"/>
      <c r="H209" s="172"/>
      <c r="I209" s="172"/>
      <c r="J209" s="172"/>
      <c r="K209" s="172"/>
      <c r="L209" s="188"/>
      <c r="M209" s="188"/>
      <c r="N209" s="188"/>
      <c r="O209" s="188"/>
      <c r="P209" s="188"/>
      <c r="Q209" s="188"/>
      <c r="R209" s="188"/>
      <c r="S209" s="206"/>
      <c r="T209" s="206"/>
      <c r="U209" s="206"/>
      <c r="V209" s="188"/>
      <c r="W209" s="172"/>
      <c r="X209" s="189"/>
    </row>
    <row r="210" spans="1:29">
      <c r="A210" s="186"/>
      <c r="B210" s="101"/>
      <c r="C210" s="187"/>
      <c r="D210" s="116"/>
      <c r="E210" s="173"/>
      <c r="F210" s="173"/>
      <c r="G210" s="171"/>
      <c r="H210" s="172"/>
      <c r="I210" s="172"/>
      <c r="J210" s="172"/>
      <c r="K210" s="172"/>
      <c r="L210" s="188"/>
      <c r="M210" s="188"/>
      <c r="N210" s="188"/>
      <c r="O210" s="188"/>
      <c r="P210" s="188"/>
      <c r="Q210" s="188"/>
      <c r="R210" s="188"/>
      <c r="S210" s="206"/>
      <c r="T210" s="206"/>
      <c r="U210" s="206"/>
      <c r="V210" s="188"/>
      <c r="W210" s="172"/>
      <c r="X210" s="189"/>
    </row>
    <row r="211" spans="1:29">
      <c r="A211" s="186"/>
      <c r="B211" s="101"/>
      <c r="C211" s="187"/>
      <c r="D211" s="116"/>
      <c r="E211" s="173"/>
      <c r="F211" s="173"/>
      <c r="G211" s="171"/>
      <c r="H211" s="172"/>
      <c r="I211" s="172"/>
      <c r="J211" s="172"/>
      <c r="K211" s="172"/>
      <c r="L211" s="188"/>
      <c r="M211" s="188"/>
      <c r="N211" s="188"/>
      <c r="O211" s="188"/>
      <c r="P211" s="188"/>
      <c r="Q211" s="188"/>
      <c r="R211" s="188"/>
      <c r="S211" s="206"/>
      <c r="T211" s="206"/>
      <c r="U211" s="206"/>
      <c r="V211" s="188"/>
      <c r="W211" s="172"/>
      <c r="X211" s="189"/>
    </row>
    <row r="212" spans="1:29">
      <c r="A212" s="186"/>
      <c r="B212" s="101"/>
      <c r="C212" s="187"/>
      <c r="D212" s="116"/>
      <c r="E212" s="173"/>
      <c r="F212" s="173"/>
      <c r="G212" s="171"/>
      <c r="H212" s="172"/>
      <c r="I212" s="172"/>
      <c r="J212" s="172"/>
      <c r="K212" s="172"/>
      <c r="L212" s="188"/>
      <c r="M212" s="188"/>
      <c r="N212" s="188"/>
      <c r="O212" s="188"/>
      <c r="P212" s="188"/>
      <c r="Q212" s="188"/>
      <c r="R212" s="188"/>
      <c r="S212" s="206"/>
      <c r="T212" s="206"/>
      <c r="U212" s="206"/>
      <c r="V212" s="188"/>
      <c r="W212" s="172"/>
      <c r="X212" s="189"/>
    </row>
    <row r="213" spans="1:29">
      <c r="A213" s="186"/>
      <c r="B213" s="101"/>
      <c r="C213" s="187"/>
      <c r="D213" s="116"/>
      <c r="E213" s="173"/>
      <c r="F213" s="173"/>
      <c r="G213" s="171"/>
      <c r="H213" s="172"/>
      <c r="I213" s="172"/>
      <c r="J213" s="172"/>
      <c r="K213" s="172"/>
      <c r="L213" s="188"/>
      <c r="M213" s="188"/>
      <c r="N213" s="188"/>
      <c r="O213" s="188"/>
      <c r="P213" s="188"/>
      <c r="Q213" s="188"/>
      <c r="R213" s="188"/>
      <c r="S213" s="206"/>
      <c r="T213" s="206"/>
      <c r="U213" s="206"/>
      <c r="V213" s="188"/>
      <c r="W213" s="172"/>
      <c r="X213" s="189"/>
      <c r="Z213" s="117"/>
      <c r="AA213" s="118"/>
      <c r="AB213" s="118"/>
      <c r="AC213" s="118"/>
    </row>
    <row r="214" spans="1:29">
      <c r="A214" s="186"/>
      <c r="B214" s="101"/>
      <c r="C214" s="187"/>
      <c r="D214" s="116"/>
      <c r="E214" s="173"/>
      <c r="F214" s="173"/>
      <c r="G214" s="171"/>
      <c r="H214" s="172"/>
      <c r="I214" s="172"/>
      <c r="J214" s="172"/>
      <c r="K214" s="172"/>
      <c r="L214" s="188"/>
      <c r="M214" s="188"/>
      <c r="N214" s="188"/>
      <c r="O214" s="188"/>
      <c r="P214" s="188"/>
      <c r="Q214" s="188"/>
      <c r="R214" s="188"/>
      <c r="S214" s="206"/>
      <c r="T214" s="206"/>
      <c r="U214" s="206"/>
      <c r="V214" s="188"/>
      <c r="W214" s="172"/>
      <c r="X214" s="189"/>
      <c r="Z214" s="117"/>
      <c r="AA214" s="118"/>
      <c r="AB214" s="118"/>
      <c r="AC214" s="118"/>
    </row>
    <row r="215" spans="1:29">
      <c r="A215" s="186"/>
      <c r="B215" s="101"/>
      <c r="C215" s="187"/>
      <c r="D215" s="116"/>
      <c r="E215" s="173"/>
      <c r="F215" s="173"/>
      <c r="G215" s="171"/>
      <c r="H215" s="172"/>
      <c r="I215" s="172"/>
      <c r="J215" s="172"/>
      <c r="K215" s="172"/>
      <c r="L215" s="188"/>
      <c r="M215" s="188"/>
      <c r="N215" s="188"/>
      <c r="O215" s="188"/>
      <c r="P215" s="188"/>
      <c r="Q215" s="188"/>
      <c r="R215" s="188"/>
      <c r="S215" s="206"/>
      <c r="T215" s="206"/>
      <c r="U215" s="206"/>
      <c r="V215" s="188"/>
      <c r="W215" s="172"/>
      <c r="X215" s="189"/>
    </row>
    <row r="216" spans="1:29">
      <c r="A216" s="186"/>
      <c r="B216" s="101"/>
      <c r="C216" s="187"/>
      <c r="D216" s="116"/>
      <c r="E216" s="173"/>
      <c r="F216" s="173"/>
      <c r="G216" s="171"/>
      <c r="H216" s="172"/>
      <c r="I216" s="172"/>
      <c r="J216" s="172"/>
      <c r="K216" s="172"/>
      <c r="L216" s="188"/>
      <c r="M216" s="188"/>
      <c r="N216" s="188"/>
      <c r="O216" s="188"/>
      <c r="P216" s="188"/>
      <c r="Q216" s="188"/>
      <c r="R216" s="188"/>
      <c r="S216" s="206"/>
      <c r="T216" s="206"/>
      <c r="U216" s="206"/>
      <c r="V216" s="188"/>
      <c r="W216" s="172"/>
      <c r="X216" s="189"/>
    </row>
    <row r="217" spans="1:29">
      <c r="A217" s="186"/>
      <c r="B217" s="101"/>
      <c r="C217" s="187"/>
      <c r="D217" s="116"/>
      <c r="E217" s="173"/>
      <c r="F217" s="173"/>
      <c r="G217" s="171"/>
      <c r="H217" s="172"/>
      <c r="I217" s="172"/>
      <c r="J217" s="172"/>
      <c r="K217" s="172"/>
      <c r="L217" s="188"/>
      <c r="M217" s="188"/>
      <c r="N217" s="188"/>
      <c r="O217" s="188"/>
      <c r="P217" s="188"/>
      <c r="Q217" s="188"/>
      <c r="R217" s="188"/>
      <c r="S217" s="206"/>
      <c r="T217" s="206"/>
      <c r="U217" s="206"/>
      <c r="V217" s="188"/>
      <c r="W217" s="172"/>
      <c r="X217" s="189"/>
    </row>
    <row r="218" spans="1:29">
      <c r="A218" s="186"/>
      <c r="B218" s="101"/>
      <c r="C218" s="187"/>
      <c r="D218" s="116"/>
      <c r="E218" s="173"/>
      <c r="F218" s="173"/>
      <c r="G218" s="171"/>
      <c r="H218" s="172"/>
      <c r="I218" s="172"/>
      <c r="J218" s="172"/>
      <c r="K218" s="172"/>
      <c r="L218" s="188"/>
      <c r="M218" s="188"/>
      <c r="N218" s="188"/>
      <c r="O218" s="188"/>
      <c r="P218" s="188"/>
      <c r="Q218" s="188"/>
      <c r="R218" s="188"/>
      <c r="S218" s="206"/>
      <c r="T218" s="206"/>
      <c r="U218" s="206"/>
      <c r="V218" s="188"/>
      <c r="W218" s="172"/>
      <c r="X218" s="189"/>
    </row>
    <row r="219" spans="1:29">
      <c r="A219" s="186"/>
      <c r="B219" s="101"/>
      <c r="C219" s="187"/>
      <c r="D219" s="116"/>
      <c r="E219" s="173"/>
      <c r="F219" s="173"/>
      <c r="G219" s="171"/>
      <c r="H219" s="172"/>
      <c r="I219" s="172"/>
      <c r="J219" s="172"/>
      <c r="K219" s="172"/>
      <c r="L219" s="188"/>
      <c r="M219" s="188"/>
      <c r="N219" s="188"/>
      <c r="O219" s="188"/>
      <c r="P219" s="188"/>
      <c r="Q219" s="188"/>
      <c r="R219" s="188"/>
      <c r="S219" s="206"/>
      <c r="T219" s="206"/>
      <c r="U219" s="206"/>
      <c r="V219" s="188"/>
      <c r="W219" s="172"/>
      <c r="X219" s="189"/>
      <c r="Z219" s="117"/>
      <c r="AA219" s="118"/>
      <c r="AB219" s="118"/>
      <c r="AC219" s="118"/>
    </row>
    <row r="220" spans="1:29">
      <c r="A220" s="186"/>
      <c r="B220" s="101"/>
      <c r="C220" s="187"/>
      <c r="D220" s="116"/>
      <c r="E220" s="173"/>
      <c r="F220" s="173"/>
      <c r="G220" s="171"/>
      <c r="H220" s="172"/>
      <c r="I220" s="172"/>
      <c r="J220" s="172"/>
      <c r="K220" s="172"/>
      <c r="L220" s="188"/>
      <c r="M220" s="188"/>
      <c r="N220" s="188"/>
      <c r="O220" s="188"/>
      <c r="P220" s="188"/>
      <c r="Q220" s="188"/>
      <c r="R220" s="188"/>
      <c r="S220" s="206"/>
      <c r="T220" s="206"/>
      <c r="U220" s="206"/>
      <c r="V220" s="188"/>
      <c r="W220" s="172"/>
      <c r="X220" s="189"/>
      <c r="Z220" s="117"/>
      <c r="AA220" s="118"/>
      <c r="AB220" s="118"/>
      <c r="AC220" s="118"/>
    </row>
    <row r="221" spans="1:29">
      <c r="A221" s="186"/>
      <c r="B221" s="101"/>
      <c r="C221" s="187"/>
      <c r="D221" s="116"/>
      <c r="E221" s="173"/>
      <c r="F221" s="173"/>
      <c r="G221" s="171"/>
      <c r="H221" s="172"/>
      <c r="I221" s="172"/>
      <c r="J221" s="172"/>
      <c r="K221" s="172"/>
      <c r="L221" s="188"/>
      <c r="M221" s="188"/>
      <c r="N221" s="188"/>
      <c r="O221" s="188"/>
      <c r="P221" s="188"/>
      <c r="Q221" s="188"/>
      <c r="R221" s="188"/>
      <c r="S221" s="206"/>
      <c r="T221" s="206"/>
      <c r="U221" s="206"/>
      <c r="V221" s="188"/>
      <c r="W221" s="172"/>
      <c r="X221" s="189"/>
    </row>
    <row r="222" spans="1:29">
      <c r="A222" s="186"/>
      <c r="B222" s="101"/>
      <c r="C222" s="187"/>
      <c r="D222" s="116"/>
      <c r="E222" s="173"/>
      <c r="F222" s="173"/>
      <c r="G222" s="171"/>
      <c r="H222" s="172"/>
      <c r="I222" s="172"/>
      <c r="J222" s="172"/>
      <c r="K222" s="172"/>
      <c r="L222" s="188"/>
      <c r="M222" s="188"/>
      <c r="N222" s="188"/>
      <c r="O222" s="188"/>
      <c r="P222" s="188"/>
      <c r="Q222" s="188"/>
      <c r="R222" s="188"/>
      <c r="S222" s="206"/>
      <c r="T222" s="206"/>
      <c r="U222" s="206"/>
      <c r="V222" s="188"/>
      <c r="W222" s="172"/>
      <c r="X222" s="189"/>
    </row>
    <row r="223" spans="1:29">
      <c r="A223" s="186"/>
      <c r="B223" s="101"/>
      <c r="C223" s="187"/>
      <c r="D223" s="116"/>
      <c r="E223" s="173"/>
      <c r="F223" s="173"/>
      <c r="G223" s="171"/>
      <c r="H223" s="172"/>
      <c r="I223" s="172"/>
      <c r="J223" s="172"/>
      <c r="K223" s="172"/>
      <c r="L223" s="188"/>
      <c r="M223" s="188"/>
      <c r="N223" s="188"/>
      <c r="O223" s="188"/>
      <c r="P223" s="188"/>
      <c r="Q223" s="188"/>
      <c r="R223" s="188"/>
      <c r="S223" s="206"/>
      <c r="T223" s="206"/>
      <c r="U223" s="206"/>
      <c r="V223" s="188"/>
      <c r="W223" s="172"/>
      <c r="X223" s="189"/>
    </row>
    <row r="224" spans="1:29">
      <c r="A224" s="186"/>
      <c r="B224" s="101"/>
      <c r="C224" s="187"/>
      <c r="D224" s="116"/>
      <c r="E224" s="173"/>
      <c r="F224" s="173"/>
      <c r="G224" s="171"/>
      <c r="H224" s="172"/>
      <c r="I224" s="172"/>
      <c r="J224" s="172"/>
      <c r="K224" s="172"/>
      <c r="L224" s="188"/>
      <c r="M224" s="188"/>
      <c r="N224" s="188"/>
      <c r="O224" s="188"/>
      <c r="P224" s="188"/>
      <c r="Q224" s="188"/>
      <c r="R224" s="188"/>
      <c r="S224" s="206"/>
      <c r="T224" s="206"/>
      <c r="U224" s="206"/>
      <c r="V224" s="188"/>
      <c r="W224" s="172"/>
      <c r="X224" s="189"/>
    </row>
    <row r="225" spans="1:29">
      <c r="A225" s="186"/>
      <c r="B225" s="101"/>
      <c r="C225" s="187"/>
      <c r="D225" s="116"/>
      <c r="E225" s="173"/>
      <c r="F225" s="173"/>
      <c r="G225" s="171"/>
      <c r="H225" s="172"/>
      <c r="I225" s="172"/>
      <c r="J225" s="172"/>
      <c r="K225" s="172"/>
      <c r="L225" s="188"/>
      <c r="M225" s="188"/>
      <c r="N225" s="188"/>
      <c r="O225" s="188"/>
      <c r="P225" s="188"/>
      <c r="Q225" s="188"/>
      <c r="R225" s="188"/>
      <c r="S225" s="206"/>
      <c r="T225" s="206"/>
      <c r="U225" s="206"/>
      <c r="V225" s="188"/>
      <c r="W225" s="172"/>
      <c r="X225" s="189"/>
      <c r="Z225" s="117"/>
      <c r="AA225" s="118"/>
      <c r="AB225" s="118"/>
      <c r="AC225" s="118"/>
    </row>
    <row r="226" spans="1:29">
      <c r="A226" s="186"/>
      <c r="B226" s="101"/>
      <c r="C226" s="187"/>
      <c r="D226" s="116"/>
      <c r="E226" s="173"/>
      <c r="F226" s="173"/>
      <c r="G226" s="171"/>
      <c r="H226" s="172"/>
      <c r="I226" s="172"/>
      <c r="J226" s="172"/>
      <c r="K226" s="172"/>
      <c r="L226" s="188"/>
      <c r="M226" s="188"/>
      <c r="N226" s="188"/>
      <c r="O226" s="188"/>
      <c r="P226" s="188"/>
      <c r="Q226" s="188"/>
      <c r="R226" s="188"/>
      <c r="S226" s="206"/>
      <c r="T226" s="206"/>
      <c r="U226" s="206"/>
      <c r="V226" s="188"/>
      <c r="W226" s="172"/>
      <c r="X226" s="189"/>
      <c r="Z226" s="117"/>
      <c r="AA226" s="118"/>
      <c r="AB226" s="118"/>
      <c r="AC226" s="118"/>
    </row>
    <row r="227" spans="1:29">
      <c r="A227" s="186"/>
      <c r="B227" s="101"/>
      <c r="C227" s="187"/>
      <c r="D227" s="116"/>
      <c r="E227" s="173"/>
      <c r="F227" s="173"/>
      <c r="G227" s="171"/>
      <c r="H227" s="172"/>
      <c r="I227" s="172"/>
      <c r="J227" s="172"/>
      <c r="K227" s="172"/>
      <c r="L227" s="188"/>
      <c r="M227" s="188"/>
      <c r="N227" s="188"/>
      <c r="O227" s="188"/>
      <c r="P227" s="188"/>
      <c r="Q227" s="188"/>
      <c r="R227" s="188"/>
      <c r="S227" s="206"/>
      <c r="T227" s="206"/>
      <c r="U227" s="206"/>
      <c r="V227" s="188"/>
      <c r="W227" s="172"/>
      <c r="X227" s="189"/>
    </row>
    <row r="228" spans="1:29">
      <c r="A228" s="186"/>
      <c r="B228" s="101"/>
      <c r="C228" s="187"/>
      <c r="D228" s="116"/>
      <c r="E228" s="173"/>
      <c r="F228" s="173"/>
      <c r="G228" s="171"/>
      <c r="H228" s="172"/>
      <c r="I228" s="172"/>
      <c r="J228" s="172"/>
      <c r="K228" s="172"/>
      <c r="L228" s="188"/>
      <c r="M228" s="188"/>
      <c r="N228" s="188"/>
      <c r="O228" s="188"/>
      <c r="P228" s="188"/>
      <c r="Q228" s="188"/>
      <c r="R228" s="188"/>
      <c r="S228" s="206"/>
      <c r="T228" s="206"/>
      <c r="U228" s="206"/>
      <c r="V228" s="188"/>
      <c r="W228" s="172"/>
      <c r="X228" s="189"/>
    </row>
    <row r="229" spans="1:29">
      <c r="A229" s="186"/>
      <c r="B229" s="101"/>
      <c r="C229" s="187"/>
      <c r="D229" s="116"/>
      <c r="E229" s="173"/>
      <c r="F229" s="173"/>
      <c r="G229" s="171"/>
      <c r="H229" s="172"/>
      <c r="I229" s="172"/>
      <c r="J229" s="172"/>
      <c r="K229" s="172"/>
      <c r="L229" s="188"/>
      <c r="M229" s="188"/>
      <c r="N229" s="188"/>
      <c r="O229" s="188"/>
      <c r="P229" s="188"/>
      <c r="Q229" s="188"/>
      <c r="R229" s="188"/>
      <c r="S229" s="206"/>
      <c r="T229" s="206"/>
      <c r="U229" s="206"/>
      <c r="V229" s="188"/>
      <c r="W229" s="172"/>
      <c r="X229" s="189"/>
    </row>
    <row r="230" spans="1:29">
      <c r="A230" s="186"/>
      <c r="B230" s="101"/>
      <c r="C230" s="187"/>
      <c r="D230" s="116"/>
      <c r="E230" s="173"/>
      <c r="F230" s="173"/>
      <c r="G230" s="171"/>
      <c r="H230" s="172"/>
      <c r="I230" s="172"/>
      <c r="J230" s="172"/>
      <c r="K230" s="172"/>
      <c r="L230" s="188"/>
      <c r="M230" s="188"/>
      <c r="N230" s="188"/>
      <c r="O230" s="188"/>
      <c r="P230" s="188"/>
      <c r="Q230" s="188"/>
      <c r="R230" s="188"/>
      <c r="S230" s="206"/>
      <c r="T230" s="206"/>
      <c r="U230" s="206"/>
      <c r="V230" s="188"/>
      <c r="W230" s="172"/>
      <c r="X230" s="189"/>
      <c r="Z230" s="117"/>
      <c r="AA230" s="118"/>
      <c r="AB230" s="118"/>
      <c r="AC230" s="118"/>
    </row>
    <row r="231" spans="1:29">
      <c r="A231" s="186"/>
      <c r="B231" s="101"/>
      <c r="C231" s="187"/>
      <c r="D231" s="116"/>
      <c r="E231" s="173"/>
      <c r="F231" s="173"/>
      <c r="G231" s="171"/>
      <c r="H231" s="172"/>
      <c r="I231" s="172"/>
      <c r="J231" s="172"/>
      <c r="K231" s="172"/>
      <c r="L231" s="188"/>
      <c r="M231" s="188"/>
      <c r="N231" s="188"/>
      <c r="O231" s="188"/>
      <c r="P231" s="188"/>
      <c r="Q231" s="188"/>
      <c r="R231" s="188"/>
      <c r="S231" s="206"/>
      <c r="T231" s="206"/>
      <c r="U231" s="206"/>
      <c r="V231" s="188"/>
      <c r="W231" s="172"/>
      <c r="X231" s="189"/>
      <c r="Z231" s="117"/>
      <c r="AA231" s="118"/>
      <c r="AB231" s="118"/>
      <c r="AC231" s="118"/>
    </row>
    <row r="232" spans="1:29">
      <c r="A232" s="186"/>
      <c r="B232" s="101"/>
      <c r="C232" s="187"/>
      <c r="D232" s="116"/>
      <c r="E232" s="173"/>
      <c r="F232" s="173"/>
      <c r="G232" s="171"/>
      <c r="H232" s="172"/>
      <c r="I232" s="172"/>
      <c r="J232" s="172"/>
      <c r="K232" s="172"/>
      <c r="L232" s="188"/>
      <c r="M232" s="188"/>
      <c r="N232" s="188"/>
      <c r="O232" s="188"/>
      <c r="P232" s="188"/>
      <c r="Q232" s="188"/>
      <c r="R232" s="188"/>
      <c r="S232" s="206"/>
      <c r="T232" s="206"/>
      <c r="U232" s="206"/>
      <c r="V232" s="188"/>
      <c r="W232" s="172"/>
      <c r="X232" s="189"/>
    </row>
    <row r="233" spans="1:29">
      <c r="A233" s="186"/>
      <c r="B233" s="101"/>
      <c r="C233" s="187"/>
      <c r="D233" s="116"/>
      <c r="E233" s="173"/>
      <c r="F233" s="173"/>
      <c r="G233" s="171"/>
      <c r="H233" s="172"/>
      <c r="I233" s="172"/>
      <c r="J233" s="172"/>
      <c r="K233" s="172"/>
      <c r="L233" s="188"/>
      <c r="M233" s="188"/>
      <c r="N233" s="188"/>
      <c r="O233" s="188"/>
      <c r="P233" s="188"/>
      <c r="Q233" s="188"/>
      <c r="R233" s="188"/>
      <c r="S233" s="206"/>
      <c r="T233" s="206"/>
      <c r="U233" s="206"/>
      <c r="V233" s="188"/>
      <c r="W233" s="172"/>
      <c r="X233" s="189"/>
    </row>
    <row r="234" spans="1:29">
      <c r="A234" s="186"/>
      <c r="B234" s="101"/>
      <c r="C234" s="187"/>
      <c r="D234" s="116"/>
      <c r="E234" s="173"/>
      <c r="F234" s="173"/>
      <c r="G234" s="171"/>
      <c r="H234" s="188"/>
      <c r="I234" s="188"/>
      <c r="J234" s="188"/>
      <c r="K234" s="188"/>
      <c r="L234" s="188"/>
      <c r="M234" s="188"/>
      <c r="N234" s="188"/>
      <c r="O234" s="188"/>
      <c r="P234" s="188"/>
      <c r="Q234" s="188"/>
      <c r="R234" s="188"/>
      <c r="S234" s="206"/>
      <c r="T234" s="206"/>
      <c r="U234" s="206"/>
      <c r="V234" s="188"/>
      <c r="W234" s="172"/>
      <c r="X234" s="189"/>
    </row>
    <row r="235" spans="1:29">
      <c r="A235" s="186"/>
      <c r="B235" s="101"/>
      <c r="C235" s="187"/>
      <c r="D235" s="116"/>
      <c r="E235" s="173"/>
      <c r="F235" s="173"/>
      <c r="G235" s="171"/>
      <c r="H235" s="188"/>
      <c r="I235" s="188"/>
      <c r="J235" s="188"/>
      <c r="K235" s="188"/>
      <c r="L235" s="188"/>
      <c r="M235" s="188"/>
      <c r="N235" s="188"/>
      <c r="O235" s="188"/>
      <c r="P235" s="188"/>
      <c r="Q235" s="188"/>
      <c r="R235" s="188"/>
      <c r="S235" s="206"/>
      <c r="T235" s="206"/>
      <c r="U235" s="206"/>
      <c r="V235" s="188"/>
      <c r="W235" s="172"/>
      <c r="X235" s="189"/>
      <c r="Z235" s="117"/>
      <c r="AA235" s="118"/>
      <c r="AB235" s="118"/>
      <c r="AC235" s="118"/>
    </row>
    <row r="236" spans="1:29">
      <c r="A236" s="186"/>
      <c r="B236" s="101"/>
      <c r="C236" s="187"/>
      <c r="D236" s="116"/>
      <c r="E236" s="173"/>
      <c r="F236" s="173"/>
      <c r="G236" s="171"/>
      <c r="H236" s="188"/>
      <c r="I236" s="188"/>
      <c r="J236" s="188"/>
      <c r="K236" s="188"/>
      <c r="L236" s="188"/>
      <c r="M236" s="188"/>
      <c r="N236" s="188"/>
      <c r="O236" s="188"/>
      <c r="P236" s="188"/>
      <c r="Q236" s="188"/>
      <c r="R236" s="188"/>
      <c r="S236" s="208"/>
      <c r="T236" s="208"/>
      <c r="U236" s="208"/>
      <c r="V236" s="188"/>
      <c r="W236" s="172"/>
      <c r="X236" s="189"/>
      <c r="Z236" s="117"/>
      <c r="AA236" s="118"/>
      <c r="AB236" s="118"/>
      <c r="AC236" s="118"/>
    </row>
    <row r="237" spans="1:29">
      <c r="A237" s="186"/>
      <c r="B237" s="101"/>
      <c r="C237" s="187"/>
      <c r="D237" s="116"/>
      <c r="E237" s="173"/>
      <c r="F237" s="173"/>
      <c r="G237" s="171"/>
      <c r="H237" s="188"/>
      <c r="I237" s="188"/>
      <c r="J237" s="188"/>
      <c r="K237" s="188"/>
      <c r="L237" s="188"/>
      <c r="M237" s="188"/>
      <c r="N237" s="188"/>
      <c r="O237" s="188"/>
      <c r="P237" s="188"/>
      <c r="Q237" s="188"/>
      <c r="R237" s="188"/>
      <c r="S237" s="208"/>
      <c r="T237" s="208"/>
      <c r="U237" s="208"/>
      <c r="V237" s="188"/>
      <c r="W237" s="172"/>
      <c r="X237" s="189"/>
    </row>
    <row r="238" spans="1:29">
      <c r="A238" s="192"/>
      <c r="B238" s="193"/>
      <c r="C238" s="194"/>
      <c r="D238" s="194"/>
      <c r="E238" s="50"/>
      <c r="F238" s="50"/>
      <c r="G238" s="50"/>
      <c r="H238" s="50"/>
      <c r="I238" s="50"/>
      <c r="J238" s="50"/>
      <c r="K238" s="50"/>
      <c r="L238" s="193"/>
      <c r="M238" s="193"/>
      <c r="N238" s="193"/>
      <c r="O238" s="193"/>
      <c r="P238" s="193"/>
      <c r="Q238" s="193"/>
      <c r="R238" s="193"/>
      <c r="S238" s="193"/>
      <c r="T238" s="193"/>
      <c r="U238" s="193"/>
      <c r="V238" s="193"/>
      <c r="W238" s="193"/>
      <c r="X238" s="195"/>
    </row>
    <row r="239" spans="1:29" ht="15" customHeight="1">
      <c r="A239" s="489"/>
      <c r="B239" s="490"/>
      <c r="C239" s="493" t="s">
        <v>178</v>
      </c>
      <c r="D239" s="494"/>
      <c r="E239" s="494"/>
      <c r="F239" s="495"/>
      <c r="G239" s="519" t="s">
        <v>179</v>
      </c>
      <c r="H239" s="520"/>
      <c r="I239" s="520"/>
      <c r="J239" s="520"/>
      <c r="K239" s="520"/>
      <c r="L239" s="520"/>
      <c r="M239" s="520"/>
      <c r="N239" s="520"/>
      <c r="O239" s="520"/>
      <c r="P239" s="520"/>
      <c r="Q239" s="520"/>
      <c r="R239" s="520"/>
      <c r="S239" s="521"/>
      <c r="T239" s="493" t="s">
        <v>180</v>
      </c>
      <c r="U239" s="494"/>
      <c r="V239" s="494"/>
      <c r="W239" s="494"/>
      <c r="X239" s="495"/>
    </row>
    <row r="240" spans="1:29">
      <c r="A240" s="491" t="s">
        <v>181</v>
      </c>
      <c r="B240" s="492"/>
      <c r="C240" s="496">
        <f>Informe!D99</f>
        <v>0</v>
      </c>
      <c r="D240" s="497"/>
      <c r="E240" s="497"/>
      <c r="F240" s="498"/>
      <c r="G240" s="516">
        <f>Informe!O99</f>
        <v>0</v>
      </c>
      <c r="H240" s="517"/>
      <c r="I240" s="517"/>
      <c r="J240" s="517"/>
      <c r="K240" s="517"/>
      <c r="L240" s="517"/>
      <c r="M240" s="517"/>
      <c r="N240" s="517"/>
      <c r="O240" s="517"/>
      <c r="P240" s="517"/>
      <c r="Q240" s="517"/>
      <c r="R240" s="517"/>
      <c r="S240" s="518"/>
      <c r="T240" s="522" t="str">
        <f>Informe!W99</f>
        <v>Alejando Rivera</v>
      </c>
      <c r="U240" s="523"/>
      <c r="V240" s="523"/>
      <c r="W240" s="523"/>
      <c r="X240" s="524"/>
    </row>
    <row r="241" spans="1:24">
      <c r="A241" s="491" t="s">
        <v>183</v>
      </c>
      <c r="B241" s="492"/>
      <c r="C241" s="496" t="str">
        <f>Informe!D100</f>
        <v>Ingeniero Junior</v>
      </c>
      <c r="D241" s="497"/>
      <c r="E241" s="497"/>
      <c r="F241" s="498"/>
      <c r="G241" s="516" t="str">
        <f>Informe!O100</f>
        <v>Ingeniero Residente</v>
      </c>
      <c r="H241" s="517"/>
      <c r="I241" s="517"/>
      <c r="J241" s="517"/>
      <c r="K241" s="517"/>
      <c r="L241" s="517"/>
      <c r="M241" s="517"/>
      <c r="N241" s="517"/>
      <c r="O241" s="517"/>
      <c r="P241" s="517"/>
      <c r="Q241" s="517"/>
      <c r="R241" s="517"/>
      <c r="S241" s="518"/>
      <c r="T241" s="522" t="str">
        <f>Informe!W100</f>
        <v>Coordinador de Proyectos</v>
      </c>
      <c r="U241" s="523"/>
      <c r="V241" s="523"/>
      <c r="W241" s="523"/>
      <c r="X241" s="524"/>
    </row>
    <row r="242" spans="1:24" ht="15.75" customHeight="1">
      <c r="A242" s="491" t="s">
        <v>187</v>
      </c>
      <c r="B242" s="492"/>
      <c r="C242" s="496" t="str">
        <f>Informe!D101</f>
        <v>Protección Catódica de Colombia SAS</v>
      </c>
      <c r="D242" s="497"/>
      <c r="E242" s="497"/>
      <c r="F242" s="498"/>
      <c r="G242" s="516" t="str">
        <f>Informe!O101</f>
        <v>Protección Catódica de Colombia SAS</v>
      </c>
      <c r="H242" s="517"/>
      <c r="I242" s="517"/>
      <c r="J242" s="517"/>
      <c r="K242" s="517"/>
      <c r="L242" s="517"/>
      <c r="M242" s="517"/>
      <c r="N242" s="517"/>
      <c r="O242" s="517"/>
      <c r="P242" s="517"/>
      <c r="Q242" s="517"/>
      <c r="R242" s="517"/>
      <c r="S242" s="518"/>
      <c r="T242" s="522" t="str">
        <f>Informe!W101</f>
        <v>Protección Catódica de Colombia SAS</v>
      </c>
      <c r="U242" s="523"/>
      <c r="V242" s="523"/>
      <c r="W242" s="523"/>
      <c r="X242" s="524"/>
    </row>
    <row r="243" spans="1:24">
      <c r="A243" s="196"/>
      <c r="B243" s="197"/>
      <c r="C243" s="198"/>
      <c r="D243" s="198"/>
      <c r="E243" s="199"/>
      <c r="F243" s="199"/>
      <c r="G243" s="199"/>
      <c r="H243" s="199"/>
      <c r="I243" s="199"/>
      <c r="J243" s="199"/>
      <c r="K243" s="199"/>
      <c r="L243" s="197"/>
      <c r="M243" s="197"/>
      <c r="N243" s="197"/>
      <c r="O243" s="197"/>
      <c r="P243" s="197"/>
      <c r="Q243" s="197"/>
      <c r="W243" s="197"/>
    </row>
    <row r="244" spans="1:24">
      <c r="A244" s="196"/>
      <c r="B244" s="197"/>
      <c r="C244" s="198"/>
      <c r="D244" s="198"/>
      <c r="E244" s="199"/>
      <c r="F244" s="199"/>
      <c r="G244" s="199"/>
      <c r="H244" s="199"/>
      <c r="I244" s="199"/>
      <c r="J244" s="199"/>
      <c r="K244" s="199"/>
      <c r="L244" s="197"/>
      <c r="M244" s="197"/>
      <c r="N244" s="197"/>
      <c r="O244" s="197"/>
      <c r="P244" s="197"/>
      <c r="Q244" s="197"/>
      <c r="W244" s="197"/>
    </row>
    <row r="245" spans="1:24">
      <c r="A245" s="196"/>
      <c r="B245" s="197"/>
      <c r="C245" s="198"/>
      <c r="D245" s="198"/>
      <c r="E245" s="199"/>
      <c r="F245" s="199"/>
      <c r="G245" s="199"/>
      <c r="H245" s="199"/>
      <c r="I245" s="199"/>
      <c r="J245" s="199"/>
      <c r="K245" s="199"/>
      <c r="L245" s="197"/>
      <c r="M245" s="197"/>
      <c r="N245" s="197"/>
      <c r="O245" s="197"/>
      <c r="P245" s="197"/>
      <c r="Q245" s="197"/>
      <c r="W245" s="197"/>
    </row>
    <row r="246" spans="1:24">
      <c r="A246" s="196"/>
      <c r="B246" s="197"/>
      <c r="C246" s="198"/>
      <c r="D246" s="198"/>
      <c r="E246" s="199"/>
      <c r="F246" s="199"/>
      <c r="G246" s="199"/>
      <c r="H246" s="199"/>
      <c r="I246" s="199"/>
      <c r="J246" s="199"/>
      <c r="K246" s="199"/>
      <c r="L246" s="197"/>
      <c r="M246" s="197"/>
      <c r="N246" s="197"/>
      <c r="O246" s="197"/>
      <c r="P246" s="197"/>
      <c r="Q246" s="197"/>
      <c r="W246" s="197"/>
    </row>
    <row r="247" spans="1:24">
      <c r="A247" s="196"/>
      <c r="B247" s="197"/>
      <c r="C247" s="198"/>
      <c r="D247" s="198"/>
      <c r="E247" s="199"/>
      <c r="F247" s="199"/>
      <c r="G247" s="199"/>
      <c r="H247" s="199"/>
      <c r="I247" s="199"/>
      <c r="J247" s="199"/>
      <c r="K247" s="199"/>
      <c r="L247" s="197"/>
      <c r="M247" s="197"/>
      <c r="N247" s="197"/>
      <c r="O247" s="197"/>
      <c r="P247" s="197"/>
      <c r="Q247" s="197"/>
      <c r="W247" s="197"/>
    </row>
    <row r="248" spans="1:24">
      <c r="A248" s="196"/>
      <c r="B248" s="197"/>
      <c r="C248" s="198"/>
      <c r="D248" s="198"/>
      <c r="E248" s="199"/>
      <c r="F248" s="199"/>
      <c r="G248" s="199"/>
      <c r="H248" s="199"/>
      <c r="I248" s="199"/>
      <c r="J248" s="199"/>
      <c r="K248" s="199"/>
      <c r="L248" s="197"/>
      <c r="M248" s="197"/>
      <c r="N248" s="197"/>
      <c r="O248" s="197"/>
      <c r="P248" s="197"/>
      <c r="Q248" s="197"/>
      <c r="W248" s="197"/>
    </row>
    <row r="249" spans="1:24">
      <c r="A249" s="196"/>
      <c r="B249" s="197"/>
      <c r="C249" s="198"/>
      <c r="D249" s="198"/>
      <c r="E249" s="199"/>
      <c r="F249" s="199"/>
      <c r="G249" s="199"/>
      <c r="H249" s="199"/>
      <c r="I249" s="199"/>
      <c r="J249" s="199"/>
      <c r="K249" s="199"/>
      <c r="L249" s="197"/>
      <c r="M249" s="197"/>
      <c r="N249" s="197"/>
      <c r="O249" s="197"/>
      <c r="P249" s="197"/>
      <c r="Q249" s="197"/>
      <c r="W249" s="197"/>
    </row>
    <row r="250" spans="1:24">
      <c r="A250" s="196"/>
      <c r="B250" s="197"/>
      <c r="C250" s="198"/>
      <c r="D250" s="198"/>
      <c r="E250" s="199"/>
      <c r="F250" s="199"/>
      <c r="G250" s="199"/>
      <c r="H250" s="199"/>
      <c r="I250" s="199"/>
      <c r="J250" s="199"/>
      <c r="K250" s="199"/>
      <c r="L250" s="197"/>
      <c r="M250" s="197"/>
      <c r="N250" s="197"/>
      <c r="O250" s="197"/>
      <c r="P250" s="197"/>
      <c r="Q250" s="197"/>
      <c r="W250" s="197"/>
    </row>
    <row r="251" spans="1:24">
      <c r="A251" s="196"/>
      <c r="B251" s="197"/>
      <c r="C251" s="198"/>
      <c r="D251" s="198"/>
      <c r="E251" s="199"/>
      <c r="F251" s="199"/>
      <c r="G251" s="199"/>
      <c r="H251" s="199"/>
      <c r="I251" s="199"/>
      <c r="J251" s="199"/>
      <c r="K251" s="199"/>
      <c r="L251" s="197"/>
      <c r="M251" s="197"/>
      <c r="N251" s="197"/>
      <c r="O251" s="197"/>
      <c r="P251" s="197"/>
      <c r="Q251" s="197"/>
      <c r="W251" s="197"/>
    </row>
    <row r="252" spans="1:24">
      <c r="A252" s="196"/>
      <c r="B252" s="197"/>
      <c r="C252" s="198"/>
      <c r="D252" s="198"/>
      <c r="E252" s="199"/>
      <c r="F252" s="199"/>
      <c r="G252" s="199"/>
      <c r="H252" s="199"/>
      <c r="I252" s="199"/>
      <c r="J252" s="199"/>
      <c r="K252" s="199"/>
      <c r="L252" s="197"/>
      <c r="M252" s="197"/>
      <c r="N252" s="197"/>
      <c r="O252" s="197"/>
      <c r="P252" s="197"/>
      <c r="Q252" s="197"/>
      <c r="W252" s="197"/>
    </row>
    <row r="253" spans="1:24">
      <c r="A253" s="196"/>
      <c r="B253" s="197"/>
      <c r="C253" s="198"/>
      <c r="D253" s="198"/>
      <c r="E253" s="199"/>
      <c r="F253" s="199"/>
      <c r="G253" s="199"/>
      <c r="H253" s="199"/>
      <c r="I253" s="199"/>
      <c r="J253" s="199"/>
      <c r="K253" s="199"/>
      <c r="L253" s="197"/>
      <c r="M253" s="197"/>
      <c r="N253" s="197"/>
      <c r="O253" s="197"/>
      <c r="P253" s="197"/>
      <c r="Q253" s="197"/>
      <c r="W253" s="197"/>
    </row>
    <row r="254" spans="1:24">
      <c r="A254" s="196"/>
      <c r="B254" s="197"/>
      <c r="C254" s="198"/>
      <c r="D254" s="198"/>
      <c r="E254" s="199"/>
      <c r="F254" s="199"/>
      <c r="G254" s="199"/>
      <c r="H254" s="199"/>
      <c r="I254" s="199"/>
      <c r="J254" s="199"/>
      <c r="K254" s="199"/>
      <c r="L254" s="197"/>
      <c r="M254" s="197"/>
      <c r="N254" s="197"/>
      <c r="O254" s="197"/>
      <c r="P254" s="197"/>
      <c r="Q254" s="197"/>
      <c r="W254" s="197"/>
    </row>
    <row r="255" spans="1:24">
      <c r="A255" s="196"/>
      <c r="B255" s="197"/>
      <c r="C255" s="198"/>
      <c r="D255" s="198"/>
      <c r="E255" s="199"/>
      <c r="F255" s="199"/>
      <c r="G255" s="199"/>
      <c r="H255" s="199"/>
      <c r="I255" s="199"/>
      <c r="J255" s="199"/>
      <c r="K255" s="199"/>
      <c r="L255" s="197"/>
      <c r="M255" s="197"/>
      <c r="N255" s="197"/>
      <c r="O255" s="197"/>
      <c r="P255" s="197"/>
      <c r="Q255" s="197"/>
      <c r="W255" s="197"/>
    </row>
    <row r="256" spans="1:24">
      <c r="A256" s="196"/>
      <c r="B256" s="197"/>
      <c r="C256" s="198"/>
      <c r="D256" s="198"/>
      <c r="E256" s="199"/>
      <c r="F256" s="199"/>
      <c r="G256" s="199"/>
      <c r="H256" s="199"/>
      <c r="I256" s="199"/>
      <c r="J256" s="199"/>
      <c r="K256" s="199"/>
      <c r="L256" s="197"/>
      <c r="M256" s="197"/>
      <c r="N256" s="197"/>
      <c r="O256" s="197"/>
      <c r="P256" s="197"/>
      <c r="Q256" s="197"/>
      <c r="W256" s="197"/>
    </row>
    <row r="257" spans="1:26">
      <c r="A257" s="196"/>
      <c r="B257" s="197"/>
      <c r="C257" s="198"/>
      <c r="D257" s="198"/>
      <c r="E257" s="199"/>
      <c r="F257" s="199"/>
      <c r="G257" s="199"/>
      <c r="H257" s="199"/>
      <c r="I257" s="199"/>
      <c r="J257" s="199"/>
      <c r="K257" s="199"/>
      <c r="L257" s="197"/>
      <c r="M257" s="197"/>
      <c r="N257" s="197"/>
      <c r="O257" s="197"/>
      <c r="P257" s="197"/>
      <c r="Q257" s="197"/>
      <c r="W257" s="200"/>
      <c r="X257" s="185"/>
      <c r="Y257" s="185"/>
      <c r="Z257" s="185"/>
    </row>
    <row r="258" spans="1:26">
      <c r="A258" s="196"/>
      <c r="B258" s="197"/>
      <c r="C258" s="198"/>
      <c r="D258" s="198"/>
      <c r="E258" s="199"/>
      <c r="F258" s="199"/>
      <c r="G258" s="199"/>
      <c r="H258" s="199"/>
      <c r="I258" s="199"/>
      <c r="J258" s="199"/>
      <c r="K258" s="199"/>
      <c r="L258" s="197"/>
      <c r="M258" s="197"/>
      <c r="N258" s="197"/>
      <c r="O258" s="197"/>
      <c r="P258" s="197"/>
      <c r="Q258" s="197"/>
      <c r="W258" s="200"/>
      <c r="X258" s="185"/>
      <c r="Y258" s="185"/>
      <c r="Z258" s="185"/>
    </row>
    <row r="259" spans="1:26">
      <c r="A259" s="196"/>
      <c r="B259" s="197"/>
      <c r="C259" s="198"/>
      <c r="D259" s="198"/>
      <c r="E259" s="199"/>
      <c r="F259" s="199"/>
      <c r="G259" s="199"/>
      <c r="H259" s="199"/>
      <c r="I259" s="199"/>
      <c r="J259" s="199"/>
      <c r="K259" s="199"/>
      <c r="L259" s="197"/>
      <c r="M259" s="197"/>
      <c r="N259" s="197"/>
      <c r="O259" s="197"/>
      <c r="P259" s="197"/>
      <c r="Q259" s="197"/>
      <c r="W259" s="200"/>
      <c r="X259" s="185"/>
      <c r="Y259" s="185"/>
      <c r="Z259" s="185"/>
    </row>
    <row r="260" spans="1:26">
      <c r="A260" s="196"/>
      <c r="B260" s="197"/>
      <c r="C260" s="198"/>
      <c r="D260" s="198"/>
      <c r="E260" s="199"/>
      <c r="F260" s="199"/>
      <c r="G260" s="199"/>
      <c r="H260" s="199"/>
      <c r="I260" s="199"/>
      <c r="J260" s="199"/>
      <c r="K260" s="199"/>
      <c r="L260" s="197"/>
      <c r="M260" s="197"/>
      <c r="N260" s="197"/>
      <c r="O260" s="197"/>
      <c r="P260" s="197"/>
      <c r="Q260" s="197"/>
      <c r="W260" s="200"/>
      <c r="X260" s="185"/>
      <c r="Y260" s="185"/>
      <c r="Z260" s="185"/>
    </row>
    <row r="261" spans="1:26">
      <c r="A261" s="196"/>
      <c r="B261" s="197"/>
      <c r="C261" s="198"/>
      <c r="D261" s="198"/>
      <c r="E261" s="199"/>
      <c r="F261" s="199"/>
      <c r="G261" s="199"/>
      <c r="H261" s="199"/>
      <c r="I261" s="199"/>
      <c r="J261" s="199"/>
      <c r="K261" s="199"/>
      <c r="L261" s="197"/>
      <c r="M261" s="197"/>
      <c r="N261" s="197"/>
      <c r="O261" s="197"/>
      <c r="P261" s="197"/>
      <c r="Q261" s="197"/>
      <c r="W261" s="200"/>
      <c r="X261" s="185"/>
      <c r="Y261" s="185"/>
      <c r="Z261" s="185"/>
    </row>
    <row r="262" spans="1:26">
      <c r="A262" s="196"/>
      <c r="B262" s="197"/>
      <c r="C262" s="198"/>
      <c r="D262" s="198"/>
      <c r="E262" s="199"/>
      <c r="F262" s="199"/>
      <c r="G262" s="199"/>
      <c r="H262" s="199"/>
      <c r="I262" s="199"/>
      <c r="J262" s="199"/>
      <c r="K262" s="199"/>
      <c r="L262" s="197"/>
      <c r="M262" s="197"/>
      <c r="N262" s="197"/>
      <c r="O262" s="197"/>
      <c r="P262" s="197"/>
      <c r="Q262" s="197"/>
      <c r="W262" s="200"/>
      <c r="X262" s="185"/>
      <c r="Y262" s="185"/>
      <c r="Z262" s="185"/>
    </row>
    <row r="263" spans="1:26">
      <c r="A263" s="196"/>
      <c r="B263" s="197"/>
      <c r="C263" s="198"/>
      <c r="D263" s="198"/>
      <c r="E263" s="199"/>
      <c r="F263" s="199"/>
      <c r="G263" s="199"/>
      <c r="H263" s="199"/>
      <c r="I263" s="199"/>
      <c r="J263" s="199"/>
      <c r="K263" s="199"/>
      <c r="L263" s="197"/>
      <c r="M263" s="197"/>
      <c r="N263" s="197"/>
      <c r="O263" s="197"/>
      <c r="P263" s="197"/>
      <c r="Q263" s="197"/>
      <c r="W263" s="200"/>
      <c r="X263" s="185"/>
      <c r="Y263" s="185"/>
      <c r="Z263" s="185"/>
    </row>
    <row r="264" spans="1:26">
      <c r="A264" s="196"/>
      <c r="B264" s="197"/>
      <c r="C264" s="198"/>
      <c r="D264" s="198"/>
      <c r="E264" s="199"/>
      <c r="F264" s="199"/>
      <c r="G264" s="199"/>
      <c r="H264" s="199"/>
      <c r="I264" s="199"/>
      <c r="J264" s="199"/>
      <c r="K264" s="199"/>
      <c r="L264" s="197"/>
      <c r="M264" s="197"/>
      <c r="N264" s="197"/>
      <c r="O264" s="197"/>
      <c r="P264" s="197"/>
      <c r="Q264" s="197"/>
      <c r="W264" s="200"/>
      <c r="X264" s="185"/>
      <c r="Y264" s="185"/>
      <c r="Z264" s="185"/>
    </row>
    <row r="265" spans="1:26">
      <c r="A265" s="196"/>
      <c r="B265" s="197"/>
      <c r="C265" s="198"/>
      <c r="D265" s="198"/>
      <c r="E265" s="199"/>
      <c r="F265" s="199"/>
      <c r="G265" s="199"/>
      <c r="H265" s="199"/>
      <c r="I265" s="199"/>
      <c r="J265" s="199"/>
      <c r="K265" s="199"/>
      <c r="L265" s="197"/>
      <c r="M265" s="197"/>
      <c r="N265" s="197"/>
      <c r="O265" s="197"/>
      <c r="P265" s="197"/>
      <c r="Q265" s="197"/>
      <c r="W265" s="200"/>
      <c r="X265" s="185"/>
      <c r="Y265" s="185"/>
      <c r="Z265" s="185"/>
    </row>
    <row r="266" spans="1:26">
      <c r="A266" s="196"/>
      <c r="B266" s="197"/>
      <c r="C266" s="198"/>
      <c r="D266" s="198"/>
      <c r="E266" s="199"/>
      <c r="F266" s="199"/>
      <c r="G266" s="199"/>
      <c r="H266" s="199"/>
      <c r="I266" s="199"/>
      <c r="J266" s="199"/>
      <c r="K266" s="199"/>
      <c r="L266" s="197"/>
      <c r="M266" s="197"/>
      <c r="N266" s="197"/>
      <c r="O266" s="197"/>
      <c r="P266" s="197"/>
      <c r="Q266" s="197"/>
      <c r="W266" s="200"/>
      <c r="X266" s="185"/>
      <c r="Y266" s="185"/>
      <c r="Z266" s="185"/>
    </row>
    <row r="267" spans="1:26">
      <c r="A267" s="196"/>
      <c r="B267" s="197"/>
      <c r="C267" s="198"/>
      <c r="D267" s="198"/>
      <c r="E267" s="199"/>
      <c r="F267" s="199"/>
      <c r="G267" s="199"/>
      <c r="H267" s="199"/>
      <c r="I267" s="199"/>
      <c r="J267" s="199"/>
      <c r="K267" s="199"/>
      <c r="L267" s="197"/>
      <c r="M267" s="197"/>
      <c r="N267" s="197"/>
      <c r="O267" s="197"/>
      <c r="P267" s="197"/>
      <c r="Q267" s="197"/>
      <c r="W267" s="200"/>
      <c r="X267" s="185"/>
      <c r="Y267" s="185"/>
      <c r="Z267" s="185"/>
    </row>
    <row r="268" spans="1:26">
      <c r="A268" s="196"/>
      <c r="B268" s="197"/>
      <c r="C268" s="198"/>
      <c r="D268" s="198"/>
      <c r="E268" s="199"/>
      <c r="F268" s="199"/>
      <c r="G268" s="199"/>
      <c r="H268" s="199"/>
      <c r="I268" s="199"/>
      <c r="J268" s="199"/>
      <c r="K268" s="199"/>
      <c r="L268" s="197"/>
      <c r="M268" s="197"/>
      <c r="N268" s="197"/>
      <c r="O268" s="197"/>
      <c r="P268" s="197"/>
      <c r="Q268" s="197"/>
      <c r="W268" s="200"/>
      <c r="X268" s="185"/>
      <c r="Y268" s="185"/>
      <c r="Z268" s="185"/>
    </row>
    <row r="269" spans="1:26">
      <c r="A269" s="196"/>
      <c r="B269" s="197"/>
      <c r="C269" s="198"/>
      <c r="D269" s="198"/>
      <c r="E269" s="199"/>
      <c r="F269" s="199"/>
      <c r="G269" s="199"/>
      <c r="H269" s="199"/>
      <c r="I269" s="199"/>
      <c r="J269" s="199"/>
      <c r="K269" s="199"/>
      <c r="L269" s="197"/>
      <c r="M269" s="197"/>
      <c r="N269" s="197"/>
      <c r="O269" s="197"/>
      <c r="P269" s="197"/>
      <c r="Q269" s="197"/>
      <c r="W269" s="200"/>
      <c r="X269" s="185"/>
      <c r="Y269" s="185"/>
      <c r="Z269" s="185"/>
    </row>
    <row r="270" spans="1:26">
      <c r="A270" s="196"/>
      <c r="B270" s="197"/>
      <c r="C270" s="198"/>
      <c r="D270" s="198"/>
      <c r="E270" s="199"/>
      <c r="F270" s="199"/>
      <c r="G270" s="199"/>
      <c r="H270" s="199"/>
      <c r="I270" s="199"/>
      <c r="J270" s="199"/>
      <c r="K270" s="199"/>
      <c r="L270" s="197"/>
      <c r="M270" s="197"/>
      <c r="N270" s="197"/>
      <c r="O270" s="197"/>
      <c r="P270" s="197"/>
      <c r="Q270" s="197"/>
      <c r="W270" s="200"/>
      <c r="X270" s="185"/>
      <c r="Y270" s="185"/>
      <c r="Z270" s="185"/>
    </row>
    <row r="271" spans="1:26">
      <c r="A271" s="196"/>
      <c r="B271" s="197"/>
      <c r="C271" s="198"/>
      <c r="D271" s="198"/>
      <c r="E271" s="199"/>
      <c r="F271" s="199"/>
      <c r="G271" s="199"/>
      <c r="H271" s="199"/>
      <c r="I271" s="199"/>
      <c r="J271" s="199"/>
      <c r="K271" s="199"/>
      <c r="L271" s="197"/>
      <c r="M271" s="197"/>
      <c r="N271" s="197"/>
      <c r="O271" s="197"/>
      <c r="P271" s="197"/>
      <c r="Q271" s="197"/>
      <c r="W271" s="200"/>
      <c r="X271" s="185"/>
      <c r="Y271" s="185"/>
      <c r="Z271" s="185"/>
    </row>
    <row r="272" spans="1:26">
      <c r="A272" s="196"/>
      <c r="B272" s="197"/>
      <c r="C272" s="198"/>
      <c r="D272" s="198"/>
      <c r="E272" s="199"/>
      <c r="F272" s="199"/>
      <c r="G272" s="199"/>
      <c r="H272" s="199"/>
      <c r="I272" s="199"/>
      <c r="J272" s="199"/>
      <c r="K272" s="199"/>
      <c r="L272" s="197"/>
      <c r="M272" s="197"/>
      <c r="N272" s="197"/>
      <c r="O272" s="197"/>
      <c r="P272" s="197"/>
      <c r="Q272" s="197"/>
      <c r="W272" s="200"/>
      <c r="X272" s="185"/>
      <c r="Y272" s="185"/>
      <c r="Z272" s="185"/>
    </row>
    <row r="273" spans="1:23">
      <c r="A273" s="196"/>
      <c r="B273" s="197"/>
      <c r="C273" s="198"/>
      <c r="D273" s="198"/>
      <c r="E273" s="199"/>
      <c r="F273" s="199"/>
      <c r="G273" s="199"/>
      <c r="H273" s="199"/>
      <c r="I273" s="199"/>
      <c r="J273" s="199"/>
      <c r="K273" s="199"/>
      <c r="L273" s="197"/>
      <c r="M273" s="197"/>
      <c r="N273" s="197"/>
      <c r="O273" s="197"/>
      <c r="P273" s="197"/>
      <c r="Q273" s="197"/>
      <c r="W273" s="197"/>
    </row>
    <row r="274" spans="1:23">
      <c r="A274" s="196"/>
      <c r="B274" s="197"/>
      <c r="C274" s="198"/>
      <c r="D274" s="198"/>
      <c r="E274" s="199"/>
      <c r="F274" s="199"/>
      <c r="G274" s="199"/>
      <c r="H274" s="199"/>
      <c r="I274" s="199"/>
      <c r="J274" s="199"/>
      <c r="K274" s="199"/>
      <c r="L274" s="197"/>
      <c r="M274" s="197"/>
      <c r="N274" s="197"/>
      <c r="O274" s="197"/>
      <c r="P274" s="197"/>
      <c r="Q274" s="197"/>
      <c r="W274" s="197"/>
    </row>
    <row r="275" spans="1:23">
      <c r="A275" s="196"/>
      <c r="B275" s="197"/>
      <c r="C275" s="198"/>
      <c r="D275" s="198"/>
      <c r="E275" s="199"/>
      <c r="F275" s="199"/>
      <c r="G275" s="199"/>
      <c r="H275" s="199"/>
      <c r="I275" s="199"/>
      <c r="J275" s="199"/>
      <c r="K275" s="199"/>
      <c r="L275" s="197"/>
      <c r="M275" s="197"/>
      <c r="N275" s="197"/>
      <c r="O275" s="197"/>
      <c r="P275" s="197"/>
      <c r="Q275" s="197"/>
      <c r="W275" s="197"/>
    </row>
    <row r="276" spans="1:23">
      <c r="A276" s="196"/>
      <c r="B276" s="197"/>
      <c r="C276" s="198"/>
      <c r="D276" s="198"/>
      <c r="E276" s="199"/>
      <c r="F276" s="199"/>
      <c r="G276" s="199"/>
      <c r="H276" s="199"/>
      <c r="I276" s="199"/>
      <c r="J276" s="199"/>
      <c r="K276" s="199"/>
      <c r="L276" s="197"/>
      <c r="M276" s="197"/>
      <c r="N276" s="197"/>
      <c r="O276" s="197"/>
      <c r="P276" s="197"/>
      <c r="Q276" s="197"/>
      <c r="W276" s="197"/>
    </row>
    <row r="277" spans="1:23">
      <c r="A277" s="196"/>
      <c r="B277" s="197"/>
      <c r="C277" s="198"/>
      <c r="D277" s="198"/>
      <c r="E277" s="199"/>
      <c r="F277" s="199"/>
      <c r="G277" s="199"/>
      <c r="H277" s="199"/>
      <c r="I277" s="199"/>
      <c r="J277" s="199"/>
      <c r="K277" s="199"/>
      <c r="L277" s="197"/>
      <c r="M277" s="197"/>
      <c r="N277" s="197"/>
      <c r="O277" s="197"/>
      <c r="P277" s="197"/>
      <c r="Q277" s="197"/>
      <c r="W277" s="197"/>
    </row>
    <row r="278" spans="1:23">
      <c r="A278" s="196"/>
      <c r="B278" s="197"/>
      <c r="C278" s="198"/>
      <c r="D278" s="198"/>
      <c r="E278" s="199"/>
      <c r="F278" s="199"/>
      <c r="G278" s="199"/>
      <c r="H278" s="199"/>
      <c r="I278" s="199"/>
      <c r="J278" s="199"/>
      <c r="K278" s="199"/>
      <c r="L278" s="197"/>
      <c r="M278" s="197"/>
      <c r="N278" s="197"/>
      <c r="O278" s="197"/>
      <c r="P278" s="197"/>
      <c r="Q278" s="197"/>
      <c r="W278" s="197"/>
    </row>
    <row r="279" spans="1:23">
      <c r="A279" s="196"/>
      <c r="B279" s="197"/>
      <c r="C279" s="198"/>
      <c r="D279" s="198"/>
      <c r="E279" s="199"/>
      <c r="F279" s="199"/>
      <c r="G279" s="199"/>
      <c r="H279" s="199"/>
      <c r="I279" s="199"/>
      <c r="J279" s="199"/>
      <c r="K279" s="199"/>
      <c r="L279" s="197"/>
      <c r="M279" s="197"/>
      <c r="N279" s="197"/>
      <c r="O279" s="197"/>
      <c r="P279" s="197"/>
      <c r="Q279" s="197"/>
      <c r="W279" s="197"/>
    </row>
    <row r="280" spans="1:23">
      <c r="A280" s="196"/>
      <c r="B280" s="197"/>
      <c r="C280" s="198"/>
      <c r="D280" s="198"/>
      <c r="E280" s="199"/>
      <c r="F280" s="199"/>
      <c r="G280" s="199"/>
      <c r="H280" s="199"/>
      <c r="I280" s="199"/>
      <c r="J280" s="199"/>
      <c r="K280" s="199"/>
      <c r="L280" s="197"/>
      <c r="M280" s="197"/>
      <c r="N280" s="197"/>
      <c r="O280" s="197"/>
      <c r="P280" s="197"/>
      <c r="Q280" s="197"/>
      <c r="W280" s="197"/>
    </row>
    <row r="281" spans="1:23">
      <c r="A281" s="196"/>
      <c r="B281" s="197"/>
      <c r="C281" s="198"/>
      <c r="D281" s="198"/>
      <c r="E281" s="199"/>
      <c r="F281" s="199"/>
      <c r="G281" s="199"/>
      <c r="H281" s="199"/>
      <c r="I281" s="199"/>
      <c r="J281" s="199"/>
      <c r="K281" s="199"/>
      <c r="L281" s="197"/>
      <c r="M281" s="197"/>
      <c r="N281" s="197"/>
      <c r="O281" s="197"/>
      <c r="P281" s="197"/>
      <c r="Q281" s="197"/>
      <c r="W281" s="197"/>
    </row>
    <row r="282" spans="1:23">
      <c r="A282" s="196"/>
      <c r="B282" s="197"/>
      <c r="C282" s="198"/>
      <c r="D282" s="198"/>
      <c r="E282" s="199"/>
      <c r="F282" s="199"/>
      <c r="G282" s="199"/>
      <c r="H282" s="199"/>
      <c r="I282" s="199"/>
      <c r="J282" s="199"/>
      <c r="K282" s="199"/>
      <c r="L282" s="197"/>
      <c r="M282" s="197"/>
      <c r="N282" s="197"/>
      <c r="O282" s="197"/>
      <c r="P282" s="197"/>
      <c r="Q282" s="197"/>
      <c r="W282" s="197"/>
    </row>
    <row r="283" spans="1:23">
      <c r="A283" s="196"/>
      <c r="B283" s="197"/>
      <c r="C283" s="198"/>
      <c r="D283" s="198"/>
      <c r="E283" s="199"/>
      <c r="F283" s="199"/>
      <c r="G283" s="199"/>
      <c r="H283" s="199"/>
      <c r="I283" s="199"/>
      <c r="J283" s="199"/>
      <c r="K283" s="199"/>
      <c r="L283" s="197"/>
      <c r="M283" s="197"/>
      <c r="N283" s="197"/>
      <c r="O283" s="197"/>
      <c r="P283" s="197"/>
      <c r="Q283" s="197"/>
      <c r="W283" s="197"/>
    </row>
    <row r="284" spans="1:23">
      <c r="A284" s="196"/>
      <c r="B284" s="197"/>
      <c r="C284" s="198"/>
      <c r="D284" s="198"/>
      <c r="E284" s="199"/>
      <c r="F284" s="199"/>
      <c r="G284" s="199"/>
      <c r="H284" s="199"/>
      <c r="I284" s="199"/>
      <c r="J284" s="199"/>
      <c r="K284" s="199"/>
      <c r="L284" s="197"/>
      <c r="M284" s="197"/>
      <c r="N284" s="197"/>
      <c r="O284" s="197"/>
      <c r="P284" s="197"/>
      <c r="Q284" s="197"/>
      <c r="W284" s="197"/>
    </row>
    <row r="285" spans="1:23">
      <c r="A285" s="196"/>
      <c r="B285" s="197"/>
      <c r="C285" s="198"/>
      <c r="D285" s="198"/>
      <c r="E285" s="199"/>
      <c r="F285" s="199"/>
      <c r="G285" s="199"/>
      <c r="H285" s="199"/>
      <c r="I285" s="199"/>
      <c r="J285" s="199"/>
      <c r="K285" s="199"/>
      <c r="L285" s="197"/>
      <c r="M285" s="197"/>
      <c r="N285" s="197"/>
      <c r="O285" s="197"/>
      <c r="P285" s="197"/>
      <c r="Q285" s="197"/>
      <c r="W285" s="197"/>
    </row>
    <row r="286" spans="1:23">
      <c r="A286" s="196"/>
      <c r="B286" s="197"/>
      <c r="C286" s="198"/>
      <c r="D286" s="198"/>
      <c r="E286" s="199"/>
      <c r="F286" s="199"/>
      <c r="G286" s="199"/>
      <c r="H286" s="199"/>
      <c r="I286" s="199"/>
      <c r="J286" s="199"/>
      <c r="K286" s="199"/>
      <c r="L286" s="197"/>
      <c r="M286" s="197"/>
      <c r="N286" s="197"/>
      <c r="O286" s="197"/>
      <c r="P286" s="197"/>
      <c r="Q286" s="197"/>
      <c r="W286" s="197"/>
    </row>
    <row r="287" spans="1:23">
      <c r="A287" s="196"/>
      <c r="B287" s="197"/>
      <c r="C287" s="198"/>
      <c r="D287" s="198"/>
      <c r="E287" s="199"/>
      <c r="F287" s="199"/>
      <c r="G287" s="199"/>
      <c r="H287" s="199"/>
      <c r="I287" s="199"/>
      <c r="J287" s="199"/>
      <c r="K287" s="199"/>
      <c r="L287" s="197"/>
      <c r="M287" s="197"/>
      <c r="N287" s="197"/>
      <c r="O287" s="197"/>
      <c r="P287" s="197"/>
      <c r="Q287" s="197"/>
      <c r="W287" s="197"/>
    </row>
    <row r="288" spans="1:23">
      <c r="A288" s="196"/>
      <c r="B288" s="197"/>
      <c r="C288" s="198"/>
      <c r="D288" s="198"/>
      <c r="E288" s="199"/>
      <c r="F288" s="199"/>
      <c r="G288" s="199"/>
      <c r="H288" s="199"/>
      <c r="I288" s="199"/>
      <c r="J288" s="199"/>
      <c r="K288" s="199"/>
      <c r="L288" s="197"/>
      <c r="M288" s="197"/>
      <c r="N288" s="197"/>
      <c r="O288" s="197"/>
      <c r="P288" s="197"/>
      <c r="Q288" s="197"/>
      <c r="W288" s="197"/>
    </row>
    <row r="289" spans="1:23">
      <c r="A289" s="196"/>
      <c r="B289" s="197"/>
      <c r="C289" s="198"/>
      <c r="D289" s="198"/>
      <c r="E289" s="199"/>
      <c r="F289" s="199"/>
      <c r="G289" s="199"/>
      <c r="H289" s="199"/>
      <c r="I289" s="199"/>
      <c r="J289" s="199"/>
      <c r="K289" s="199"/>
      <c r="L289" s="197"/>
      <c r="M289" s="197"/>
      <c r="N289" s="197"/>
      <c r="O289" s="197"/>
      <c r="P289" s="197"/>
      <c r="Q289" s="197"/>
      <c r="W289" s="197"/>
    </row>
    <row r="290" spans="1:23">
      <c r="A290" s="196"/>
      <c r="B290" s="197"/>
      <c r="C290" s="198"/>
      <c r="D290" s="198"/>
      <c r="E290" s="199"/>
      <c r="F290" s="199"/>
      <c r="G290" s="199"/>
      <c r="H290" s="199"/>
      <c r="I290" s="199"/>
      <c r="J290" s="199"/>
      <c r="K290" s="199"/>
      <c r="L290" s="197"/>
      <c r="M290" s="197"/>
      <c r="N290" s="197"/>
      <c r="O290" s="197"/>
      <c r="P290" s="197"/>
      <c r="Q290" s="197"/>
      <c r="W290" s="197"/>
    </row>
    <row r="291" spans="1:23">
      <c r="A291" s="196"/>
      <c r="B291" s="197"/>
      <c r="C291" s="198"/>
      <c r="D291" s="198"/>
      <c r="E291" s="199"/>
      <c r="F291" s="199"/>
      <c r="G291" s="199"/>
      <c r="H291" s="199"/>
      <c r="I291" s="199"/>
      <c r="J291" s="199"/>
      <c r="K291" s="199"/>
      <c r="L291" s="197"/>
      <c r="M291" s="197"/>
      <c r="N291" s="197"/>
      <c r="O291" s="197"/>
      <c r="P291" s="197"/>
      <c r="Q291" s="197"/>
      <c r="W291" s="197"/>
    </row>
    <row r="292" spans="1:23">
      <c r="A292" s="196"/>
      <c r="B292" s="197"/>
      <c r="C292" s="198"/>
      <c r="D292" s="198"/>
      <c r="E292" s="199"/>
      <c r="F292" s="199"/>
      <c r="G292" s="199"/>
      <c r="H292" s="199"/>
      <c r="I292" s="199"/>
      <c r="J292" s="199"/>
      <c r="K292" s="199"/>
      <c r="L292" s="197"/>
      <c r="M292" s="197"/>
      <c r="N292" s="197"/>
      <c r="O292" s="197"/>
      <c r="P292" s="197"/>
      <c r="Q292" s="197"/>
      <c r="W292" s="197"/>
    </row>
    <row r="293" spans="1:23">
      <c r="A293" s="196"/>
      <c r="B293" s="197"/>
      <c r="C293" s="198"/>
      <c r="D293" s="198"/>
      <c r="E293" s="199"/>
      <c r="F293" s="199"/>
      <c r="G293" s="199"/>
      <c r="H293" s="199"/>
      <c r="I293" s="199"/>
      <c r="J293" s="199"/>
      <c r="K293" s="199"/>
      <c r="L293" s="197"/>
      <c r="M293" s="197"/>
      <c r="N293" s="197"/>
      <c r="O293" s="197"/>
      <c r="P293" s="197"/>
      <c r="Q293" s="197"/>
      <c r="W293" s="197"/>
    </row>
    <row r="294" spans="1:23">
      <c r="A294" s="196"/>
      <c r="B294" s="197"/>
      <c r="C294" s="198"/>
      <c r="D294" s="198"/>
      <c r="E294" s="199"/>
      <c r="F294" s="199"/>
      <c r="G294" s="199"/>
      <c r="H294" s="199"/>
      <c r="I294" s="199"/>
      <c r="J294" s="199"/>
      <c r="K294" s="199"/>
      <c r="L294" s="197"/>
      <c r="M294" s="197"/>
      <c r="N294" s="197"/>
      <c r="O294" s="197"/>
      <c r="P294" s="197"/>
      <c r="Q294" s="197"/>
      <c r="W294" s="197"/>
    </row>
    <row r="295" spans="1:23">
      <c r="A295" s="196"/>
      <c r="B295" s="197"/>
      <c r="C295" s="198"/>
      <c r="D295" s="198"/>
      <c r="E295" s="199"/>
      <c r="F295" s="199"/>
      <c r="G295" s="199"/>
      <c r="H295" s="199"/>
      <c r="I295" s="199"/>
      <c r="J295" s="199"/>
      <c r="K295" s="199"/>
      <c r="L295" s="197"/>
      <c r="M295" s="197"/>
      <c r="N295" s="197"/>
      <c r="O295" s="197"/>
      <c r="P295" s="197"/>
      <c r="Q295" s="197"/>
      <c r="W295" s="197"/>
    </row>
    <row r="296" spans="1:23">
      <c r="A296" s="196"/>
      <c r="B296" s="197"/>
      <c r="C296" s="198"/>
      <c r="D296" s="198"/>
      <c r="E296" s="199"/>
      <c r="F296" s="199"/>
      <c r="G296" s="199"/>
      <c r="H296" s="199"/>
      <c r="I296" s="199"/>
      <c r="J296" s="199"/>
      <c r="K296" s="199"/>
      <c r="L296" s="197"/>
      <c r="M296" s="197"/>
      <c r="N296" s="197"/>
      <c r="O296" s="197"/>
      <c r="P296" s="197"/>
      <c r="Q296" s="197"/>
      <c r="W296" s="197"/>
    </row>
    <row r="297" spans="1:23">
      <c r="A297" s="196"/>
      <c r="B297" s="197"/>
      <c r="C297" s="198"/>
      <c r="D297" s="198"/>
      <c r="E297" s="199"/>
      <c r="F297" s="199"/>
      <c r="G297" s="199"/>
      <c r="H297" s="199"/>
      <c r="I297" s="199"/>
      <c r="J297" s="199"/>
      <c r="K297" s="199"/>
      <c r="L297" s="197"/>
      <c r="M297" s="197"/>
      <c r="N297" s="197"/>
      <c r="O297" s="197"/>
      <c r="P297" s="197"/>
      <c r="Q297" s="197"/>
      <c r="W297" s="197"/>
    </row>
    <row r="298" spans="1:23">
      <c r="A298" s="196"/>
      <c r="B298" s="197"/>
      <c r="C298" s="198"/>
      <c r="D298" s="198"/>
      <c r="E298" s="199"/>
      <c r="F298" s="199"/>
      <c r="G298" s="199"/>
      <c r="H298" s="199"/>
      <c r="I298" s="199"/>
      <c r="J298" s="199"/>
      <c r="K298" s="199"/>
      <c r="L298" s="197"/>
      <c r="M298" s="197"/>
      <c r="N298" s="197"/>
      <c r="O298" s="197"/>
      <c r="P298" s="197"/>
      <c r="Q298" s="197"/>
      <c r="W298" s="197"/>
    </row>
    <row r="299" spans="1:23">
      <c r="A299" s="196"/>
      <c r="B299" s="197"/>
      <c r="C299" s="198"/>
      <c r="D299" s="198"/>
      <c r="E299" s="199"/>
      <c r="F299" s="199"/>
      <c r="G299" s="199"/>
      <c r="H299" s="199"/>
      <c r="I299" s="199"/>
      <c r="J299" s="199"/>
      <c r="K299" s="199"/>
      <c r="L299" s="197"/>
      <c r="M299" s="197"/>
      <c r="N299" s="197"/>
      <c r="O299" s="197"/>
      <c r="P299" s="197"/>
      <c r="Q299" s="197"/>
      <c r="W299" s="197"/>
    </row>
    <row r="300" spans="1:23">
      <c r="A300" s="196"/>
      <c r="B300" s="197"/>
      <c r="C300" s="198"/>
      <c r="D300" s="198"/>
      <c r="E300" s="199"/>
      <c r="F300" s="199"/>
      <c r="G300" s="199"/>
      <c r="H300" s="199"/>
      <c r="I300" s="199"/>
      <c r="J300" s="199"/>
      <c r="K300" s="199"/>
      <c r="L300" s="197"/>
      <c r="M300" s="197"/>
      <c r="N300" s="197"/>
      <c r="O300" s="197"/>
      <c r="P300" s="197"/>
      <c r="Q300" s="197"/>
      <c r="W300" s="197"/>
    </row>
    <row r="301" spans="1:23">
      <c r="A301" s="196"/>
      <c r="B301" s="197"/>
      <c r="C301" s="198"/>
      <c r="D301" s="198"/>
      <c r="E301" s="199"/>
      <c r="F301" s="199"/>
      <c r="G301" s="199"/>
      <c r="H301" s="199"/>
      <c r="I301" s="199"/>
      <c r="J301" s="199"/>
      <c r="K301" s="199"/>
      <c r="L301" s="197"/>
      <c r="M301" s="197"/>
      <c r="N301" s="197"/>
      <c r="O301" s="197"/>
      <c r="P301" s="197"/>
      <c r="Q301" s="197"/>
      <c r="W301" s="197"/>
    </row>
    <row r="302" spans="1:23">
      <c r="A302" s="196"/>
      <c r="B302" s="197"/>
      <c r="C302" s="198"/>
      <c r="D302" s="198"/>
      <c r="E302" s="199"/>
      <c r="F302" s="199"/>
      <c r="G302" s="199"/>
      <c r="H302" s="199"/>
      <c r="I302" s="199"/>
      <c r="J302" s="199"/>
      <c r="K302" s="199"/>
      <c r="L302" s="197"/>
      <c r="M302" s="197"/>
      <c r="N302" s="197"/>
      <c r="O302" s="197"/>
      <c r="P302" s="197"/>
      <c r="Q302" s="197"/>
      <c r="W302" s="197"/>
    </row>
    <row r="303" spans="1:23">
      <c r="A303" s="196"/>
      <c r="B303" s="197"/>
      <c r="C303" s="198"/>
      <c r="D303" s="198"/>
      <c r="E303" s="199"/>
      <c r="F303" s="199"/>
      <c r="G303" s="199"/>
      <c r="H303" s="199"/>
      <c r="I303" s="199"/>
      <c r="J303" s="199"/>
      <c r="K303" s="199"/>
      <c r="L303" s="197"/>
      <c r="M303" s="197"/>
      <c r="N303" s="197"/>
      <c r="O303" s="197"/>
      <c r="P303" s="197"/>
      <c r="Q303" s="197"/>
      <c r="W303" s="197"/>
    </row>
    <row r="304" spans="1:23">
      <c r="A304" s="196"/>
      <c r="B304" s="197"/>
      <c r="C304" s="198"/>
      <c r="D304" s="198"/>
      <c r="E304" s="199"/>
      <c r="F304" s="199"/>
      <c r="G304" s="199"/>
      <c r="H304" s="199"/>
      <c r="I304" s="199"/>
      <c r="J304" s="199"/>
      <c r="K304" s="199"/>
      <c r="L304" s="197"/>
      <c r="M304" s="197"/>
      <c r="N304" s="197"/>
      <c r="O304" s="197"/>
      <c r="P304" s="197"/>
      <c r="Q304" s="197"/>
      <c r="W304" s="197"/>
    </row>
    <row r="305" spans="1:23">
      <c r="A305" s="196"/>
      <c r="B305" s="197"/>
      <c r="C305" s="198"/>
      <c r="D305" s="198"/>
      <c r="E305" s="199"/>
      <c r="F305" s="199"/>
      <c r="G305" s="199"/>
      <c r="H305" s="199"/>
      <c r="I305" s="199"/>
      <c r="J305" s="199"/>
      <c r="K305" s="199"/>
      <c r="L305" s="197"/>
      <c r="M305" s="197"/>
      <c r="N305" s="197"/>
      <c r="O305" s="197"/>
      <c r="P305" s="197"/>
      <c r="Q305" s="197"/>
      <c r="W305" s="197"/>
    </row>
    <row r="306" spans="1:23">
      <c r="A306" s="196"/>
      <c r="B306" s="197"/>
      <c r="C306" s="198"/>
      <c r="D306" s="198"/>
      <c r="E306" s="199"/>
      <c r="F306" s="199"/>
      <c r="G306" s="199"/>
      <c r="H306" s="199"/>
      <c r="I306" s="199"/>
      <c r="J306" s="199"/>
      <c r="K306" s="199"/>
      <c r="L306" s="197"/>
      <c r="M306" s="197"/>
      <c r="N306" s="197"/>
      <c r="O306" s="197"/>
      <c r="P306" s="197"/>
      <c r="Q306" s="197"/>
      <c r="W306" s="197"/>
    </row>
    <row r="307" spans="1:23">
      <c r="A307" s="196"/>
      <c r="B307" s="197"/>
      <c r="C307" s="198"/>
      <c r="D307" s="198"/>
      <c r="E307" s="199"/>
      <c r="F307" s="199"/>
      <c r="G307" s="199"/>
      <c r="H307" s="199"/>
      <c r="I307" s="199"/>
      <c r="J307" s="199"/>
      <c r="K307" s="199"/>
      <c r="L307" s="197"/>
      <c r="M307" s="197"/>
      <c r="N307" s="197"/>
      <c r="O307" s="197"/>
      <c r="P307" s="197"/>
      <c r="Q307" s="197"/>
      <c r="W307" s="197"/>
    </row>
    <row r="308" spans="1:23">
      <c r="A308" s="196"/>
      <c r="B308" s="197"/>
      <c r="C308" s="198"/>
      <c r="D308" s="198"/>
      <c r="E308" s="199"/>
      <c r="F308" s="199"/>
      <c r="G308" s="199"/>
      <c r="H308" s="199"/>
      <c r="I308" s="199"/>
      <c r="J308" s="199"/>
      <c r="K308" s="199"/>
      <c r="L308" s="197"/>
      <c r="M308" s="197"/>
      <c r="N308" s="197"/>
      <c r="O308" s="197"/>
      <c r="P308" s="197"/>
      <c r="Q308" s="197"/>
      <c r="W308" s="197"/>
    </row>
    <row r="309" spans="1:23">
      <c r="A309" s="196"/>
      <c r="B309" s="197"/>
      <c r="C309" s="198"/>
      <c r="D309" s="198"/>
      <c r="E309" s="199"/>
      <c r="F309" s="199"/>
      <c r="G309" s="199"/>
      <c r="H309" s="199"/>
      <c r="I309" s="199"/>
      <c r="J309" s="199"/>
      <c r="K309" s="199"/>
      <c r="L309" s="197"/>
      <c r="M309" s="197"/>
      <c r="N309" s="197"/>
      <c r="O309" s="197"/>
      <c r="P309" s="197"/>
      <c r="Q309" s="197"/>
      <c r="W309" s="197"/>
    </row>
    <row r="310" spans="1:23">
      <c r="A310" s="196"/>
      <c r="B310" s="197"/>
      <c r="C310" s="198"/>
      <c r="D310" s="198"/>
      <c r="E310" s="199"/>
      <c r="F310" s="199"/>
      <c r="G310" s="199"/>
      <c r="H310" s="199"/>
      <c r="I310" s="199"/>
      <c r="J310" s="199"/>
      <c r="K310" s="199"/>
      <c r="L310" s="197"/>
      <c r="M310" s="197"/>
      <c r="N310" s="197"/>
      <c r="O310" s="197"/>
      <c r="P310" s="197"/>
      <c r="Q310" s="197"/>
      <c r="W310" s="197"/>
    </row>
    <row r="311" spans="1:23">
      <c r="A311" s="196"/>
      <c r="B311" s="197"/>
      <c r="C311" s="198"/>
      <c r="D311" s="198"/>
      <c r="E311" s="199"/>
      <c r="F311" s="199"/>
      <c r="G311" s="199"/>
      <c r="H311" s="199"/>
      <c r="I311" s="199"/>
      <c r="J311" s="199"/>
      <c r="K311" s="199"/>
      <c r="L311" s="197"/>
      <c r="M311" s="197"/>
      <c r="N311" s="197"/>
      <c r="O311" s="197"/>
      <c r="P311" s="197"/>
      <c r="Q311" s="197"/>
      <c r="W311" s="197"/>
    </row>
    <row r="312" spans="1:23">
      <c r="A312" s="196"/>
      <c r="B312" s="197"/>
      <c r="C312" s="198"/>
      <c r="D312" s="198"/>
      <c r="E312" s="199"/>
      <c r="F312" s="199"/>
      <c r="G312" s="199"/>
      <c r="H312" s="199"/>
      <c r="I312" s="199"/>
      <c r="J312" s="199"/>
      <c r="K312" s="199"/>
      <c r="L312" s="197"/>
      <c r="M312" s="197"/>
      <c r="N312" s="197"/>
      <c r="O312" s="197"/>
      <c r="P312" s="197"/>
      <c r="Q312" s="197"/>
      <c r="W312" s="197"/>
    </row>
    <row r="313" spans="1:23">
      <c r="A313" s="196"/>
      <c r="B313" s="197"/>
      <c r="C313" s="198"/>
      <c r="D313" s="198"/>
      <c r="E313" s="199"/>
      <c r="F313" s="199"/>
      <c r="G313" s="199"/>
      <c r="H313" s="199"/>
      <c r="I313" s="199"/>
      <c r="J313" s="199"/>
      <c r="K313" s="199"/>
      <c r="L313" s="197"/>
      <c r="M313" s="197"/>
      <c r="N313" s="197"/>
      <c r="O313" s="197"/>
      <c r="P313" s="197"/>
      <c r="Q313" s="197"/>
      <c r="W313" s="197"/>
    </row>
    <row r="314" spans="1:23">
      <c r="A314" s="196"/>
      <c r="B314" s="197"/>
      <c r="C314" s="198"/>
      <c r="D314" s="198"/>
      <c r="E314" s="199"/>
      <c r="F314" s="199"/>
      <c r="G314" s="199"/>
      <c r="H314" s="199"/>
      <c r="I314" s="199"/>
      <c r="J314" s="199"/>
      <c r="K314" s="199"/>
      <c r="L314" s="197"/>
      <c r="M314" s="197"/>
      <c r="N314" s="197"/>
      <c r="O314" s="197"/>
      <c r="P314" s="197"/>
      <c r="Q314" s="197"/>
      <c r="W314" s="197"/>
    </row>
    <row r="315" spans="1:23">
      <c r="A315" s="196"/>
      <c r="B315" s="197"/>
      <c r="C315" s="198"/>
      <c r="D315" s="198"/>
      <c r="E315" s="199"/>
      <c r="F315" s="199"/>
      <c r="G315" s="199"/>
      <c r="H315" s="199"/>
      <c r="I315" s="199"/>
      <c r="J315" s="199"/>
      <c r="K315" s="199"/>
      <c r="L315" s="197"/>
      <c r="M315" s="197"/>
      <c r="N315" s="197"/>
      <c r="O315" s="197"/>
      <c r="P315" s="197"/>
      <c r="Q315" s="197"/>
      <c r="W315" s="197"/>
    </row>
    <row r="316" spans="1:23">
      <c r="A316" s="196"/>
      <c r="B316" s="197"/>
      <c r="C316" s="198"/>
      <c r="D316" s="198"/>
      <c r="E316" s="199"/>
      <c r="F316" s="199"/>
      <c r="G316" s="199"/>
      <c r="H316" s="199"/>
      <c r="I316" s="199"/>
      <c r="J316" s="199"/>
      <c r="K316" s="199"/>
      <c r="L316" s="197"/>
      <c r="M316" s="197"/>
      <c r="N316" s="197"/>
      <c r="O316" s="197"/>
      <c r="P316" s="197"/>
      <c r="Q316" s="197"/>
      <c r="W316" s="201"/>
    </row>
    <row r="317" spans="1:23">
      <c r="A317" s="196"/>
      <c r="B317" s="197"/>
      <c r="C317" s="198"/>
      <c r="D317" s="198"/>
      <c r="E317" s="199"/>
      <c r="F317" s="199"/>
      <c r="G317" s="199"/>
      <c r="H317" s="199"/>
      <c r="I317" s="199"/>
      <c r="J317" s="199"/>
      <c r="K317" s="199"/>
      <c r="L317" s="197"/>
      <c r="M317" s="197"/>
      <c r="N317" s="197"/>
      <c r="O317" s="197"/>
      <c r="P317" s="197"/>
      <c r="Q317" s="197"/>
      <c r="W317" s="201"/>
    </row>
    <row r="318" spans="1:23">
      <c r="A318" s="196"/>
      <c r="B318" s="197"/>
      <c r="C318" s="198"/>
      <c r="D318" s="198"/>
      <c r="E318" s="199"/>
      <c r="F318" s="199"/>
      <c r="G318" s="199"/>
      <c r="H318" s="199"/>
      <c r="I318" s="199"/>
      <c r="J318" s="199"/>
      <c r="K318" s="199"/>
      <c r="L318" s="197"/>
      <c r="M318" s="197"/>
      <c r="N318" s="197"/>
      <c r="O318" s="197"/>
      <c r="P318" s="197"/>
      <c r="Q318" s="197"/>
      <c r="W318" s="201"/>
    </row>
    <row r="319" spans="1:23">
      <c r="A319" s="196"/>
      <c r="B319" s="197"/>
      <c r="C319" s="198"/>
      <c r="D319" s="198"/>
      <c r="E319" s="199"/>
      <c r="F319" s="199"/>
      <c r="G319" s="199"/>
      <c r="H319" s="199"/>
      <c r="I319" s="199"/>
      <c r="J319" s="199"/>
      <c r="K319" s="199"/>
      <c r="L319" s="197"/>
      <c r="M319" s="197"/>
      <c r="N319" s="197"/>
      <c r="O319" s="197"/>
      <c r="P319" s="197"/>
      <c r="Q319" s="197"/>
      <c r="W319" s="201"/>
    </row>
    <row r="320" spans="1:23">
      <c r="A320" s="196"/>
      <c r="B320" s="197"/>
      <c r="C320" s="198"/>
      <c r="D320" s="198"/>
      <c r="E320" s="199"/>
      <c r="F320" s="199"/>
      <c r="G320" s="199"/>
      <c r="H320" s="199"/>
      <c r="I320" s="199"/>
      <c r="J320" s="199"/>
      <c r="K320" s="199"/>
      <c r="L320" s="197"/>
      <c r="M320" s="197"/>
      <c r="N320" s="197"/>
      <c r="O320" s="197"/>
      <c r="P320" s="197"/>
      <c r="Q320" s="197"/>
      <c r="W320" s="197"/>
    </row>
    <row r="321" spans="1:23">
      <c r="A321" s="196"/>
      <c r="B321" s="197"/>
      <c r="C321" s="198"/>
      <c r="D321" s="198"/>
      <c r="E321" s="199"/>
      <c r="F321" s="199"/>
      <c r="G321" s="199"/>
      <c r="H321" s="199"/>
      <c r="I321" s="199"/>
      <c r="J321" s="199"/>
      <c r="K321" s="199"/>
      <c r="L321" s="197"/>
      <c r="M321" s="197"/>
      <c r="N321" s="197"/>
      <c r="O321" s="197"/>
      <c r="P321" s="197"/>
      <c r="Q321" s="197"/>
      <c r="W321" s="197"/>
    </row>
    <row r="322" spans="1:23">
      <c r="A322" s="196"/>
      <c r="B322" s="197"/>
      <c r="C322" s="198"/>
      <c r="D322" s="198"/>
      <c r="E322" s="199"/>
      <c r="F322" s="199"/>
      <c r="G322" s="199"/>
      <c r="H322" s="199"/>
      <c r="I322" s="199"/>
      <c r="J322" s="199"/>
      <c r="K322" s="199"/>
      <c r="L322" s="197"/>
      <c r="M322" s="197"/>
      <c r="N322" s="197"/>
      <c r="O322" s="197"/>
      <c r="P322" s="197"/>
      <c r="Q322" s="197"/>
      <c r="W322" s="197"/>
    </row>
    <row r="323" spans="1:23">
      <c r="A323" s="196"/>
      <c r="B323" s="197"/>
      <c r="C323" s="198"/>
      <c r="D323" s="198"/>
      <c r="E323" s="199"/>
      <c r="F323" s="199"/>
      <c r="G323" s="199"/>
      <c r="H323" s="199"/>
      <c r="I323" s="199"/>
      <c r="J323" s="199"/>
      <c r="K323" s="199"/>
      <c r="L323" s="197"/>
      <c r="M323" s="197"/>
      <c r="N323" s="197"/>
      <c r="O323" s="197"/>
      <c r="P323" s="197"/>
      <c r="Q323" s="197"/>
      <c r="W323" s="197"/>
    </row>
    <row r="324" spans="1:23">
      <c r="A324" s="196"/>
      <c r="B324" s="197"/>
      <c r="C324" s="198"/>
      <c r="D324" s="198"/>
      <c r="E324" s="199"/>
      <c r="F324" s="199"/>
      <c r="G324" s="199"/>
      <c r="H324" s="199"/>
      <c r="I324" s="199"/>
      <c r="J324" s="199"/>
      <c r="K324" s="199"/>
      <c r="L324" s="197"/>
      <c r="M324" s="197"/>
      <c r="N324" s="197"/>
      <c r="O324" s="197"/>
      <c r="P324" s="197"/>
      <c r="Q324" s="197"/>
      <c r="W324" s="197"/>
    </row>
    <row r="325" spans="1:23">
      <c r="A325" s="196"/>
      <c r="B325" s="197"/>
      <c r="C325" s="198"/>
      <c r="D325" s="198"/>
      <c r="E325" s="199"/>
      <c r="F325" s="199"/>
      <c r="G325" s="199"/>
      <c r="H325" s="199"/>
      <c r="I325" s="199"/>
      <c r="J325" s="199"/>
      <c r="K325" s="199"/>
      <c r="L325" s="197"/>
      <c r="M325" s="197"/>
      <c r="N325" s="197"/>
      <c r="O325" s="197"/>
      <c r="P325" s="197"/>
      <c r="Q325" s="197"/>
      <c r="W325" s="197"/>
    </row>
    <row r="326" spans="1:23">
      <c r="A326" s="196"/>
      <c r="B326" s="197"/>
      <c r="C326" s="198"/>
      <c r="D326" s="198"/>
      <c r="E326" s="199"/>
      <c r="F326" s="199"/>
      <c r="G326" s="199"/>
      <c r="H326" s="199"/>
      <c r="I326" s="199"/>
      <c r="J326" s="199"/>
      <c r="K326" s="199"/>
      <c r="L326" s="197"/>
      <c r="M326" s="197"/>
      <c r="N326" s="197"/>
      <c r="O326" s="197"/>
      <c r="P326" s="197"/>
      <c r="Q326" s="197"/>
      <c r="W326" s="197"/>
    </row>
    <row r="327" spans="1:23">
      <c r="A327" s="196"/>
      <c r="B327" s="197"/>
      <c r="C327" s="198"/>
      <c r="D327" s="198"/>
      <c r="E327" s="199"/>
      <c r="F327" s="199"/>
      <c r="G327" s="199"/>
      <c r="H327" s="199"/>
      <c r="I327" s="199"/>
      <c r="J327" s="199"/>
      <c r="K327" s="199"/>
      <c r="L327" s="197"/>
      <c r="M327" s="197"/>
      <c r="N327" s="197"/>
      <c r="O327" s="197"/>
      <c r="P327" s="197"/>
      <c r="Q327" s="197"/>
      <c r="W327" s="197"/>
    </row>
    <row r="328" spans="1:23">
      <c r="A328" s="196"/>
      <c r="B328" s="197"/>
      <c r="C328" s="198"/>
      <c r="D328" s="198"/>
      <c r="E328" s="199"/>
      <c r="F328" s="199"/>
      <c r="G328" s="199"/>
      <c r="H328" s="199"/>
      <c r="I328" s="199"/>
      <c r="J328" s="199"/>
      <c r="K328" s="199"/>
      <c r="L328" s="197"/>
      <c r="M328" s="197"/>
      <c r="N328" s="197"/>
      <c r="O328" s="197"/>
      <c r="P328" s="197"/>
      <c r="Q328" s="197"/>
      <c r="W328" s="197"/>
    </row>
    <row r="329" spans="1:23">
      <c r="A329" s="196"/>
      <c r="B329" s="197"/>
      <c r="C329" s="198"/>
      <c r="D329" s="198"/>
      <c r="E329" s="199"/>
      <c r="F329" s="199"/>
      <c r="G329" s="199"/>
      <c r="H329" s="199"/>
      <c r="I329" s="199"/>
      <c r="J329" s="199"/>
      <c r="K329" s="199"/>
      <c r="L329" s="197"/>
      <c r="M329" s="197"/>
      <c r="N329" s="197"/>
      <c r="O329" s="197"/>
      <c r="P329" s="197"/>
      <c r="Q329" s="197"/>
      <c r="W329" s="197"/>
    </row>
    <row r="330" spans="1:23">
      <c r="A330" s="196"/>
      <c r="B330" s="197"/>
      <c r="C330" s="198"/>
      <c r="D330" s="198"/>
      <c r="E330" s="199"/>
      <c r="F330" s="199"/>
      <c r="G330" s="199"/>
      <c r="H330" s="199"/>
      <c r="I330" s="199"/>
      <c r="J330" s="199"/>
      <c r="K330" s="199"/>
      <c r="L330" s="197"/>
      <c r="M330" s="197"/>
      <c r="N330" s="197"/>
      <c r="O330" s="197"/>
      <c r="P330" s="197"/>
      <c r="Q330" s="197"/>
      <c r="W330" s="197"/>
    </row>
    <row r="331" spans="1:23">
      <c r="A331" s="196"/>
      <c r="B331" s="197"/>
      <c r="C331" s="198"/>
      <c r="D331" s="198"/>
      <c r="E331" s="199"/>
      <c r="F331" s="199"/>
      <c r="G331" s="199"/>
      <c r="H331" s="199"/>
      <c r="I331" s="199"/>
      <c r="J331" s="199"/>
      <c r="K331" s="199"/>
      <c r="L331" s="197"/>
      <c r="M331" s="197"/>
      <c r="N331" s="197"/>
      <c r="O331" s="197"/>
      <c r="P331" s="197"/>
      <c r="Q331" s="197"/>
      <c r="W331" s="197"/>
    </row>
    <row r="332" spans="1:23">
      <c r="A332" s="196"/>
      <c r="B332" s="197"/>
      <c r="C332" s="198"/>
      <c r="D332" s="198"/>
      <c r="E332" s="199"/>
      <c r="F332" s="199"/>
      <c r="G332" s="199"/>
      <c r="H332" s="199"/>
      <c r="I332" s="199"/>
      <c r="J332" s="199"/>
      <c r="K332" s="199"/>
      <c r="L332" s="197"/>
      <c r="M332" s="197"/>
      <c r="N332" s="197"/>
      <c r="O332" s="197"/>
      <c r="P332" s="197"/>
      <c r="Q332" s="197"/>
      <c r="W332" s="197"/>
    </row>
    <row r="333" spans="1:23">
      <c r="A333" s="196"/>
      <c r="B333" s="197"/>
      <c r="C333" s="198"/>
      <c r="D333" s="198"/>
      <c r="E333" s="199"/>
      <c r="F333" s="199"/>
      <c r="G333" s="199"/>
      <c r="H333" s="199"/>
      <c r="I333" s="199"/>
      <c r="J333" s="199"/>
      <c r="K333" s="199"/>
      <c r="L333" s="197"/>
      <c r="M333" s="197"/>
      <c r="N333" s="197"/>
      <c r="O333" s="197"/>
      <c r="P333" s="197"/>
      <c r="Q333" s="197"/>
      <c r="W333" s="197"/>
    </row>
    <row r="334" spans="1:23">
      <c r="A334" s="196"/>
      <c r="B334" s="197"/>
      <c r="C334" s="198"/>
      <c r="D334" s="198"/>
      <c r="E334" s="199"/>
      <c r="F334" s="199"/>
      <c r="G334" s="199"/>
      <c r="H334" s="199"/>
      <c r="I334" s="199"/>
      <c r="J334" s="199"/>
      <c r="K334" s="199"/>
      <c r="L334" s="197"/>
      <c r="M334" s="197"/>
      <c r="N334" s="197"/>
      <c r="O334" s="197"/>
      <c r="P334" s="197"/>
      <c r="Q334" s="197"/>
      <c r="W334" s="197"/>
    </row>
    <row r="335" spans="1:23">
      <c r="A335" s="196"/>
      <c r="B335" s="197"/>
      <c r="C335" s="198"/>
      <c r="D335" s="198"/>
      <c r="E335" s="199"/>
      <c r="F335" s="199"/>
      <c r="G335" s="199"/>
      <c r="H335" s="199"/>
      <c r="I335" s="199"/>
      <c r="J335" s="199"/>
      <c r="K335" s="199"/>
      <c r="L335" s="197"/>
      <c r="M335" s="197"/>
      <c r="N335" s="197"/>
      <c r="O335" s="197"/>
      <c r="P335" s="197"/>
      <c r="Q335" s="197"/>
      <c r="W335" s="197"/>
    </row>
    <row r="336" spans="1:23">
      <c r="A336" s="196"/>
      <c r="B336" s="197"/>
      <c r="C336" s="198"/>
      <c r="D336" s="198"/>
      <c r="E336" s="199"/>
      <c r="F336" s="199"/>
      <c r="G336" s="199"/>
      <c r="H336" s="199"/>
      <c r="I336" s="199"/>
      <c r="J336" s="199"/>
      <c r="K336" s="199"/>
      <c r="L336" s="197"/>
      <c r="M336" s="197"/>
      <c r="N336" s="197"/>
      <c r="O336" s="197"/>
      <c r="P336" s="197"/>
      <c r="Q336" s="197"/>
      <c r="W336" s="197"/>
    </row>
    <row r="337" spans="1:23">
      <c r="A337" s="196"/>
      <c r="B337" s="197"/>
      <c r="C337" s="198"/>
      <c r="D337" s="198"/>
      <c r="E337" s="199"/>
      <c r="F337" s="199"/>
      <c r="G337" s="199"/>
      <c r="H337" s="199"/>
      <c r="I337" s="199"/>
      <c r="J337" s="199"/>
      <c r="K337" s="199"/>
      <c r="L337" s="197"/>
      <c r="M337" s="197"/>
      <c r="N337" s="197"/>
      <c r="O337" s="197"/>
      <c r="P337" s="197"/>
      <c r="Q337" s="197"/>
      <c r="W337" s="197"/>
    </row>
    <row r="338" spans="1:23">
      <c r="A338" s="196"/>
      <c r="B338" s="197"/>
      <c r="C338" s="198"/>
      <c r="D338" s="198"/>
      <c r="E338" s="199"/>
      <c r="F338" s="199"/>
      <c r="G338" s="199"/>
      <c r="H338" s="199"/>
      <c r="I338" s="199"/>
      <c r="J338" s="199"/>
      <c r="K338" s="199"/>
      <c r="L338" s="197"/>
      <c r="M338" s="197"/>
      <c r="N338" s="197"/>
      <c r="O338" s="197"/>
      <c r="P338" s="197"/>
      <c r="Q338" s="197"/>
      <c r="W338" s="197"/>
    </row>
    <row r="339" spans="1:23">
      <c r="A339" s="196"/>
      <c r="B339" s="197"/>
      <c r="C339" s="198"/>
      <c r="D339" s="198"/>
      <c r="E339" s="199"/>
      <c r="F339" s="199"/>
      <c r="G339" s="199"/>
      <c r="H339" s="199"/>
      <c r="I339" s="199"/>
      <c r="J339" s="199"/>
      <c r="K339" s="199"/>
      <c r="L339" s="197"/>
      <c r="M339" s="197"/>
      <c r="N339" s="197"/>
      <c r="O339" s="197"/>
      <c r="P339" s="197"/>
      <c r="Q339" s="197"/>
      <c r="W339" s="197"/>
    </row>
    <row r="340" spans="1:23">
      <c r="A340" s="196"/>
      <c r="B340" s="197"/>
      <c r="C340" s="198"/>
      <c r="D340" s="198"/>
      <c r="E340" s="199"/>
      <c r="F340" s="199"/>
      <c r="G340" s="199"/>
      <c r="H340" s="199"/>
      <c r="I340" s="199"/>
      <c r="J340" s="199"/>
      <c r="K340" s="199"/>
      <c r="L340" s="197"/>
      <c r="M340" s="197"/>
      <c r="N340" s="197"/>
      <c r="O340" s="197"/>
      <c r="P340" s="197"/>
      <c r="Q340" s="197"/>
      <c r="W340" s="197"/>
    </row>
    <row r="341" spans="1:23">
      <c r="A341" s="196"/>
      <c r="B341" s="197"/>
      <c r="C341" s="198"/>
      <c r="D341" s="198"/>
      <c r="E341" s="199"/>
      <c r="F341" s="199"/>
      <c r="G341" s="199"/>
      <c r="H341" s="199"/>
      <c r="I341" s="199"/>
      <c r="J341" s="199"/>
      <c r="K341" s="199"/>
      <c r="L341" s="197"/>
      <c r="M341" s="197"/>
      <c r="N341" s="197"/>
      <c r="O341" s="197"/>
      <c r="P341" s="197"/>
      <c r="Q341" s="197"/>
      <c r="W341" s="201"/>
    </row>
    <row r="342" spans="1:23">
      <c r="A342" s="196"/>
      <c r="B342" s="197"/>
      <c r="C342" s="198"/>
      <c r="D342" s="198"/>
      <c r="E342" s="199"/>
      <c r="F342" s="199"/>
      <c r="G342" s="199"/>
      <c r="H342" s="199"/>
      <c r="I342" s="199"/>
      <c r="J342" s="199"/>
      <c r="K342" s="199"/>
      <c r="L342" s="197"/>
      <c r="M342" s="197"/>
      <c r="N342" s="197"/>
      <c r="O342" s="197"/>
      <c r="P342" s="197"/>
      <c r="Q342" s="197"/>
      <c r="W342" s="197"/>
    </row>
    <row r="343" spans="1:23">
      <c r="A343" s="196"/>
      <c r="B343" s="197"/>
      <c r="C343" s="198"/>
      <c r="D343" s="198"/>
      <c r="E343" s="199"/>
      <c r="F343" s="199"/>
      <c r="G343" s="199"/>
      <c r="H343" s="199"/>
      <c r="I343" s="199"/>
      <c r="J343" s="199"/>
      <c r="K343" s="199"/>
      <c r="L343" s="197"/>
      <c r="M343" s="197"/>
      <c r="N343" s="197"/>
      <c r="O343" s="197"/>
      <c r="P343" s="197"/>
      <c r="Q343" s="197"/>
      <c r="W343" s="197"/>
    </row>
    <row r="344" spans="1:23">
      <c r="A344" s="196"/>
      <c r="B344" s="197"/>
      <c r="C344" s="198"/>
      <c r="D344" s="198"/>
      <c r="E344" s="199"/>
      <c r="F344" s="199"/>
      <c r="G344" s="199"/>
      <c r="H344" s="199"/>
      <c r="I344" s="199"/>
      <c r="J344" s="199"/>
      <c r="K344" s="199"/>
      <c r="L344" s="197"/>
      <c r="M344" s="197"/>
      <c r="N344" s="197"/>
      <c r="O344" s="197"/>
      <c r="P344" s="197"/>
      <c r="Q344" s="197"/>
      <c r="W344" s="197"/>
    </row>
    <row r="345" spans="1:23">
      <c r="A345" s="196"/>
      <c r="B345" s="197"/>
      <c r="C345" s="198"/>
      <c r="D345" s="198"/>
      <c r="E345" s="199"/>
      <c r="F345" s="199"/>
      <c r="G345" s="199"/>
      <c r="H345" s="199"/>
      <c r="I345" s="199"/>
      <c r="J345" s="199"/>
      <c r="K345" s="199"/>
      <c r="L345" s="197"/>
      <c r="M345" s="197"/>
      <c r="N345" s="197"/>
      <c r="O345" s="197"/>
      <c r="P345" s="197"/>
      <c r="Q345" s="197"/>
      <c r="W345" s="197"/>
    </row>
    <row r="346" spans="1:23">
      <c r="A346" s="196"/>
      <c r="B346" s="197"/>
      <c r="C346" s="198"/>
      <c r="D346" s="198"/>
      <c r="E346" s="199"/>
      <c r="F346" s="199"/>
      <c r="G346" s="199"/>
      <c r="H346" s="199"/>
      <c r="I346" s="199"/>
      <c r="J346" s="199"/>
      <c r="K346" s="199"/>
      <c r="L346" s="197"/>
      <c r="M346" s="197"/>
      <c r="N346" s="197"/>
      <c r="O346" s="197"/>
      <c r="P346" s="197"/>
      <c r="Q346" s="197"/>
      <c r="W346" s="197"/>
    </row>
    <row r="347" spans="1:23">
      <c r="A347" s="196"/>
      <c r="B347" s="197"/>
      <c r="C347" s="198"/>
      <c r="D347" s="198"/>
      <c r="E347" s="199"/>
      <c r="F347" s="199"/>
      <c r="G347" s="199"/>
      <c r="H347" s="199"/>
      <c r="I347" s="199"/>
      <c r="J347" s="199"/>
      <c r="K347" s="199"/>
      <c r="L347" s="197"/>
      <c r="M347" s="197"/>
      <c r="N347" s="197"/>
      <c r="O347" s="197"/>
      <c r="P347" s="197"/>
      <c r="Q347" s="197"/>
      <c r="W347" s="197"/>
    </row>
    <row r="348" spans="1:23">
      <c r="A348" s="196"/>
      <c r="B348" s="197"/>
      <c r="C348" s="198"/>
      <c r="D348" s="198"/>
      <c r="E348" s="199"/>
      <c r="F348" s="199"/>
      <c r="G348" s="199"/>
      <c r="H348" s="199"/>
      <c r="I348" s="199"/>
      <c r="J348" s="199"/>
      <c r="K348" s="199"/>
      <c r="L348" s="197"/>
      <c r="M348" s="197"/>
      <c r="N348" s="197"/>
      <c r="O348" s="197"/>
      <c r="P348" s="197"/>
      <c r="Q348" s="197"/>
      <c r="W348" s="1"/>
    </row>
    <row r="349" spans="1:23">
      <c r="A349" s="196"/>
      <c r="B349" s="197"/>
      <c r="C349" s="198"/>
      <c r="D349" s="198"/>
      <c r="E349" s="199"/>
      <c r="F349" s="199"/>
      <c r="G349" s="199"/>
      <c r="H349" s="199"/>
      <c r="I349" s="199"/>
      <c r="J349" s="199"/>
      <c r="K349" s="199"/>
      <c r="L349" s="197"/>
      <c r="M349" s="197"/>
      <c r="N349" s="197"/>
      <c r="O349" s="197"/>
      <c r="P349" s="197"/>
      <c r="Q349" s="197"/>
      <c r="W349" s="197"/>
    </row>
    <row r="350" spans="1:23">
      <c r="A350" s="196"/>
      <c r="B350" s="197"/>
      <c r="C350" s="198"/>
      <c r="D350" s="198"/>
      <c r="E350" s="199"/>
      <c r="F350" s="199"/>
      <c r="G350" s="199"/>
      <c r="H350" s="199"/>
      <c r="I350" s="199"/>
      <c r="J350" s="199"/>
      <c r="K350" s="199"/>
      <c r="L350" s="197"/>
      <c r="M350" s="197"/>
      <c r="N350" s="197"/>
      <c r="O350" s="197"/>
      <c r="P350" s="197"/>
      <c r="Q350" s="197"/>
      <c r="W350" s="197"/>
    </row>
    <row r="351" spans="1:23">
      <c r="A351" s="196"/>
      <c r="B351" s="197"/>
      <c r="C351" s="198"/>
      <c r="D351" s="198"/>
      <c r="E351" s="199"/>
      <c r="F351" s="199"/>
      <c r="G351" s="199"/>
      <c r="H351" s="199"/>
      <c r="I351" s="199"/>
      <c r="J351" s="199"/>
      <c r="K351" s="199"/>
      <c r="L351" s="197"/>
      <c r="M351" s="197"/>
      <c r="N351" s="197"/>
      <c r="O351" s="197"/>
      <c r="P351" s="197"/>
      <c r="Q351" s="197"/>
      <c r="W351" s="197"/>
    </row>
    <row r="352" spans="1:23">
      <c r="A352" s="196"/>
      <c r="B352" s="197"/>
      <c r="C352" s="198"/>
      <c r="D352" s="198"/>
      <c r="E352" s="199"/>
      <c r="F352" s="199"/>
      <c r="G352" s="199"/>
      <c r="H352" s="199"/>
      <c r="I352" s="199"/>
      <c r="J352" s="199"/>
      <c r="K352" s="199"/>
      <c r="L352" s="197"/>
      <c r="M352" s="197"/>
      <c r="N352" s="197"/>
      <c r="O352" s="197"/>
      <c r="P352" s="197"/>
      <c r="Q352" s="197"/>
      <c r="W352" s="197"/>
    </row>
    <row r="353" spans="1:23">
      <c r="A353" s="196"/>
      <c r="B353" s="197"/>
      <c r="C353" s="198"/>
      <c r="D353" s="198"/>
      <c r="E353" s="199"/>
      <c r="F353" s="199"/>
      <c r="G353" s="199"/>
      <c r="H353" s="199"/>
      <c r="I353" s="199"/>
      <c r="J353" s="199"/>
      <c r="K353" s="199"/>
      <c r="L353" s="197"/>
      <c r="M353" s="197"/>
      <c r="N353" s="197"/>
      <c r="O353" s="197"/>
      <c r="P353" s="197"/>
      <c r="Q353" s="197"/>
      <c r="W353" s="197"/>
    </row>
    <row r="354" spans="1:23">
      <c r="A354" s="196"/>
      <c r="B354" s="197"/>
      <c r="C354" s="198"/>
      <c r="D354" s="198"/>
      <c r="E354" s="199"/>
      <c r="F354" s="199"/>
      <c r="G354" s="199"/>
      <c r="H354" s="199"/>
      <c r="I354" s="199"/>
      <c r="J354" s="199"/>
      <c r="K354" s="199"/>
      <c r="L354" s="200"/>
      <c r="M354" s="200"/>
      <c r="N354" s="200"/>
      <c r="O354" s="200"/>
      <c r="P354" s="200"/>
      <c r="Q354" s="200"/>
      <c r="R354" s="200"/>
      <c r="V354" s="200"/>
      <c r="W354" s="197"/>
    </row>
    <row r="355" spans="1:23">
      <c r="A355" s="196"/>
      <c r="B355" s="197"/>
      <c r="C355" s="198"/>
      <c r="D355" s="198"/>
      <c r="E355" s="199"/>
      <c r="F355" s="199"/>
      <c r="G355" s="199"/>
      <c r="H355" s="199"/>
      <c r="I355" s="199"/>
      <c r="J355" s="199"/>
      <c r="K355" s="199"/>
      <c r="L355" s="197"/>
      <c r="M355" s="197"/>
      <c r="N355" s="197"/>
      <c r="O355" s="197"/>
      <c r="P355" s="197"/>
      <c r="Q355" s="197"/>
      <c r="W355" s="197"/>
    </row>
    <row r="356" spans="1:23">
      <c r="A356" s="196"/>
      <c r="B356" s="197"/>
      <c r="C356" s="198"/>
      <c r="D356" s="198"/>
      <c r="E356" s="199"/>
      <c r="F356" s="199"/>
      <c r="G356" s="199"/>
      <c r="H356" s="199"/>
      <c r="I356" s="199"/>
      <c r="J356" s="199"/>
      <c r="K356" s="199"/>
      <c r="L356" s="197"/>
      <c r="M356" s="197"/>
      <c r="N356" s="197"/>
      <c r="O356" s="197"/>
      <c r="P356" s="197"/>
      <c r="Q356" s="197"/>
      <c r="W356" s="197"/>
    </row>
    <row r="357" spans="1:23">
      <c r="A357" s="196"/>
      <c r="B357" s="197"/>
      <c r="C357" s="198"/>
      <c r="D357" s="198"/>
      <c r="E357" s="199"/>
      <c r="F357" s="199"/>
      <c r="G357" s="199"/>
      <c r="H357" s="199"/>
      <c r="I357" s="199"/>
      <c r="J357" s="199"/>
      <c r="K357" s="199"/>
      <c r="L357" s="197"/>
      <c r="M357" s="197"/>
      <c r="N357" s="197"/>
      <c r="O357" s="197"/>
      <c r="P357" s="197"/>
      <c r="Q357" s="197"/>
      <c r="W357" s="197"/>
    </row>
    <row r="358" spans="1:23">
      <c r="A358" s="196"/>
      <c r="B358" s="197"/>
      <c r="C358" s="198"/>
      <c r="D358" s="198"/>
      <c r="E358" s="199"/>
      <c r="F358" s="199"/>
      <c r="G358" s="199"/>
      <c r="H358" s="199"/>
      <c r="I358" s="199"/>
      <c r="J358" s="199"/>
      <c r="K358" s="199"/>
      <c r="L358" s="197"/>
      <c r="M358" s="197"/>
      <c r="N358" s="197"/>
      <c r="O358" s="197"/>
      <c r="P358" s="197"/>
      <c r="Q358" s="197"/>
      <c r="W358" s="197"/>
    </row>
    <row r="359" spans="1:23">
      <c r="A359" s="196"/>
      <c r="B359" s="197"/>
      <c r="C359" s="198"/>
      <c r="D359" s="198"/>
      <c r="E359" s="199"/>
      <c r="F359" s="199"/>
      <c r="G359" s="199"/>
      <c r="H359" s="199"/>
      <c r="I359" s="199"/>
      <c r="J359" s="199"/>
      <c r="K359" s="199"/>
      <c r="L359" s="197"/>
      <c r="M359" s="197"/>
      <c r="N359" s="197"/>
      <c r="O359" s="197"/>
      <c r="P359" s="197"/>
      <c r="Q359" s="197"/>
      <c r="W359" s="197"/>
    </row>
    <row r="360" spans="1:23">
      <c r="A360" s="196"/>
      <c r="B360" s="197"/>
      <c r="C360" s="198"/>
      <c r="D360" s="198"/>
      <c r="E360" s="199"/>
      <c r="F360" s="199"/>
      <c r="G360" s="199"/>
      <c r="H360" s="199"/>
      <c r="I360" s="199"/>
      <c r="J360" s="199"/>
      <c r="K360" s="199"/>
      <c r="L360" s="197"/>
      <c r="M360" s="197"/>
      <c r="N360" s="197"/>
      <c r="O360" s="197"/>
      <c r="P360" s="197"/>
      <c r="Q360" s="197"/>
      <c r="W360" s="197"/>
    </row>
    <row r="361" spans="1:23">
      <c r="A361" s="196"/>
      <c r="B361" s="197"/>
      <c r="C361" s="198"/>
      <c r="D361" s="198"/>
      <c r="E361" s="199"/>
      <c r="F361" s="199"/>
      <c r="G361" s="199"/>
      <c r="H361" s="199"/>
      <c r="I361" s="199"/>
      <c r="J361" s="199"/>
      <c r="K361" s="199"/>
      <c r="L361" s="197"/>
      <c r="M361" s="197"/>
      <c r="N361" s="197"/>
      <c r="O361" s="197"/>
      <c r="P361" s="197"/>
      <c r="Q361" s="197"/>
      <c r="W361" s="197"/>
    </row>
    <row r="362" spans="1:23">
      <c r="A362" s="196"/>
      <c r="B362" s="197"/>
      <c r="C362" s="198"/>
      <c r="D362" s="198"/>
      <c r="E362" s="199"/>
      <c r="F362" s="199"/>
      <c r="G362" s="199"/>
      <c r="H362" s="199"/>
      <c r="I362" s="199"/>
      <c r="J362" s="199"/>
      <c r="K362" s="199"/>
      <c r="L362" s="197"/>
      <c r="M362" s="197"/>
      <c r="N362" s="197"/>
      <c r="O362" s="197"/>
      <c r="P362" s="197"/>
      <c r="Q362" s="197"/>
      <c r="W362" s="197"/>
    </row>
    <row r="363" spans="1:23">
      <c r="A363" s="196"/>
      <c r="B363" s="197"/>
      <c r="C363" s="198"/>
      <c r="D363" s="198"/>
      <c r="E363" s="199"/>
      <c r="F363" s="199"/>
      <c r="G363" s="199"/>
      <c r="H363" s="199"/>
      <c r="I363" s="199"/>
      <c r="J363" s="199"/>
      <c r="K363" s="199"/>
      <c r="L363" s="197"/>
      <c r="M363" s="197"/>
      <c r="N363" s="197"/>
      <c r="O363" s="197"/>
      <c r="P363" s="197"/>
      <c r="Q363" s="197"/>
      <c r="W363" s="197"/>
    </row>
    <row r="364" spans="1:23">
      <c r="A364" s="196"/>
      <c r="B364" s="197"/>
      <c r="C364" s="198"/>
      <c r="D364" s="198"/>
      <c r="E364" s="199"/>
      <c r="F364" s="199"/>
      <c r="G364" s="199"/>
      <c r="H364" s="199"/>
      <c r="I364" s="199"/>
      <c r="J364" s="199"/>
      <c r="K364" s="199"/>
      <c r="L364" s="197"/>
      <c r="M364" s="197"/>
      <c r="N364" s="197"/>
      <c r="O364" s="197"/>
      <c r="P364" s="197"/>
      <c r="Q364" s="197"/>
      <c r="W364" s="197"/>
    </row>
    <row r="365" spans="1:23">
      <c r="A365" s="196"/>
      <c r="B365" s="197"/>
      <c r="C365" s="198"/>
      <c r="D365" s="198"/>
      <c r="E365" s="199"/>
      <c r="F365" s="199"/>
      <c r="G365" s="199"/>
      <c r="H365" s="199"/>
      <c r="I365" s="199"/>
      <c r="J365" s="199"/>
      <c r="K365" s="199"/>
      <c r="L365" s="197"/>
      <c r="M365" s="197"/>
      <c r="N365" s="197"/>
      <c r="O365" s="197"/>
      <c r="P365" s="197"/>
      <c r="Q365" s="197"/>
      <c r="W365" s="197"/>
    </row>
    <row r="366" spans="1:23">
      <c r="A366" s="196"/>
      <c r="B366" s="197"/>
      <c r="C366" s="198"/>
      <c r="D366" s="198"/>
      <c r="E366" s="199"/>
      <c r="F366" s="199"/>
      <c r="G366" s="199"/>
      <c r="H366" s="199"/>
      <c r="I366" s="199"/>
      <c r="J366" s="199"/>
      <c r="K366" s="199"/>
      <c r="L366" s="197"/>
      <c r="M366" s="197"/>
      <c r="N366" s="197"/>
      <c r="O366" s="197"/>
      <c r="P366" s="197"/>
      <c r="Q366" s="197"/>
      <c r="W366" s="197"/>
    </row>
    <row r="367" spans="1:23">
      <c r="A367" s="196"/>
      <c r="B367" s="197"/>
      <c r="C367" s="198"/>
      <c r="D367" s="198"/>
      <c r="E367" s="199"/>
      <c r="F367" s="199"/>
      <c r="G367" s="199"/>
      <c r="H367" s="199"/>
      <c r="I367" s="199"/>
      <c r="J367" s="199"/>
      <c r="K367" s="199"/>
      <c r="L367" s="197"/>
      <c r="M367" s="197"/>
      <c r="N367" s="197"/>
      <c r="O367" s="197"/>
      <c r="P367" s="197"/>
      <c r="Q367" s="197"/>
      <c r="W367" s="197"/>
    </row>
    <row r="368" spans="1:23">
      <c r="A368" s="196"/>
      <c r="B368" s="197"/>
      <c r="C368" s="198"/>
      <c r="D368" s="198"/>
      <c r="E368" s="199"/>
      <c r="F368" s="199"/>
      <c r="G368" s="199"/>
      <c r="H368" s="199"/>
      <c r="I368" s="199"/>
      <c r="J368" s="199"/>
      <c r="K368" s="199"/>
      <c r="L368" s="197"/>
      <c r="M368" s="197"/>
      <c r="N368" s="197"/>
      <c r="O368" s="197"/>
      <c r="P368" s="197"/>
      <c r="Q368" s="197"/>
      <c r="W368" s="197"/>
    </row>
    <row r="369" spans="1:23">
      <c r="A369" s="196"/>
      <c r="B369" s="197"/>
      <c r="C369" s="198"/>
      <c r="D369" s="198"/>
      <c r="E369" s="199"/>
      <c r="F369" s="199"/>
      <c r="G369" s="199"/>
      <c r="H369" s="199"/>
      <c r="I369" s="199"/>
      <c r="J369" s="199"/>
      <c r="K369" s="199"/>
      <c r="L369" s="197"/>
      <c r="M369" s="197"/>
      <c r="N369" s="197"/>
      <c r="O369" s="197"/>
      <c r="P369" s="197"/>
      <c r="Q369" s="197"/>
      <c r="W369" s="197"/>
    </row>
    <row r="370" spans="1:23">
      <c r="A370" s="196"/>
      <c r="B370" s="197"/>
      <c r="C370" s="198"/>
      <c r="D370" s="198"/>
      <c r="E370" s="199"/>
      <c r="F370" s="199"/>
      <c r="G370" s="199"/>
      <c r="H370" s="199"/>
      <c r="I370" s="199"/>
      <c r="J370" s="199"/>
      <c r="K370" s="199"/>
      <c r="L370" s="197"/>
      <c r="M370" s="197"/>
      <c r="N370" s="197"/>
      <c r="O370" s="197"/>
      <c r="P370" s="197"/>
      <c r="Q370" s="197"/>
      <c r="W370" s="197"/>
    </row>
    <row r="371" spans="1:23">
      <c r="A371" s="196"/>
      <c r="B371" s="197"/>
      <c r="C371" s="198"/>
      <c r="D371" s="198"/>
      <c r="E371" s="199"/>
      <c r="F371" s="199"/>
      <c r="G371" s="199"/>
      <c r="H371" s="199"/>
      <c r="I371" s="199"/>
      <c r="J371" s="199"/>
      <c r="K371" s="199"/>
      <c r="L371" s="197"/>
      <c r="M371" s="197"/>
      <c r="N371" s="197"/>
      <c r="O371" s="197"/>
      <c r="P371" s="197"/>
      <c r="Q371" s="197"/>
      <c r="W371" s="197"/>
    </row>
    <row r="372" spans="1:23">
      <c r="A372" s="196"/>
      <c r="B372" s="197"/>
      <c r="C372" s="198"/>
      <c r="D372" s="198"/>
      <c r="E372" s="199"/>
      <c r="F372" s="199"/>
      <c r="G372" s="199"/>
      <c r="H372" s="199"/>
      <c r="I372" s="199"/>
      <c r="J372" s="199"/>
      <c r="K372" s="199"/>
      <c r="L372" s="197"/>
      <c r="M372" s="197"/>
      <c r="N372" s="197"/>
      <c r="O372" s="197"/>
      <c r="P372" s="197"/>
      <c r="Q372" s="197"/>
      <c r="W372" s="197"/>
    </row>
    <row r="373" spans="1:23">
      <c r="A373" s="196"/>
      <c r="B373" s="197"/>
      <c r="C373" s="198"/>
      <c r="D373" s="198"/>
      <c r="E373" s="199"/>
      <c r="F373" s="199"/>
      <c r="G373" s="199"/>
      <c r="H373" s="199"/>
      <c r="I373" s="199"/>
      <c r="J373" s="199"/>
      <c r="K373" s="199"/>
      <c r="L373" s="197"/>
      <c r="M373" s="197"/>
      <c r="N373" s="197"/>
      <c r="O373" s="197"/>
      <c r="P373" s="197"/>
      <c r="Q373" s="197"/>
      <c r="W373" s="197"/>
    </row>
    <row r="374" spans="1:23">
      <c r="A374" s="196"/>
      <c r="B374" s="197"/>
      <c r="C374" s="198"/>
      <c r="D374" s="198"/>
      <c r="E374" s="199"/>
      <c r="F374" s="199"/>
      <c r="G374" s="199"/>
      <c r="H374" s="199"/>
      <c r="I374" s="199"/>
      <c r="J374" s="199"/>
      <c r="K374" s="199"/>
      <c r="L374" s="197"/>
      <c r="M374" s="197"/>
      <c r="N374" s="197"/>
      <c r="O374" s="197"/>
      <c r="P374" s="197"/>
      <c r="Q374" s="197"/>
      <c r="W374" s="197"/>
    </row>
    <row r="375" spans="1:23">
      <c r="A375" s="196"/>
      <c r="B375" s="197"/>
      <c r="C375" s="198"/>
      <c r="D375" s="198"/>
      <c r="E375" s="199"/>
      <c r="F375" s="199"/>
      <c r="G375" s="199"/>
      <c r="H375" s="199"/>
      <c r="I375" s="199"/>
      <c r="J375" s="199"/>
      <c r="K375" s="199"/>
      <c r="L375" s="197"/>
      <c r="M375" s="197"/>
      <c r="N375" s="197"/>
      <c r="O375" s="197"/>
      <c r="P375" s="197"/>
      <c r="Q375" s="197"/>
      <c r="W375" s="1"/>
    </row>
    <row r="376" spans="1:23">
      <c r="A376" s="196"/>
      <c r="B376" s="197"/>
      <c r="C376" s="198"/>
      <c r="D376" s="198"/>
      <c r="E376" s="199"/>
      <c r="F376" s="199"/>
      <c r="G376" s="199"/>
      <c r="H376" s="199"/>
      <c r="I376" s="199"/>
      <c r="J376" s="199"/>
      <c r="K376" s="199"/>
      <c r="L376" s="197"/>
      <c r="M376" s="197"/>
      <c r="N376" s="197"/>
      <c r="O376" s="197"/>
      <c r="P376" s="197"/>
      <c r="Q376" s="197"/>
      <c r="W376" s="1"/>
    </row>
    <row r="377" spans="1:23">
      <c r="A377" s="196"/>
      <c r="B377" s="197"/>
      <c r="C377" s="198"/>
      <c r="D377" s="198"/>
      <c r="E377" s="199"/>
      <c r="F377" s="199"/>
      <c r="G377" s="199"/>
      <c r="H377" s="199"/>
      <c r="I377" s="199"/>
      <c r="J377" s="199"/>
      <c r="K377" s="199"/>
      <c r="L377" s="197"/>
      <c r="M377" s="197"/>
      <c r="N377" s="197"/>
      <c r="O377" s="197"/>
      <c r="P377" s="197"/>
      <c r="Q377" s="197"/>
      <c r="W377" s="197"/>
    </row>
    <row r="378" spans="1:23">
      <c r="A378" s="196"/>
      <c r="B378" s="197"/>
      <c r="C378" s="198"/>
      <c r="D378" s="198"/>
      <c r="E378" s="199"/>
      <c r="F378" s="199"/>
      <c r="G378" s="199"/>
      <c r="H378" s="199"/>
      <c r="I378" s="199"/>
      <c r="J378" s="199"/>
      <c r="K378" s="199"/>
      <c r="L378" s="197"/>
      <c r="M378" s="197"/>
      <c r="N378" s="197"/>
      <c r="O378" s="197"/>
      <c r="P378" s="197"/>
      <c r="Q378" s="197"/>
      <c r="W378" s="197"/>
    </row>
    <row r="379" spans="1:23">
      <c r="A379" s="196"/>
      <c r="B379" s="197"/>
      <c r="C379" s="198"/>
      <c r="D379" s="198"/>
      <c r="E379" s="199"/>
      <c r="F379" s="199"/>
      <c r="G379" s="199"/>
      <c r="H379" s="199"/>
      <c r="I379" s="199"/>
      <c r="J379" s="199"/>
      <c r="K379" s="199"/>
      <c r="L379" s="197"/>
      <c r="M379" s="197"/>
      <c r="N379" s="197"/>
      <c r="O379" s="197"/>
      <c r="P379" s="197"/>
      <c r="Q379" s="197"/>
      <c r="W379" s="197"/>
    </row>
    <row r="380" spans="1:23">
      <c r="A380" s="196"/>
      <c r="B380" s="197"/>
      <c r="C380" s="198"/>
      <c r="D380" s="198"/>
      <c r="E380" s="199"/>
      <c r="F380" s="199"/>
      <c r="G380" s="199"/>
      <c r="H380" s="199"/>
      <c r="I380" s="199"/>
      <c r="J380" s="199"/>
      <c r="K380" s="199"/>
      <c r="L380" s="197"/>
      <c r="M380" s="197"/>
      <c r="N380" s="197"/>
      <c r="O380" s="197"/>
      <c r="P380" s="197"/>
      <c r="Q380" s="197"/>
      <c r="W380" s="197"/>
    </row>
    <row r="381" spans="1:23">
      <c r="A381" s="196"/>
      <c r="B381" s="197"/>
      <c r="C381" s="198"/>
      <c r="D381" s="198"/>
      <c r="E381" s="199"/>
      <c r="F381" s="199"/>
      <c r="G381" s="199"/>
      <c r="H381" s="199"/>
      <c r="I381" s="199"/>
      <c r="J381" s="199"/>
      <c r="K381" s="199"/>
      <c r="L381" s="197"/>
      <c r="M381" s="197"/>
      <c r="N381" s="197"/>
      <c r="O381" s="197"/>
      <c r="P381" s="197"/>
      <c r="Q381" s="197"/>
      <c r="W381" s="197"/>
    </row>
    <row r="382" spans="1:23">
      <c r="A382" s="196"/>
      <c r="B382" s="197"/>
      <c r="C382" s="198"/>
      <c r="D382" s="198"/>
      <c r="E382" s="199"/>
      <c r="F382" s="199"/>
      <c r="G382" s="199"/>
      <c r="H382" s="199"/>
      <c r="I382" s="199"/>
      <c r="J382" s="199"/>
      <c r="K382" s="199"/>
      <c r="L382" s="197"/>
      <c r="M382" s="197"/>
      <c r="N382" s="197"/>
      <c r="O382" s="197"/>
      <c r="P382" s="197"/>
      <c r="Q382" s="197"/>
      <c r="W382" s="197"/>
    </row>
    <row r="383" spans="1:23">
      <c r="A383" s="196"/>
      <c r="B383" s="197"/>
      <c r="C383" s="198"/>
      <c r="D383" s="198"/>
      <c r="E383" s="199"/>
      <c r="F383" s="199"/>
      <c r="G383" s="199"/>
      <c r="H383" s="199"/>
      <c r="I383" s="199"/>
      <c r="J383" s="199"/>
      <c r="K383" s="199"/>
      <c r="L383" s="197"/>
      <c r="M383" s="197"/>
      <c r="N383" s="197"/>
      <c r="O383" s="197"/>
      <c r="P383" s="197"/>
      <c r="Q383" s="197"/>
      <c r="W383" s="197"/>
    </row>
    <row r="384" spans="1:23">
      <c r="A384" s="196"/>
      <c r="B384" s="197"/>
      <c r="C384" s="198"/>
      <c r="D384" s="198"/>
      <c r="E384" s="199"/>
      <c r="F384" s="199"/>
      <c r="G384" s="199"/>
      <c r="H384" s="199"/>
      <c r="I384" s="199"/>
      <c r="J384" s="199"/>
      <c r="K384" s="199"/>
      <c r="L384" s="197"/>
      <c r="M384" s="197"/>
      <c r="N384" s="197"/>
      <c r="O384" s="197"/>
      <c r="P384" s="197"/>
      <c r="Q384" s="197"/>
      <c r="W384" s="197"/>
    </row>
    <row r="385" spans="1:23">
      <c r="A385" s="196"/>
      <c r="B385" s="197"/>
      <c r="C385" s="198"/>
      <c r="D385" s="198"/>
      <c r="E385" s="199"/>
      <c r="F385" s="199"/>
      <c r="G385" s="199"/>
      <c r="H385" s="199"/>
      <c r="I385" s="199"/>
      <c r="J385" s="199"/>
      <c r="K385" s="199"/>
      <c r="L385" s="197"/>
      <c r="M385" s="197"/>
      <c r="N385" s="197"/>
      <c r="O385" s="197"/>
      <c r="P385" s="197"/>
      <c r="Q385" s="197"/>
      <c r="W385" s="197"/>
    </row>
    <row r="386" spans="1:23">
      <c r="A386" s="196"/>
      <c r="B386" s="197"/>
      <c r="C386" s="198"/>
      <c r="D386" s="198"/>
      <c r="E386" s="199"/>
      <c r="F386" s="199"/>
      <c r="G386" s="199"/>
      <c r="H386" s="199"/>
      <c r="I386" s="199"/>
      <c r="J386" s="199"/>
      <c r="K386" s="199"/>
      <c r="L386" s="197"/>
      <c r="M386" s="197"/>
      <c r="N386" s="197"/>
      <c r="O386" s="197"/>
      <c r="P386" s="197"/>
      <c r="Q386" s="197"/>
      <c r="W386" s="197"/>
    </row>
    <row r="387" spans="1:23">
      <c r="A387" s="196"/>
      <c r="B387" s="197"/>
      <c r="C387" s="198"/>
      <c r="D387" s="198"/>
      <c r="E387" s="199"/>
      <c r="F387" s="199"/>
      <c r="G387" s="199"/>
      <c r="H387" s="199"/>
      <c r="I387" s="199"/>
      <c r="J387" s="199"/>
      <c r="K387" s="199"/>
      <c r="L387" s="197"/>
      <c r="M387" s="197"/>
      <c r="N387" s="197"/>
      <c r="O387" s="197"/>
      <c r="P387" s="197"/>
      <c r="Q387" s="197"/>
      <c r="W387" s="197"/>
    </row>
    <row r="388" spans="1:23">
      <c r="A388" s="196"/>
      <c r="B388" s="197"/>
      <c r="C388" s="198"/>
      <c r="D388" s="198"/>
      <c r="E388" s="199"/>
      <c r="F388" s="199"/>
      <c r="G388" s="199"/>
      <c r="H388" s="199"/>
      <c r="I388" s="199"/>
      <c r="J388" s="199"/>
      <c r="K388" s="199"/>
      <c r="L388" s="197"/>
      <c r="M388" s="197"/>
      <c r="N388" s="197"/>
      <c r="O388" s="197"/>
      <c r="P388" s="197"/>
      <c r="Q388" s="197"/>
      <c r="W388" s="197"/>
    </row>
    <row r="389" spans="1:23">
      <c r="A389" s="196"/>
      <c r="B389" s="197"/>
      <c r="C389" s="198"/>
      <c r="D389" s="198"/>
      <c r="E389" s="199"/>
      <c r="F389" s="199"/>
      <c r="G389" s="199"/>
      <c r="H389" s="199"/>
      <c r="I389" s="199"/>
      <c r="J389" s="199"/>
      <c r="K389" s="199"/>
      <c r="L389" s="197"/>
      <c r="M389" s="197"/>
      <c r="N389" s="197"/>
      <c r="O389" s="197"/>
      <c r="P389" s="197"/>
      <c r="Q389" s="197"/>
      <c r="W389" s="197"/>
    </row>
    <row r="390" spans="1:23">
      <c r="A390" s="196"/>
      <c r="B390" s="197"/>
      <c r="C390" s="198"/>
      <c r="D390" s="198"/>
      <c r="E390" s="199"/>
      <c r="F390" s="199"/>
      <c r="G390" s="199"/>
      <c r="H390" s="199"/>
      <c r="I390" s="199"/>
      <c r="J390" s="199"/>
      <c r="K390" s="199"/>
      <c r="L390" s="197"/>
      <c r="M390" s="197"/>
      <c r="N390" s="197"/>
      <c r="O390" s="197"/>
      <c r="P390" s="197"/>
      <c r="Q390" s="197"/>
      <c r="W390" s="197"/>
    </row>
    <row r="391" spans="1:23">
      <c r="A391" s="196"/>
      <c r="B391" s="197"/>
      <c r="C391" s="198"/>
      <c r="D391" s="198"/>
      <c r="E391" s="199"/>
      <c r="F391" s="199"/>
      <c r="G391" s="199"/>
      <c r="H391" s="199"/>
      <c r="I391" s="199"/>
      <c r="J391" s="199"/>
      <c r="K391" s="199"/>
      <c r="L391" s="197"/>
      <c r="M391" s="197"/>
      <c r="N391" s="197"/>
      <c r="O391" s="197"/>
      <c r="P391" s="197"/>
      <c r="Q391" s="197"/>
      <c r="W391" s="197"/>
    </row>
    <row r="392" spans="1:23">
      <c r="A392" s="196"/>
      <c r="B392" s="197"/>
      <c r="C392" s="198"/>
      <c r="D392" s="198"/>
      <c r="E392" s="199"/>
      <c r="F392" s="199"/>
      <c r="G392" s="199"/>
      <c r="H392" s="199"/>
      <c r="I392" s="199"/>
      <c r="J392" s="199"/>
      <c r="K392" s="199"/>
      <c r="L392" s="197"/>
      <c r="M392" s="197"/>
      <c r="N392" s="197"/>
      <c r="O392" s="197"/>
      <c r="P392" s="197"/>
      <c r="Q392" s="197"/>
      <c r="W392" s="197"/>
    </row>
    <row r="393" spans="1:23">
      <c r="A393" s="196"/>
      <c r="B393" s="197"/>
      <c r="C393" s="198"/>
      <c r="D393" s="198"/>
      <c r="E393" s="199"/>
      <c r="F393" s="199"/>
      <c r="G393" s="199"/>
      <c r="H393" s="199"/>
      <c r="I393" s="199"/>
      <c r="J393" s="199"/>
      <c r="K393" s="199"/>
      <c r="L393" s="197"/>
      <c r="M393" s="197"/>
      <c r="N393" s="197"/>
      <c r="O393" s="197"/>
      <c r="P393" s="197"/>
      <c r="Q393" s="197"/>
      <c r="W393" s="197"/>
    </row>
    <row r="394" spans="1:23">
      <c r="A394" s="196"/>
      <c r="B394" s="197"/>
      <c r="C394" s="198"/>
      <c r="D394" s="198"/>
      <c r="E394" s="199"/>
      <c r="F394" s="199"/>
      <c r="G394" s="199"/>
      <c r="H394" s="199"/>
      <c r="I394" s="199"/>
      <c r="J394" s="199"/>
      <c r="K394" s="199"/>
      <c r="L394" s="197"/>
      <c r="M394" s="197"/>
      <c r="N394" s="197"/>
      <c r="O394" s="197"/>
      <c r="P394" s="197"/>
      <c r="Q394" s="197"/>
      <c r="W394" s="197"/>
    </row>
    <row r="395" spans="1:23">
      <c r="A395" s="196"/>
      <c r="B395" s="197"/>
      <c r="C395" s="198"/>
      <c r="D395" s="198"/>
      <c r="E395" s="199"/>
      <c r="F395" s="199"/>
      <c r="G395" s="199"/>
      <c r="H395" s="199"/>
      <c r="I395" s="199"/>
      <c r="J395" s="199"/>
      <c r="K395" s="199"/>
      <c r="L395" s="197"/>
      <c r="M395" s="197"/>
      <c r="N395" s="197"/>
      <c r="O395" s="197"/>
      <c r="P395" s="197"/>
      <c r="Q395" s="197"/>
      <c r="W395" s="197"/>
    </row>
    <row r="396" spans="1:23">
      <c r="A396" s="196"/>
      <c r="B396" s="197"/>
      <c r="C396" s="198"/>
      <c r="D396" s="198"/>
      <c r="E396" s="199"/>
      <c r="F396" s="199"/>
      <c r="G396" s="199"/>
      <c r="H396" s="199"/>
      <c r="I396" s="199"/>
      <c r="J396" s="199"/>
      <c r="K396" s="199"/>
      <c r="L396" s="197"/>
      <c r="M396" s="197"/>
      <c r="N396" s="197"/>
      <c r="O396" s="197"/>
      <c r="P396" s="197"/>
      <c r="Q396" s="197"/>
      <c r="W396" s="197"/>
    </row>
    <row r="397" spans="1:23">
      <c r="A397" s="196"/>
      <c r="B397" s="197"/>
      <c r="C397" s="198"/>
      <c r="D397" s="198"/>
      <c r="E397" s="199"/>
      <c r="F397" s="199"/>
      <c r="G397" s="199"/>
      <c r="H397" s="199"/>
      <c r="I397" s="199"/>
      <c r="J397" s="199"/>
      <c r="K397" s="199"/>
      <c r="L397" s="197"/>
      <c r="M397" s="197"/>
      <c r="N397" s="197"/>
      <c r="O397" s="197"/>
      <c r="P397" s="197"/>
      <c r="Q397" s="197"/>
      <c r="W397" s="197"/>
    </row>
    <row r="398" spans="1:23">
      <c r="A398" s="196"/>
      <c r="B398" s="197"/>
      <c r="C398" s="198"/>
      <c r="D398" s="198"/>
      <c r="E398" s="199"/>
      <c r="F398" s="199"/>
      <c r="G398" s="199"/>
      <c r="H398" s="199"/>
      <c r="I398" s="199"/>
      <c r="J398" s="199"/>
      <c r="K398" s="199"/>
      <c r="L398" s="197"/>
      <c r="M398" s="197"/>
      <c r="N398" s="197"/>
      <c r="O398" s="197"/>
      <c r="P398" s="197"/>
      <c r="Q398" s="197"/>
      <c r="W398" s="197"/>
    </row>
    <row r="399" spans="1:23">
      <c r="A399" s="196"/>
      <c r="B399" s="197"/>
      <c r="C399" s="198"/>
      <c r="D399" s="198"/>
      <c r="E399" s="199"/>
      <c r="F399" s="199"/>
      <c r="G399" s="199"/>
      <c r="H399" s="199"/>
      <c r="I399" s="199"/>
      <c r="J399" s="199"/>
      <c r="K399" s="199"/>
      <c r="L399" s="1"/>
      <c r="M399" s="1"/>
      <c r="N399" s="1"/>
      <c r="O399" s="1"/>
      <c r="P399" s="1"/>
      <c r="Q399" s="1"/>
      <c r="R399" s="1"/>
      <c r="S399" s="115"/>
      <c r="T399" s="115"/>
      <c r="U399" s="115"/>
      <c r="V399" s="1"/>
      <c r="W399" s="197"/>
    </row>
    <row r="400" spans="1:23">
      <c r="A400" s="196"/>
      <c r="B400" s="197"/>
      <c r="C400" s="198"/>
      <c r="D400" s="198"/>
      <c r="E400" s="199"/>
      <c r="F400" s="199"/>
      <c r="G400" s="199"/>
      <c r="H400" s="199"/>
      <c r="I400" s="199"/>
      <c r="J400" s="199"/>
      <c r="K400" s="199"/>
      <c r="L400" s="1"/>
      <c r="M400" s="1"/>
      <c r="N400" s="1"/>
      <c r="O400" s="1"/>
      <c r="P400" s="1"/>
      <c r="Q400" s="1"/>
      <c r="R400" s="1"/>
      <c r="S400" s="115"/>
      <c r="T400" s="115"/>
      <c r="U400" s="115"/>
      <c r="V400" s="1"/>
      <c r="W400" s="197"/>
    </row>
    <row r="401" spans="1:23">
      <c r="A401" s="196"/>
      <c r="B401" s="197"/>
      <c r="C401" s="198"/>
      <c r="D401" s="198"/>
      <c r="E401" s="199"/>
      <c r="F401" s="199"/>
      <c r="G401" s="199"/>
      <c r="H401" s="199"/>
      <c r="I401" s="199"/>
      <c r="J401" s="199"/>
      <c r="K401" s="199"/>
      <c r="L401" s="197"/>
      <c r="M401" s="197"/>
      <c r="N401" s="197"/>
      <c r="O401" s="197"/>
      <c r="P401" s="197"/>
      <c r="Q401" s="197"/>
      <c r="W401" s="197"/>
    </row>
    <row r="402" spans="1:23">
      <c r="A402" s="196"/>
      <c r="B402" s="197"/>
      <c r="C402" s="198"/>
      <c r="D402" s="198"/>
      <c r="E402" s="199"/>
      <c r="F402" s="199"/>
      <c r="G402" s="199"/>
      <c r="H402" s="199"/>
      <c r="I402" s="199"/>
      <c r="J402" s="199"/>
      <c r="K402" s="199"/>
      <c r="L402" s="197"/>
      <c r="M402" s="197"/>
      <c r="N402" s="197"/>
      <c r="O402" s="197"/>
      <c r="P402" s="197"/>
      <c r="Q402" s="197"/>
      <c r="W402" s="197"/>
    </row>
    <row r="403" spans="1:23">
      <c r="A403" s="196"/>
      <c r="B403" s="197"/>
      <c r="C403" s="198"/>
      <c r="D403" s="198"/>
      <c r="E403" s="199"/>
      <c r="F403" s="199"/>
      <c r="G403" s="199"/>
      <c r="H403" s="199"/>
      <c r="I403" s="199"/>
      <c r="J403" s="199"/>
      <c r="K403" s="199"/>
      <c r="L403" s="197"/>
      <c r="M403" s="197"/>
      <c r="N403" s="197"/>
      <c r="O403" s="197"/>
      <c r="P403" s="197"/>
      <c r="Q403" s="197"/>
      <c r="W403" s="197"/>
    </row>
    <row r="404" spans="1:23">
      <c r="A404" s="196"/>
      <c r="B404" s="197"/>
      <c r="C404" s="198"/>
      <c r="D404" s="198"/>
      <c r="E404" s="199"/>
      <c r="F404" s="199"/>
      <c r="G404" s="199"/>
      <c r="H404" s="199"/>
      <c r="I404" s="199"/>
      <c r="J404" s="199"/>
      <c r="K404" s="199"/>
      <c r="L404" s="197"/>
      <c r="M404" s="197"/>
      <c r="N404" s="197"/>
      <c r="O404" s="197"/>
      <c r="P404" s="197"/>
      <c r="Q404" s="197"/>
      <c r="W404" s="197"/>
    </row>
    <row r="405" spans="1:23">
      <c r="A405" s="196"/>
      <c r="B405" s="197"/>
      <c r="C405" s="198"/>
      <c r="D405" s="198"/>
      <c r="E405" s="199"/>
      <c r="F405" s="199"/>
      <c r="G405" s="199"/>
      <c r="H405" s="199"/>
      <c r="I405" s="199"/>
      <c r="J405" s="199"/>
      <c r="K405" s="199"/>
      <c r="L405" s="197"/>
      <c r="M405" s="197"/>
      <c r="N405" s="197"/>
      <c r="O405" s="197"/>
      <c r="P405" s="197"/>
      <c r="Q405" s="197"/>
      <c r="W405" s="197"/>
    </row>
    <row r="406" spans="1:23">
      <c r="A406" s="196"/>
      <c r="B406" s="197"/>
      <c r="C406" s="198"/>
      <c r="D406" s="198"/>
      <c r="E406" s="199"/>
      <c r="F406" s="199"/>
      <c r="G406" s="199"/>
      <c r="H406" s="199"/>
      <c r="I406" s="199"/>
      <c r="J406" s="199"/>
      <c r="K406" s="199"/>
      <c r="L406" s="197"/>
      <c r="M406" s="197"/>
      <c r="N406" s="197"/>
      <c r="O406" s="197"/>
      <c r="P406" s="197"/>
      <c r="Q406" s="197"/>
      <c r="W406" s="197"/>
    </row>
    <row r="407" spans="1:23">
      <c r="A407" s="196"/>
      <c r="B407" s="197"/>
      <c r="C407" s="198"/>
      <c r="D407" s="198"/>
      <c r="E407" s="199"/>
      <c r="F407" s="199"/>
      <c r="G407" s="199"/>
      <c r="H407" s="199"/>
      <c r="I407" s="199"/>
      <c r="J407" s="199"/>
      <c r="K407" s="199"/>
      <c r="L407" s="197"/>
      <c r="M407" s="197"/>
      <c r="N407" s="197"/>
      <c r="O407" s="197"/>
      <c r="P407" s="197"/>
      <c r="Q407" s="197"/>
      <c r="W407" s="197"/>
    </row>
    <row r="408" spans="1:23">
      <c r="A408" s="196"/>
      <c r="B408" s="197"/>
      <c r="C408" s="198"/>
      <c r="D408" s="198"/>
      <c r="E408" s="199"/>
      <c r="F408" s="199"/>
      <c r="G408" s="199"/>
      <c r="H408" s="199"/>
      <c r="I408" s="199"/>
      <c r="J408" s="199"/>
      <c r="K408" s="199"/>
      <c r="L408" s="197"/>
      <c r="M408" s="197"/>
      <c r="N408" s="197"/>
      <c r="O408" s="197"/>
      <c r="P408" s="197"/>
      <c r="Q408" s="197"/>
      <c r="W408" s="197"/>
    </row>
    <row r="409" spans="1:23">
      <c r="A409" s="196"/>
      <c r="B409" s="197"/>
      <c r="C409" s="198"/>
      <c r="D409" s="198"/>
      <c r="E409" s="199"/>
      <c r="F409" s="199"/>
      <c r="G409" s="199"/>
      <c r="H409" s="199"/>
      <c r="I409" s="199"/>
      <c r="J409" s="199"/>
      <c r="K409" s="199"/>
      <c r="L409" s="197"/>
      <c r="M409" s="197"/>
      <c r="N409" s="197"/>
      <c r="O409" s="197"/>
      <c r="P409" s="197"/>
      <c r="Q409" s="197"/>
      <c r="W409" s="197"/>
    </row>
    <row r="410" spans="1:23">
      <c r="A410" s="196"/>
      <c r="B410" s="197"/>
      <c r="C410" s="198"/>
      <c r="D410" s="198"/>
      <c r="E410" s="199"/>
      <c r="F410" s="199"/>
      <c r="G410" s="199"/>
      <c r="H410" s="199"/>
      <c r="I410" s="199"/>
      <c r="J410" s="199"/>
      <c r="K410" s="199"/>
      <c r="L410" s="197"/>
      <c r="M410" s="197"/>
      <c r="N410" s="197"/>
      <c r="O410" s="197"/>
      <c r="P410" s="197"/>
      <c r="Q410" s="197"/>
      <c r="W410" s="197"/>
    </row>
    <row r="411" spans="1:23">
      <c r="A411" s="196"/>
      <c r="B411" s="197"/>
      <c r="C411" s="198"/>
      <c r="D411" s="198"/>
      <c r="E411" s="199"/>
      <c r="F411" s="199"/>
      <c r="G411" s="199"/>
      <c r="H411" s="199"/>
      <c r="I411" s="199"/>
      <c r="J411" s="199"/>
      <c r="K411" s="199"/>
      <c r="L411" s="197"/>
      <c r="M411" s="197"/>
      <c r="N411" s="197"/>
      <c r="O411" s="197"/>
      <c r="P411" s="197"/>
      <c r="Q411" s="197"/>
      <c r="W411" s="197"/>
    </row>
    <row r="412" spans="1:23">
      <c r="A412" s="196"/>
      <c r="B412" s="197"/>
      <c r="C412" s="198"/>
      <c r="D412" s="198"/>
      <c r="E412" s="199"/>
      <c r="F412" s="199"/>
      <c r="G412" s="199"/>
      <c r="H412" s="199"/>
      <c r="I412" s="199"/>
      <c r="J412" s="199"/>
      <c r="K412" s="199"/>
      <c r="L412" s="197"/>
      <c r="M412" s="197"/>
      <c r="N412" s="197"/>
      <c r="O412" s="197"/>
      <c r="P412" s="197"/>
      <c r="Q412" s="197"/>
      <c r="W412" s="197"/>
    </row>
    <row r="413" spans="1:23">
      <c r="A413" s="196"/>
      <c r="B413" s="197"/>
      <c r="C413" s="198"/>
      <c r="D413" s="198"/>
      <c r="E413" s="199"/>
      <c r="F413" s="199"/>
      <c r="G413" s="199"/>
      <c r="H413" s="199"/>
      <c r="I413" s="199"/>
      <c r="J413" s="199"/>
      <c r="K413" s="199"/>
      <c r="L413" s="197"/>
      <c r="M413" s="197"/>
      <c r="N413" s="197"/>
      <c r="O413" s="197"/>
      <c r="P413" s="197"/>
      <c r="Q413" s="197"/>
      <c r="W413" s="197"/>
    </row>
    <row r="414" spans="1:23">
      <c r="A414" s="196"/>
      <c r="B414" s="197"/>
      <c r="C414" s="198"/>
      <c r="D414" s="198"/>
      <c r="E414" s="199"/>
      <c r="F414" s="199"/>
      <c r="G414" s="199"/>
      <c r="H414" s="199"/>
      <c r="I414" s="199"/>
      <c r="J414" s="199"/>
      <c r="K414" s="199"/>
      <c r="L414" s="197"/>
      <c r="M414" s="197"/>
      <c r="N414" s="197"/>
      <c r="O414" s="197"/>
      <c r="P414" s="197"/>
      <c r="Q414" s="197"/>
      <c r="W414" s="197"/>
    </row>
    <row r="415" spans="1:23">
      <c r="A415" s="196"/>
      <c r="B415" s="197"/>
      <c r="C415" s="198"/>
      <c r="D415" s="198"/>
      <c r="E415" s="199"/>
      <c r="F415" s="199"/>
      <c r="G415" s="199"/>
      <c r="H415" s="199"/>
      <c r="I415" s="199"/>
      <c r="J415" s="199"/>
      <c r="K415" s="199"/>
      <c r="L415" s="197"/>
      <c r="M415" s="197"/>
      <c r="N415" s="197"/>
      <c r="O415" s="197"/>
      <c r="P415" s="197"/>
      <c r="Q415" s="197"/>
      <c r="W415" s="197"/>
    </row>
    <row r="416" spans="1:23">
      <c r="A416" s="196"/>
      <c r="B416" s="197"/>
      <c r="C416" s="198"/>
      <c r="D416" s="198"/>
      <c r="E416" s="199"/>
      <c r="F416" s="199"/>
      <c r="G416" s="199"/>
      <c r="H416" s="199"/>
      <c r="I416" s="199"/>
      <c r="J416" s="199"/>
      <c r="K416" s="199"/>
      <c r="L416" s="197"/>
      <c r="M416" s="197"/>
      <c r="N416" s="197"/>
      <c r="O416" s="197"/>
      <c r="P416" s="197"/>
      <c r="Q416" s="197"/>
      <c r="W416" s="197"/>
    </row>
    <row r="417" spans="1:23">
      <c r="A417" s="196"/>
      <c r="B417" s="197"/>
      <c r="C417" s="198"/>
      <c r="D417" s="198"/>
      <c r="E417" s="199"/>
      <c r="F417" s="199"/>
      <c r="G417" s="199"/>
      <c r="H417" s="199"/>
      <c r="I417" s="199"/>
      <c r="J417" s="199"/>
      <c r="K417" s="199"/>
      <c r="L417" s="197"/>
      <c r="M417" s="197"/>
      <c r="N417" s="197"/>
      <c r="O417" s="197"/>
      <c r="P417" s="197"/>
      <c r="Q417" s="197"/>
      <c r="W417" s="197"/>
    </row>
    <row r="418" spans="1:23">
      <c r="A418" s="196"/>
      <c r="B418" s="197"/>
      <c r="C418" s="198"/>
      <c r="D418" s="198"/>
      <c r="E418" s="199"/>
      <c r="F418" s="199"/>
      <c r="G418" s="199"/>
      <c r="H418" s="199"/>
      <c r="I418" s="199"/>
      <c r="J418" s="199"/>
      <c r="K418" s="199"/>
      <c r="L418" s="197"/>
      <c r="M418" s="197"/>
      <c r="N418" s="197"/>
      <c r="O418" s="197"/>
      <c r="P418" s="197"/>
      <c r="Q418" s="197"/>
      <c r="W418" s="197"/>
    </row>
    <row r="419" spans="1:23">
      <c r="A419" s="196"/>
      <c r="B419" s="197"/>
      <c r="C419" s="198"/>
      <c r="D419" s="198"/>
      <c r="E419" s="199"/>
      <c r="F419" s="199"/>
      <c r="G419" s="199"/>
      <c r="H419" s="199"/>
      <c r="I419" s="199"/>
      <c r="J419" s="199"/>
      <c r="K419" s="199"/>
      <c r="L419" s="197"/>
      <c r="M419" s="197"/>
      <c r="N419" s="197"/>
      <c r="O419" s="197"/>
      <c r="P419" s="197"/>
      <c r="Q419" s="197"/>
      <c r="W419" s="197"/>
    </row>
    <row r="420" spans="1:23">
      <c r="A420" s="196"/>
      <c r="B420" s="197"/>
      <c r="C420" s="198"/>
      <c r="D420" s="198"/>
      <c r="E420" s="199"/>
      <c r="F420" s="199"/>
      <c r="G420" s="199"/>
      <c r="H420" s="199"/>
      <c r="I420" s="199"/>
      <c r="J420" s="199"/>
      <c r="K420" s="199"/>
      <c r="L420" s="197"/>
      <c r="M420" s="197"/>
      <c r="N420" s="197"/>
      <c r="O420" s="197"/>
      <c r="P420" s="197"/>
      <c r="Q420" s="197"/>
      <c r="W420" s="197"/>
    </row>
    <row r="421" spans="1:23">
      <c r="A421" s="196"/>
      <c r="B421" s="197"/>
      <c r="C421" s="198"/>
      <c r="D421" s="198"/>
      <c r="E421" s="199"/>
      <c r="F421" s="199"/>
      <c r="G421" s="199"/>
      <c r="H421" s="199"/>
      <c r="I421" s="199"/>
      <c r="J421" s="199"/>
      <c r="K421" s="199"/>
      <c r="L421" s="197"/>
      <c r="M421" s="197"/>
      <c r="N421" s="197"/>
      <c r="O421" s="197"/>
      <c r="P421" s="197"/>
      <c r="Q421" s="197"/>
      <c r="W421" s="197"/>
    </row>
    <row r="422" spans="1:23">
      <c r="A422" s="196"/>
      <c r="B422" s="197"/>
      <c r="C422" s="198"/>
      <c r="D422" s="198"/>
      <c r="E422" s="199"/>
      <c r="F422" s="199"/>
      <c r="G422" s="199"/>
      <c r="H422" s="199"/>
      <c r="I422" s="199"/>
      <c r="J422" s="199"/>
      <c r="K422" s="199"/>
      <c r="L422" s="197"/>
      <c r="M422" s="197"/>
      <c r="N422" s="197"/>
      <c r="O422" s="197"/>
      <c r="P422" s="197"/>
      <c r="Q422" s="197"/>
      <c r="W422" s="197"/>
    </row>
    <row r="423" spans="1:23">
      <c r="A423" s="196"/>
      <c r="B423" s="197"/>
      <c r="C423" s="198"/>
      <c r="D423" s="198"/>
      <c r="E423" s="199"/>
      <c r="F423" s="199"/>
      <c r="G423" s="199"/>
      <c r="H423" s="199"/>
      <c r="I423" s="199"/>
      <c r="J423" s="199"/>
      <c r="K423" s="199"/>
      <c r="L423" s="197"/>
      <c r="M423" s="197"/>
      <c r="N423" s="197"/>
      <c r="O423" s="197"/>
      <c r="P423" s="197"/>
      <c r="Q423" s="197"/>
      <c r="W423" s="197"/>
    </row>
    <row r="424" spans="1:23">
      <c r="A424" s="196"/>
      <c r="B424" s="197"/>
      <c r="C424" s="198"/>
      <c r="D424" s="198"/>
      <c r="E424" s="199"/>
      <c r="F424" s="199"/>
      <c r="G424" s="199"/>
      <c r="H424" s="199"/>
      <c r="I424" s="199"/>
      <c r="J424" s="199"/>
      <c r="K424" s="199"/>
      <c r="L424" s="197"/>
      <c r="M424" s="197"/>
      <c r="N424" s="197"/>
      <c r="O424" s="197"/>
      <c r="P424" s="197"/>
      <c r="Q424" s="197"/>
      <c r="W424" s="197"/>
    </row>
    <row r="425" spans="1:23">
      <c r="A425" s="196"/>
      <c r="B425" s="197"/>
      <c r="C425" s="198"/>
      <c r="D425" s="198"/>
      <c r="E425" s="199"/>
      <c r="F425" s="199"/>
      <c r="G425" s="199"/>
      <c r="H425" s="199"/>
      <c r="I425" s="199"/>
      <c r="J425" s="199"/>
      <c r="K425" s="199"/>
      <c r="L425" s="197"/>
      <c r="M425" s="197"/>
      <c r="N425" s="197"/>
      <c r="O425" s="197"/>
      <c r="P425" s="197"/>
      <c r="Q425" s="197"/>
      <c r="W425" s="197"/>
    </row>
    <row r="426" spans="1:23">
      <c r="A426" s="196"/>
      <c r="B426" s="197"/>
      <c r="C426" s="198"/>
      <c r="D426" s="198"/>
      <c r="E426" s="199"/>
      <c r="F426" s="199"/>
      <c r="G426" s="199"/>
      <c r="H426" s="199"/>
      <c r="I426" s="199"/>
      <c r="J426" s="199"/>
      <c r="K426" s="199"/>
      <c r="L426" s="197"/>
      <c r="M426" s="197"/>
      <c r="N426" s="197"/>
      <c r="O426" s="197"/>
      <c r="P426" s="197"/>
      <c r="Q426" s="197"/>
      <c r="W426" s="197"/>
    </row>
    <row r="427" spans="1:23">
      <c r="A427" s="196"/>
      <c r="B427" s="197"/>
      <c r="C427" s="198"/>
      <c r="D427" s="198"/>
      <c r="E427" s="199"/>
      <c r="F427" s="199"/>
      <c r="G427" s="199"/>
      <c r="H427" s="199"/>
      <c r="I427" s="199"/>
      <c r="J427" s="199"/>
      <c r="K427" s="199"/>
      <c r="L427" s="197"/>
      <c r="M427" s="197"/>
      <c r="N427" s="197"/>
      <c r="O427" s="197"/>
      <c r="P427" s="197"/>
      <c r="Q427" s="197"/>
      <c r="W427" s="197"/>
    </row>
    <row r="428" spans="1:23">
      <c r="A428" s="196"/>
      <c r="B428" s="197"/>
      <c r="C428" s="198"/>
      <c r="D428" s="198"/>
      <c r="E428" s="199"/>
      <c r="F428" s="199"/>
      <c r="G428" s="199"/>
      <c r="H428" s="199"/>
      <c r="I428" s="199"/>
      <c r="J428" s="199"/>
      <c r="K428" s="199"/>
      <c r="L428" s="197"/>
      <c r="M428" s="197"/>
      <c r="N428" s="197"/>
      <c r="O428" s="197"/>
      <c r="P428" s="197"/>
      <c r="Q428" s="197"/>
      <c r="W428" s="197"/>
    </row>
    <row r="429" spans="1:23">
      <c r="A429" s="196"/>
      <c r="B429" s="197"/>
      <c r="C429" s="198"/>
      <c r="D429" s="198"/>
      <c r="E429" s="199"/>
      <c r="F429" s="199"/>
      <c r="G429" s="199"/>
      <c r="H429" s="199"/>
      <c r="I429" s="199"/>
      <c r="J429" s="199"/>
      <c r="K429" s="199"/>
      <c r="L429" s="197"/>
      <c r="M429" s="197"/>
      <c r="N429" s="197"/>
      <c r="O429" s="197"/>
      <c r="P429" s="197"/>
      <c r="Q429" s="197"/>
      <c r="W429" s="197"/>
    </row>
    <row r="430" spans="1:23">
      <c r="A430" s="196"/>
      <c r="B430" s="197"/>
      <c r="C430" s="198"/>
      <c r="D430" s="198"/>
      <c r="E430" s="199"/>
      <c r="F430" s="199"/>
      <c r="G430" s="199"/>
      <c r="H430" s="199"/>
      <c r="I430" s="199"/>
      <c r="J430" s="199"/>
      <c r="K430" s="199"/>
      <c r="L430" s="197"/>
      <c r="M430" s="197"/>
      <c r="N430" s="197"/>
      <c r="O430" s="197"/>
      <c r="P430" s="197"/>
      <c r="Q430" s="197"/>
      <c r="W430" s="197"/>
    </row>
    <row r="431" spans="1:23">
      <c r="A431" s="196"/>
      <c r="B431" s="197"/>
      <c r="C431" s="198"/>
      <c r="D431" s="198"/>
      <c r="E431" s="199"/>
      <c r="F431" s="199"/>
      <c r="G431" s="199"/>
      <c r="H431" s="199"/>
      <c r="I431" s="199"/>
      <c r="J431" s="199"/>
      <c r="K431" s="199"/>
      <c r="L431" s="197"/>
      <c r="M431" s="197"/>
      <c r="N431" s="197"/>
      <c r="O431" s="197"/>
      <c r="P431" s="197"/>
      <c r="Q431" s="197"/>
      <c r="W431" s="197"/>
    </row>
    <row r="432" spans="1:23">
      <c r="A432" s="196"/>
      <c r="B432" s="197"/>
      <c r="C432" s="198"/>
      <c r="D432" s="198"/>
      <c r="E432" s="199"/>
      <c r="F432" s="199"/>
      <c r="G432" s="199"/>
      <c r="H432" s="199"/>
      <c r="I432" s="199"/>
      <c r="J432" s="199"/>
      <c r="K432" s="199"/>
      <c r="L432" s="197"/>
      <c r="M432" s="197"/>
      <c r="N432" s="197"/>
      <c r="O432" s="197"/>
      <c r="P432" s="197"/>
      <c r="Q432" s="197"/>
      <c r="W432" s="197"/>
    </row>
    <row r="433" spans="1:23">
      <c r="A433" s="196"/>
      <c r="B433" s="197"/>
      <c r="C433" s="198"/>
      <c r="D433" s="198"/>
      <c r="E433" s="199"/>
      <c r="F433" s="199"/>
      <c r="G433" s="199"/>
      <c r="H433" s="199"/>
      <c r="I433" s="199"/>
      <c r="J433" s="199"/>
      <c r="K433" s="199"/>
      <c r="L433" s="197"/>
      <c r="M433" s="197"/>
      <c r="N433" s="197"/>
      <c r="O433" s="197"/>
      <c r="P433" s="197"/>
      <c r="Q433" s="197"/>
      <c r="W433" s="197"/>
    </row>
    <row r="434" spans="1:23">
      <c r="A434" s="196"/>
      <c r="B434" s="197"/>
      <c r="C434" s="198"/>
      <c r="D434" s="198"/>
      <c r="E434" s="199"/>
      <c r="F434" s="199"/>
      <c r="G434" s="199"/>
      <c r="H434" s="199"/>
      <c r="I434" s="199"/>
      <c r="J434" s="199"/>
      <c r="K434" s="199"/>
      <c r="L434" s="197"/>
      <c r="M434" s="197"/>
      <c r="N434" s="197"/>
      <c r="O434" s="197"/>
      <c r="P434" s="197"/>
      <c r="Q434" s="197"/>
      <c r="W434" s="197"/>
    </row>
    <row r="435" spans="1:23">
      <c r="A435" s="196"/>
      <c r="B435" s="197"/>
      <c r="C435" s="198"/>
      <c r="D435" s="198"/>
      <c r="E435" s="199"/>
      <c r="F435" s="199"/>
      <c r="G435" s="199"/>
      <c r="H435" s="199"/>
      <c r="I435" s="199"/>
      <c r="J435" s="199"/>
      <c r="K435" s="199"/>
      <c r="L435" s="197"/>
      <c r="M435" s="197"/>
      <c r="N435" s="197"/>
      <c r="O435" s="197"/>
      <c r="P435" s="197"/>
      <c r="Q435" s="197"/>
      <c r="W435" s="197"/>
    </row>
    <row r="436" spans="1:23">
      <c r="A436" s="196"/>
      <c r="B436" s="197"/>
      <c r="C436" s="198"/>
      <c r="D436" s="198"/>
      <c r="E436" s="199"/>
      <c r="F436" s="199"/>
      <c r="G436" s="199"/>
      <c r="H436" s="199"/>
      <c r="I436" s="199"/>
      <c r="J436" s="199"/>
      <c r="K436" s="199"/>
      <c r="L436" s="197"/>
      <c r="M436" s="197"/>
      <c r="N436" s="197"/>
      <c r="O436" s="197"/>
      <c r="P436" s="197"/>
      <c r="Q436" s="197"/>
      <c r="W436" s="197"/>
    </row>
    <row r="437" spans="1:23">
      <c r="A437" s="196"/>
      <c r="B437" s="197"/>
      <c r="C437" s="198"/>
      <c r="D437" s="198"/>
      <c r="E437" s="199"/>
      <c r="F437" s="199"/>
      <c r="G437" s="199"/>
      <c r="H437" s="199"/>
      <c r="I437" s="199"/>
      <c r="J437" s="199"/>
      <c r="K437" s="199"/>
      <c r="L437" s="197"/>
      <c r="M437" s="197"/>
      <c r="N437" s="197"/>
      <c r="O437" s="197"/>
      <c r="P437" s="197"/>
      <c r="Q437" s="197"/>
      <c r="W437" s="197"/>
    </row>
    <row r="438" spans="1:23">
      <c r="A438" s="196"/>
      <c r="B438" s="197"/>
      <c r="C438" s="198"/>
      <c r="D438" s="198"/>
      <c r="E438" s="199"/>
      <c r="F438" s="199"/>
      <c r="G438" s="199"/>
      <c r="H438" s="199"/>
      <c r="I438" s="199"/>
      <c r="J438" s="199"/>
      <c r="K438" s="199"/>
      <c r="L438" s="197"/>
      <c r="M438" s="197"/>
      <c r="N438" s="197"/>
      <c r="O438" s="197"/>
      <c r="P438" s="197"/>
      <c r="Q438" s="197"/>
      <c r="W438" s="197"/>
    </row>
    <row r="439" spans="1:23">
      <c r="A439" s="196"/>
      <c r="B439" s="197"/>
      <c r="C439" s="198"/>
      <c r="D439" s="198"/>
      <c r="E439" s="199"/>
      <c r="F439" s="199"/>
      <c r="G439" s="199"/>
      <c r="H439" s="199"/>
      <c r="I439" s="199"/>
      <c r="J439" s="199"/>
      <c r="K439" s="199"/>
      <c r="L439" s="197"/>
      <c r="M439" s="197"/>
      <c r="N439" s="197"/>
      <c r="O439" s="197"/>
      <c r="P439" s="197"/>
      <c r="Q439" s="197"/>
      <c r="W439" s="197"/>
    </row>
    <row r="440" spans="1:23">
      <c r="A440" s="196"/>
      <c r="B440" s="197"/>
      <c r="C440" s="198"/>
      <c r="D440" s="198"/>
      <c r="E440" s="199"/>
      <c r="F440" s="199"/>
      <c r="G440" s="199"/>
      <c r="H440" s="199"/>
      <c r="I440" s="199"/>
      <c r="J440" s="199"/>
      <c r="K440" s="199"/>
      <c r="L440" s="197"/>
      <c r="M440" s="197"/>
      <c r="N440" s="197"/>
      <c r="O440" s="197"/>
      <c r="P440" s="197"/>
      <c r="Q440" s="197"/>
      <c r="W440" s="197"/>
    </row>
    <row r="441" spans="1:23">
      <c r="A441" s="196"/>
      <c r="B441" s="197"/>
      <c r="C441" s="198"/>
      <c r="D441" s="198"/>
      <c r="E441" s="199"/>
      <c r="F441" s="199"/>
      <c r="G441" s="199"/>
      <c r="H441" s="199"/>
      <c r="I441" s="199"/>
      <c r="J441" s="199"/>
      <c r="K441" s="199"/>
      <c r="L441" s="197"/>
      <c r="M441" s="197"/>
      <c r="N441" s="197"/>
      <c r="O441" s="197"/>
      <c r="P441" s="197"/>
      <c r="Q441" s="197"/>
      <c r="W441" s="197"/>
    </row>
    <row r="442" spans="1:23">
      <c r="A442" s="196"/>
      <c r="B442" s="197"/>
      <c r="C442" s="198"/>
      <c r="D442" s="198"/>
      <c r="E442" s="199"/>
      <c r="F442" s="199"/>
      <c r="G442" s="199"/>
      <c r="H442" s="199"/>
      <c r="I442" s="199"/>
      <c r="J442" s="199"/>
      <c r="K442" s="199"/>
      <c r="L442" s="197"/>
      <c r="M442" s="197"/>
      <c r="N442" s="197"/>
      <c r="O442" s="197"/>
      <c r="P442" s="197"/>
      <c r="Q442" s="197"/>
      <c r="W442" s="197"/>
    </row>
    <row r="443" spans="1:23">
      <c r="A443" s="196"/>
      <c r="B443" s="197"/>
      <c r="C443" s="198"/>
      <c r="D443" s="198"/>
      <c r="E443" s="199"/>
      <c r="F443" s="199"/>
      <c r="G443" s="199"/>
      <c r="H443" s="199"/>
      <c r="I443" s="199"/>
      <c r="J443" s="199"/>
      <c r="K443" s="199"/>
      <c r="L443" s="197"/>
      <c r="M443" s="197"/>
      <c r="N443" s="197"/>
      <c r="O443" s="197"/>
      <c r="P443" s="197"/>
      <c r="Q443" s="197"/>
      <c r="W443" s="197"/>
    </row>
    <row r="444" spans="1:23">
      <c r="A444" s="196"/>
      <c r="B444" s="197"/>
      <c r="C444" s="198"/>
      <c r="D444" s="198"/>
      <c r="E444" s="199"/>
      <c r="F444" s="199"/>
      <c r="G444" s="199"/>
      <c r="H444" s="199"/>
      <c r="I444" s="199"/>
      <c r="J444" s="199"/>
      <c r="K444" s="199"/>
      <c r="L444" s="197"/>
      <c r="M444" s="197"/>
      <c r="N444" s="197"/>
      <c r="O444" s="197"/>
      <c r="P444" s="197"/>
      <c r="Q444" s="197"/>
      <c r="W444" s="197"/>
    </row>
    <row r="445" spans="1:23">
      <c r="A445" s="196"/>
      <c r="B445" s="197"/>
      <c r="C445" s="198"/>
      <c r="D445" s="198"/>
      <c r="E445" s="199"/>
      <c r="F445" s="199"/>
      <c r="G445" s="199"/>
      <c r="H445" s="199"/>
      <c r="I445" s="199"/>
      <c r="J445" s="199"/>
      <c r="K445" s="199"/>
      <c r="L445" s="197"/>
      <c r="M445" s="197"/>
      <c r="N445" s="197"/>
      <c r="O445" s="197"/>
      <c r="P445" s="197"/>
      <c r="Q445" s="197"/>
      <c r="W445" s="197"/>
    </row>
    <row r="446" spans="1:23">
      <c r="A446" s="196"/>
      <c r="B446" s="197"/>
      <c r="C446" s="198"/>
      <c r="D446" s="198"/>
      <c r="E446" s="199"/>
      <c r="F446" s="199"/>
      <c r="G446" s="199"/>
      <c r="H446" s="199"/>
      <c r="I446" s="199"/>
      <c r="J446" s="199"/>
      <c r="K446" s="199"/>
      <c r="L446" s="197"/>
      <c r="M446" s="197"/>
      <c r="N446" s="197"/>
      <c r="O446" s="197"/>
      <c r="P446" s="197"/>
      <c r="Q446" s="197"/>
      <c r="W446" s="197"/>
    </row>
    <row r="447" spans="1:23">
      <c r="A447" s="196"/>
      <c r="B447" s="197"/>
      <c r="C447" s="198"/>
      <c r="D447" s="198"/>
      <c r="E447" s="199"/>
      <c r="F447" s="199"/>
      <c r="G447" s="199"/>
      <c r="H447" s="199"/>
      <c r="I447" s="199"/>
      <c r="J447" s="199"/>
      <c r="K447" s="199"/>
      <c r="L447" s="197"/>
      <c r="M447" s="197"/>
      <c r="N447" s="197"/>
      <c r="O447" s="197"/>
      <c r="P447" s="197"/>
      <c r="Q447" s="197"/>
      <c r="W447" s="197"/>
    </row>
    <row r="448" spans="1:23">
      <c r="A448" s="196"/>
      <c r="B448" s="197"/>
      <c r="C448" s="198"/>
      <c r="D448" s="198"/>
      <c r="E448" s="199"/>
      <c r="F448" s="199"/>
      <c r="G448" s="199"/>
      <c r="H448" s="199"/>
      <c r="I448" s="199"/>
      <c r="J448" s="199"/>
      <c r="K448" s="199"/>
      <c r="L448" s="197"/>
      <c r="M448" s="197"/>
      <c r="N448" s="197"/>
      <c r="O448" s="197"/>
      <c r="P448" s="197"/>
      <c r="Q448" s="197"/>
      <c r="W448" s="197"/>
    </row>
    <row r="449" spans="1:23">
      <c r="A449" s="196"/>
      <c r="B449" s="197"/>
      <c r="C449" s="198"/>
      <c r="D449" s="198"/>
      <c r="E449" s="199"/>
      <c r="F449" s="199"/>
      <c r="G449" s="199"/>
      <c r="H449" s="199"/>
      <c r="I449" s="199"/>
      <c r="J449" s="199"/>
      <c r="K449" s="199"/>
      <c r="L449" s="197"/>
      <c r="M449" s="197"/>
      <c r="N449" s="197"/>
      <c r="O449" s="197"/>
      <c r="P449" s="197"/>
      <c r="Q449" s="197"/>
      <c r="W449" s="197"/>
    </row>
    <row r="450" spans="1:23">
      <c r="A450" s="196"/>
      <c r="B450" s="197"/>
      <c r="C450" s="198"/>
      <c r="D450" s="198"/>
      <c r="E450" s="199"/>
      <c r="F450" s="199"/>
      <c r="G450" s="199"/>
      <c r="H450" s="199"/>
      <c r="I450" s="199"/>
      <c r="J450" s="199"/>
      <c r="K450" s="199"/>
      <c r="L450" s="197"/>
      <c r="M450" s="197"/>
      <c r="N450" s="197"/>
      <c r="O450" s="197"/>
      <c r="P450" s="197"/>
      <c r="Q450" s="197"/>
      <c r="W450" s="197"/>
    </row>
    <row r="451" spans="1:23">
      <c r="A451" s="196"/>
      <c r="B451" s="197"/>
      <c r="C451" s="198"/>
      <c r="D451" s="198"/>
      <c r="E451" s="199"/>
      <c r="F451" s="199"/>
      <c r="G451" s="199"/>
      <c r="H451" s="199"/>
      <c r="I451" s="199"/>
      <c r="J451" s="199"/>
      <c r="K451" s="199"/>
      <c r="L451" s="197"/>
      <c r="M451" s="197"/>
      <c r="N451" s="197"/>
      <c r="O451" s="197"/>
      <c r="P451" s="197"/>
      <c r="Q451" s="197"/>
      <c r="W451" s="197"/>
    </row>
    <row r="452" spans="1:23">
      <c r="A452" s="196"/>
      <c r="B452" s="197"/>
      <c r="C452" s="198"/>
      <c r="D452" s="198"/>
      <c r="E452" s="199"/>
      <c r="F452" s="199"/>
      <c r="G452" s="199"/>
      <c r="H452" s="199"/>
      <c r="I452" s="199"/>
      <c r="J452" s="199"/>
      <c r="K452" s="199"/>
      <c r="L452" s="197"/>
      <c r="M452" s="197"/>
      <c r="N452" s="197"/>
      <c r="O452" s="197"/>
      <c r="P452" s="197"/>
      <c r="Q452" s="197"/>
      <c r="W452" s="197"/>
    </row>
    <row r="453" spans="1:23">
      <c r="A453" s="196"/>
      <c r="B453" s="197"/>
      <c r="C453" s="198"/>
      <c r="D453" s="198"/>
      <c r="E453" s="199"/>
      <c r="F453" s="199"/>
      <c r="G453" s="199"/>
      <c r="H453" s="199"/>
      <c r="I453" s="199"/>
      <c r="J453" s="199"/>
      <c r="K453" s="199"/>
      <c r="L453" s="197"/>
      <c r="M453" s="197"/>
      <c r="N453" s="197"/>
      <c r="O453" s="197"/>
      <c r="P453" s="197"/>
      <c r="Q453" s="197"/>
      <c r="W453" s="197"/>
    </row>
    <row r="454" spans="1:23">
      <c r="A454" s="196"/>
      <c r="B454" s="197"/>
      <c r="C454" s="198"/>
      <c r="D454" s="198"/>
      <c r="E454" s="199"/>
      <c r="F454" s="199"/>
      <c r="G454" s="199"/>
      <c r="H454" s="199"/>
      <c r="I454" s="199"/>
      <c r="J454" s="199"/>
      <c r="K454" s="199"/>
      <c r="L454" s="197"/>
      <c r="M454" s="197"/>
      <c r="N454" s="197"/>
      <c r="O454" s="197"/>
      <c r="P454" s="197"/>
      <c r="Q454" s="197"/>
      <c r="W454" s="197"/>
    </row>
    <row r="455" spans="1:23">
      <c r="A455" s="196"/>
      <c r="B455" s="197"/>
      <c r="C455" s="198"/>
      <c r="D455" s="198"/>
      <c r="E455" s="199"/>
      <c r="F455" s="199"/>
      <c r="G455" s="199"/>
      <c r="H455" s="199"/>
      <c r="I455" s="199"/>
      <c r="J455" s="199"/>
      <c r="K455" s="199"/>
      <c r="L455" s="197"/>
      <c r="M455" s="197"/>
      <c r="N455" s="197"/>
      <c r="O455" s="197"/>
      <c r="P455" s="197"/>
      <c r="Q455" s="197"/>
      <c r="W455" s="197"/>
    </row>
    <row r="456" spans="1:23">
      <c r="A456" s="196"/>
      <c r="B456" s="197"/>
      <c r="C456" s="198"/>
      <c r="D456" s="198"/>
      <c r="E456" s="199"/>
      <c r="F456" s="199"/>
      <c r="G456" s="199"/>
      <c r="H456" s="199"/>
      <c r="I456" s="199"/>
      <c r="J456" s="199"/>
      <c r="K456" s="199"/>
      <c r="L456" s="197"/>
      <c r="M456" s="197"/>
      <c r="N456" s="197"/>
      <c r="O456" s="197"/>
      <c r="P456" s="197"/>
      <c r="Q456" s="197"/>
      <c r="W456" s="197"/>
    </row>
    <row r="457" spans="1:23">
      <c r="A457" s="196"/>
      <c r="B457" s="197"/>
      <c r="C457" s="198"/>
      <c r="D457" s="198"/>
      <c r="E457" s="199"/>
      <c r="F457" s="199"/>
      <c r="G457" s="199"/>
      <c r="H457" s="199"/>
      <c r="I457" s="199"/>
      <c r="J457" s="199"/>
      <c r="K457" s="199"/>
      <c r="L457" s="197"/>
      <c r="M457" s="197"/>
      <c r="N457" s="197"/>
      <c r="O457" s="197"/>
      <c r="P457" s="197"/>
      <c r="Q457" s="197"/>
      <c r="W457" s="197"/>
    </row>
    <row r="458" spans="1:23">
      <c r="A458" s="196"/>
      <c r="B458" s="197"/>
      <c r="C458" s="198"/>
      <c r="D458" s="198"/>
      <c r="E458" s="199"/>
      <c r="F458" s="199"/>
      <c r="G458" s="199"/>
      <c r="H458" s="199"/>
      <c r="I458" s="199"/>
      <c r="J458" s="199"/>
      <c r="K458" s="199"/>
      <c r="L458" s="197"/>
      <c r="M458" s="197"/>
      <c r="N458" s="197"/>
      <c r="O458" s="197"/>
      <c r="P458" s="197"/>
      <c r="Q458" s="197"/>
      <c r="W458" s="197"/>
    </row>
    <row r="459" spans="1:23">
      <c r="A459" s="196"/>
      <c r="B459" s="197"/>
      <c r="C459" s="198"/>
      <c r="D459" s="198"/>
      <c r="E459" s="199"/>
      <c r="F459" s="199"/>
      <c r="G459" s="199"/>
      <c r="H459" s="199"/>
      <c r="I459" s="199"/>
      <c r="J459" s="199"/>
      <c r="K459" s="199"/>
      <c r="L459" s="197"/>
      <c r="M459" s="197"/>
      <c r="N459" s="197"/>
      <c r="O459" s="197"/>
      <c r="P459" s="197"/>
      <c r="Q459" s="197"/>
      <c r="W459" s="197"/>
    </row>
    <row r="460" spans="1:23">
      <c r="A460" s="196"/>
      <c r="B460" s="197"/>
      <c r="C460" s="198"/>
      <c r="D460" s="198"/>
      <c r="E460" s="199"/>
      <c r="F460" s="199"/>
      <c r="G460" s="199"/>
      <c r="H460" s="199"/>
      <c r="I460" s="199"/>
      <c r="J460" s="199"/>
      <c r="K460" s="199"/>
      <c r="L460" s="197"/>
      <c r="M460" s="197"/>
      <c r="N460" s="197"/>
      <c r="O460" s="197"/>
      <c r="P460" s="197"/>
      <c r="Q460" s="197"/>
      <c r="W460" s="197"/>
    </row>
    <row r="461" spans="1:23">
      <c r="A461" s="196"/>
      <c r="B461" s="197"/>
      <c r="C461" s="198"/>
      <c r="D461" s="198"/>
      <c r="E461" s="199"/>
      <c r="F461" s="199"/>
      <c r="G461" s="199"/>
      <c r="H461" s="199"/>
      <c r="I461" s="199"/>
      <c r="J461" s="199"/>
      <c r="K461" s="199"/>
      <c r="L461" s="197"/>
      <c r="M461" s="197"/>
      <c r="N461" s="197"/>
      <c r="O461" s="197"/>
      <c r="P461" s="197"/>
      <c r="Q461" s="197"/>
      <c r="W461" s="197"/>
    </row>
    <row r="462" spans="1:23">
      <c r="A462" s="196"/>
      <c r="B462" s="197"/>
      <c r="C462" s="198"/>
      <c r="D462" s="198"/>
      <c r="E462" s="199"/>
      <c r="F462" s="199"/>
      <c r="G462" s="199"/>
      <c r="H462" s="199"/>
      <c r="I462" s="199"/>
      <c r="J462" s="199"/>
      <c r="K462" s="199"/>
      <c r="L462" s="197"/>
      <c r="M462" s="197"/>
      <c r="N462" s="197"/>
      <c r="O462" s="197"/>
      <c r="P462" s="197"/>
      <c r="Q462" s="197"/>
      <c r="W462" s="197"/>
    </row>
    <row r="463" spans="1:23">
      <c r="A463" s="196"/>
      <c r="B463" s="197"/>
      <c r="C463" s="198"/>
      <c r="D463" s="198"/>
      <c r="E463" s="199"/>
      <c r="F463" s="199"/>
      <c r="G463" s="199"/>
      <c r="H463" s="199"/>
      <c r="I463" s="199"/>
      <c r="J463" s="199"/>
      <c r="K463" s="199"/>
      <c r="L463" s="197"/>
      <c r="M463" s="197"/>
      <c r="N463" s="197"/>
      <c r="O463" s="197"/>
      <c r="P463" s="197"/>
      <c r="Q463" s="197"/>
      <c r="W463" s="197"/>
    </row>
    <row r="464" spans="1:23">
      <c r="A464" s="196"/>
      <c r="B464" s="197"/>
      <c r="C464" s="198"/>
      <c r="D464" s="198"/>
      <c r="E464" s="199"/>
      <c r="F464" s="199"/>
      <c r="G464" s="199"/>
      <c r="H464" s="199"/>
      <c r="I464" s="199"/>
      <c r="J464" s="199"/>
      <c r="K464" s="199"/>
      <c r="L464" s="197"/>
      <c r="M464" s="197"/>
      <c r="N464" s="197"/>
      <c r="O464" s="197"/>
      <c r="P464" s="197"/>
      <c r="Q464" s="197"/>
      <c r="W464" s="197"/>
    </row>
    <row r="465" spans="1:23">
      <c r="A465" s="196"/>
      <c r="B465" s="197"/>
      <c r="C465" s="198"/>
      <c r="D465" s="198"/>
      <c r="E465" s="199"/>
      <c r="F465" s="199"/>
      <c r="G465" s="199"/>
      <c r="H465" s="199"/>
      <c r="I465" s="199"/>
      <c r="J465" s="199"/>
      <c r="K465" s="199"/>
      <c r="L465" s="197"/>
      <c r="M465" s="197"/>
      <c r="N465" s="197"/>
      <c r="O465" s="197"/>
      <c r="P465" s="197"/>
      <c r="Q465" s="197"/>
      <c r="W465" s="197"/>
    </row>
    <row r="466" spans="1:23">
      <c r="A466" s="196"/>
      <c r="B466" s="197"/>
      <c r="C466" s="198"/>
      <c r="D466" s="198"/>
      <c r="E466" s="199"/>
      <c r="F466" s="199"/>
      <c r="G466" s="199"/>
      <c r="H466" s="199"/>
      <c r="I466" s="199"/>
      <c r="J466" s="199"/>
      <c r="K466" s="199"/>
      <c r="L466" s="197"/>
      <c r="M466" s="197"/>
      <c r="N466" s="197"/>
      <c r="O466" s="197"/>
      <c r="P466" s="197"/>
      <c r="Q466" s="197"/>
      <c r="W466" s="197"/>
    </row>
    <row r="467" spans="1:23">
      <c r="A467" s="196"/>
      <c r="B467" s="197"/>
      <c r="C467" s="198"/>
      <c r="D467" s="198"/>
      <c r="E467" s="199"/>
      <c r="F467" s="199"/>
      <c r="G467" s="199"/>
      <c r="H467" s="199"/>
      <c r="I467" s="199"/>
      <c r="J467" s="199"/>
      <c r="K467" s="199"/>
      <c r="L467" s="197"/>
      <c r="M467" s="197"/>
      <c r="N467" s="197"/>
      <c r="O467" s="197"/>
      <c r="P467" s="197"/>
      <c r="Q467" s="197"/>
      <c r="W467" s="197"/>
    </row>
    <row r="468" spans="1:23">
      <c r="A468" s="196"/>
      <c r="B468" s="197"/>
      <c r="C468" s="198"/>
      <c r="D468" s="198"/>
      <c r="E468" s="199"/>
      <c r="F468" s="199"/>
      <c r="G468" s="199"/>
      <c r="H468" s="199"/>
      <c r="I468" s="199"/>
      <c r="J468" s="199"/>
      <c r="K468" s="199"/>
      <c r="L468" s="197"/>
      <c r="M468" s="197"/>
      <c r="N468" s="197"/>
      <c r="O468" s="197"/>
      <c r="P468" s="197"/>
      <c r="Q468" s="197"/>
      <c r="W468" s="197"/>
    </row>
    <row r="469" spans="1:23">
      <c r="A469" s="196"/>
      <c r="B469" s="197"/>
      <c r="C469" s="198"/>
      <c r="D469" s="198"/>
      <c r="E469" s="199"/>
      <c r="F469" s="199"/>
      <c r="G469" s="199"/>
      <c r="H469" s="199"/>
      <c r="I469" s="199"/>
      <c r="J469" s="199"/>
      <c r="K469" s="199"/>
      <c r="L469" s="197"/>
      <c r="M469" s="197"/>
      <c r="N469" s="197"/>
      <c r="O469" s="197"/>
      <c r="P469" s="197"/>
      <c r="Q469" s="197"/>
      <c r="W469" s="197"/>
    </row>
    <row r="470" spans="1:23">
      <c r="A470" s="196"/>
      <c r="B470" s="197"/>
      <c r="C470" s="198"/>
      <c r="D470" s="198"/>
      <c r="E470" s="199"/>
      <c r="F470" s="199"/>
      <c r="G470" s="199"/>
      <c r="H470" s="199"/>
      <c r="I470" s="199"/>
      <c r="J470" s="199"/>
      <c r="K470" s="199"/>
      <c r="L470" s="197"/>
      <c r="M470" s="197"/>
      <c r="N470" s="197"/>
      <c r="O470" s="197"/>
      <c r="P470" s="197"/>
      <c r="Q470" s="197"/>
      <c r="W470" s="197"/>
    </row>
    <row r="471" spans="1:23">
      <c r="A471" s="196"/>
      <c r="B471" s="197"/>
      <c r="C471" s="198"/>
      <c r="D471" s="198"/>
      <c r="E471" s="199"/>
      <c r="F471" s="199"/>
      <c r="G471" s="199"/>
      <c r="H471" s="199"/>
      <c r="I471" s="199"/>
      <c r="J471" s="199"/>
      <c r="K471" s="199"/>
      <c r="L471" s="197"/>
      <c r="M471" s="197"/>
      <c r="N471" s="197"/>
      <c r="O471" s="197"/>
      <c r="P471" s="197"/>
      <c r="Q471" s="197"/>
      <c r="W471" s="197"/>
    </row>
    <row r="472" spans="1:23">
      <c r="A472" s="196"/>
      <c r="B472" s="197"/>
      <c r="C472" s="198"/>
      <c r="D472" s="198"/>
      <c r="E472" s="199"/>
      <c r="F472" s="199"/>
      <c r="G472" s="199"/>
      <c r="H472" s="199"/>
      <c r="I472" s="199"/>
      <c r="J472" s="199"/>
      <c r="K472" s="199"/>
      <c r="L472" s="197"/>
      <c r="M472" s="197"/>
      <c r="N472" s="197"/>
      <c r="O472" s="197"/>
      <c r="P472" s="197"/>
      <c r="Q472" s="197"/>
      <c r="W472" s="197"/>
    </row>
    <row r="473" spans="1:23">
      <c r="A473" s="196"/>
      <c r="B473" s="197"/>
      <c r="C473" s="198"/>
      <c r="D473" s="198"/>
      <c r="E473" s="199"/>
      <c r="F473" s="199"/>
      <c r="G473" s="199"/>
      <c r="H473" s="199"/>
      <c r="I473" s="199"/>
      <c r="J473" s="199"/>
      <c r="K473" s="199"/>
      <c r="L473" s="197"/>
      <c r="M473" s="197"/>
      <c r="N473" s="197"/>
      <c r="O473" s="197"/>
      <c r="P473" s="197"/>
      <c r="Q473" s="197"/>
      <c r="W473" s="197"/>
    </row>
    <row r="474" spans="1:23">
      <c r="A474" s="196"/>
      <c r="B474" s="197"/>
      <c r="C474" s="198"/>
      <c r="D474" s="198"/>
      <c r="E474" s="199"/>
      <c r="F474" s="199"/>
      <c r="G474" s="199"/>
      <c r="H474" s="199"/>
      <c r="I474" s="199"/>
      <c r="J474" s="199"/>
      <c r="K474" s="199"/>
      <c r="L474" s="197"/>
      <c r="M474" s="197"/>
      <c r="N474" s="197"/>
      <c r="O474" s="197"/>
      <c r="P474" s="197"/>
      <c r="Q474" s="197"/>
      <c r="W474" s="197"/>
    </row>
    <row r="475" spans="1:23">
      <c r="A475" s="196"/>
      <c r="B475" s="197"/>
      <c r="C475" s="198"/>
      <c r="D475" s="198"/>
      <c r="E475" s="199"/>
      <c r="F475" s="199"/>
      <c r="G475" s="199"/>
      <c r="H475" s="199"/>
      <c r="I475" s="199"/>
      <c r="J475" s="199"/>
      <c r="K475" s="199"/>
      <c r="L475" s="197"/>
      <c r="M475" s="197"/>
      <c r="N475" s="197"/>
      <c r="O475" s="197"/>
      <c r="P475" s="197"/>
      <c r="Q475" s="197"/>
      <c r="W475" s="197"/>
    </row>
    <row r="476" spans="1:23">
      <c r="A476" s="196"/>
      <c r="B476" s="197"/>
      <c r="C476" s="198"/>
      <c r="D476" s="198"/>
      <c r="E476" s="199"/>
      <c r="F476" s="199"/>
      <c r="G476" s="199"/>
      <c r="H476" s="199"/>
      <c r="I476" s="199"/>
      <c r="J476" s="199"/>
      <c r="K476" s="199"/>
      <c r="L476" s="197"/>
      <c r="M476" s="197"/>
      <c r="N476" s="197"/>
      <c r="O476" s="197"/>
      <c r="P476" s="197"/>
      <c r="Q476" s="197"/>
      <c r="W476" s="197"/>
    </row>
  </sheetData>
  <autoFilter ref="A6:X237" xr:uid="{00000000-0001-0000-0300-000000000000}">
    <filterColumn colId="7" showButton="0"/>
    <filterColumn colId="8" showButton="0"/>
    <filterColumn colId="9" showButton="0"/>
    <filterColumn colId="13" showButton="0"/>
    <filterColumn colId="18" showButton="0"/>
    <filterColumn colId="19" showButton="0"/>
  </autoFilter>
  <dataConsolidate/>
  <mergeCells count="35">
    <mergeCell ref="G240:S240"/>
    <mergeCell ref="G241:S241"/>
    <mergeCell ref="G242:S242"/>
    <mergeCell ref="G239:S239"/>
    <mergeCell ref="T239:X239"/>
    <mergeCell ref="T240:X240"/>
    <mergeCell ref="T241:X241"/>
    <mergeCell ref="T242:X242"/>
    <mergeCell ref="A1:C4"/>
    <mergeCell ref="D1:W4"/>
    <mergeCell ref="B6:B7"/>
    <mergeCell ref="H6:K6"/>
    <mergeCell ref="M6:M7"/>
    <mergeCell ref="N6:O6"/>
    <mergeCell ref="P6:P7"/>
    <mergeCell ref="S6:U6"/>
    <mergeCell ref="V6:V7"/>
    <mergeCell ref="W6:W7"/>
    <mergeCell ref="A6:A7"/>
    <mergeCell ref="C6:C7"/>
    <mergeCell ref="X6:X7"/>
    <mergeCell ref="D6:D7"/>
    <mergeCell ref="E6:E7"/>
    <mergeCell ref="F6:F7"/>
    <mergeCell ref="G6:G7"/>
    <mergeCell ref="R6:R7"/>
    <mergeCell ref="Q6:Q7"/>
    <mergeCell ref="A239:B239"/>
    <mergeCell ref="A240:B240"/>
    <mergeCell ref="A241:B241"/>
    <mergeCell ref="A242:B242"/>
    <mergeCell ref="C239:F239"/>
    <mergeCell ref="C240:F240"/>
    <mergeCell ref="C241:F241"/>
    <mergeCell ref="C242:F242"/>
  </mergeCells>
  <phoneticPr fontId="28" type="noConversion"/>
  <pageMargins left="0.7" right="0.7" top="0.75" bottom="0.75" header="0.3" footer="0.3"/>
  <pageSetup scale="32" orientation="portrait" horizontalDpi="1200" verticalDpi="1200" r:id="rId1"/>
  <colBreaks count="1" manualBreakCount="1">
    <brk id="24" max="1048575" man="1"/>
  </colBreaks>
  <drawing r:id="rId2"/>
  <legacyDrawing r:id="rId3"/>
  <oleObjects>
    <mc:AlternateContent xmlns:mc="http://schemas.openxmlformats.org/markup-compatibility/2006">
      <mc:Choice Requires="x14">
        <oleObject progId="CorelDraw.Graphic.16" shapeId="2058" r:id="rId4">
          <objectPr defaultSize="0" autoPict="0" r:id="rId5">
            <anchor moveWithCells="1" sizeWithCells="1">
              <from>
                <xdr:col>23</xdr:col>
                <xdr:colOff>1874520</xdr:colOff>
                <xdr:row>0</xdr:row>
                <xdr:rowOff>0</xdr:rowOff>
              </from>
              <to>
                <xdr:col>23</xdr:col>
                <xdr:colOff>2430780</xdr:colOff>
                <xdr:row>4</xdr:row>
                <xdr:rowOff>7620</xdr:rowOff>
              </to>
            </anchor>
          </objectPr>
        </oleObject>
      </mc:Choice>
      <mc:Fallback>
        <oleObject progId="CorelDraw.Graphic.16" shapeId="2058" r:id="rId4"/>
      </mc:Fallback>
    </mc:AlternateContent>
  </oleObjects>
  <extLst>
    <ext xmlns:x14="http://schemas.microsoft.com/office/spreadsheetml/2009/9/main" uri="{CCE6A557-97BC-4b89-ADB6-D9C93CAAB3DF}">
      <x14:dataValidations xmlns:xm="http://schemas.microsoft.com/office/excel/2006/main" count="3">
        <x14:dataValidation type="list" allowBlank="1" showInputMessage="1" showErrorMessage="1" xr:uid="{CE4FFE71-4673-46FF-8937-8382190E9DB5}">
          <x14:formula1>
            <xm:f>Hoja1!$A$23:$A$48</xm:f>
          </x14:formula1>
          <xm:sqref>B8:B237</xm:sqref>
        </x14:dataValidation>
        <x14:dataValidation type="list" allowBlank="1" showInputMessage="1" showErrorMessage="1" xr:uid="{65C02E75-593F-4A56-842F-03CEDD5CA332}">
          <x14:formula1>
            <xm:f>Hoja1!$A$84:$A$87</xm:f>
          </x14:formula1>
          <xm:sqref>V8:V237</xm:sqref>
        </x14:dataValidation>
        <x14:dataValidation type="list" allowBlank="1" showInputMessage="1" showErrorMessage="1" xr:uid="{E66B60DD-3D0F-4068-A8FE-FE2EBBC0D1E6}">
          <x14:formula1>
            <xm:f>Hoja1!$A$78:$A$81</xm:f>
          </x14:formula1>
          <xm:sqref>L8:L237</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4411D6-5F60-4501-9FB3-7C6EEC40BD27}">
  <dimension ref="D2:E30"/>
  <sheetViews>
    <sheetView topLeftCell="A17" workbookViewId="0">
      <selection activeCell="E30" sqref="E30"/>
    </sheetView>
  </sheetViews>
  <sheetFormatPr baseColWidth="10" defaultColWidth="11.44140625" defaultRowHeight="14.4"/>
  <sheetData>
    <row r="2" spans="4:5">
      <c r="D2">
        <v>139120</v>
      </c>
    </row>
    <row r="3" spans="4:5">
      <c r="D3">
        <v>139180</v>
      </c>
      <c r="E3">
        <f>D3-D2</f>
        <v>60</v>
      </c>
    </row>
    <row r="4" spans="4:5">
      <c r="D4">
        <v>151580</v>
      </c>
    </row>
    <row r="5" spans="4:5">
      <c r="D5">
        <v>151620</v>
      </c>
      <c r="E5">
        <f>D5-D4</f>
        <v>40</v>
      </c>
    </row>
    <row r="6" spans="4:5">
      <c r="D6">
        <v>153760</v>
      </c>
    </row>
    <row r="7" spans="4:5">
      <c r="D7">
        <v>153980</v>
      </c>
      <c r="E7">
        <f>+D7-D6</f>
        <v>220</v>
      </c>
    </row>
    <row r="8" spans="4:5">
      <c r="D8">
        <v>163450</v>
      </c>
    </row>
    <row r="9" spans="4:5">
      <c r="D9">
        <v>163480</v>
      </c>
      <c r="E9">
        <f>+D9-D8</f>
        <v>30</v>
      </c>
    </row>
    <row r="10" spans="4:5">
      <c r="D10">
        <v>163560</v>
      </c>
    </row>
    <row r="11" spans="4:5">
      <c r="D11">
        <v>163600</v>
      </c>
      <c r="E11">
        <f>+D11-D10</f>
        <v>40</v>
      </c>
    </row>
    <row r="12" spans="4:5">
      <c r="D12">
        <v>164025</v>
      </c>
    </row>
    <row r="13" spans="4:5">
      <c r="D13">
        <v>164050</v>
      </c>
      <c r="E13">
        <f>+D13-D12</f>
        <v>25</v>
      </c>
    </row>
    <row r="14" spans="4:5">
      <c r="D14">
        <v>164120</v>
      </c>
    </row>
    <row r="15" spans="4:5">
      <c r="D15">
        <v>164150</v>
      </c>
      <c r="E15">
        <f>+D15-D14</f>
        <v>30</v>
      </c>
    </row>
    <row r="16" spans="4:5">
      <c r="D16">
        <v>164320</v>
      </c>
    </row>
    <row r="17" spans="4:5">
      <c r="D17">
        <v>164370</v>
      </c>
      <c r="E17">
        <f>+D17-D16</f>
        <v>50</v>
      </c>
    </row>
    <row r="18" spans="4:5">
      <c r="D18">
        <v>165265</v>
      </c>
    </row>
    <row r="19" spans="4:5">
      <c r="D19">
        <v>165280</v>
      </c>
      <c r="E19">
        <f>+D19-D18</f>
        <v>15</v>
      </c>
    </row>
    <row r="20" spans="4:5">
      <c r="D20">
        <v>165690</v>
      </c>
    </row>
    <row r="21" spans="4:5">
      <c r="D21">
        <v>165710</v>
      </c>
      <c r="E21">
        <f>+D21-D20</f>
        <v>20</v>
      </c>
    </row>
    <row r="22" spans="4:5">
      <c r="D22">
        <v>165875</v>
      </c>
    </row>
    <row r="23" spans="4:5">
      <c r="D23">
        <v>165910</v>
      </c>
      <c r="E23">
        <f>+D23-D22</f>
        <v>35</v>
      </c>
    </row>
    <row r="24" spans="4:5">
      <c r="D24">
        <v>166350</v>
      </c>
    </row>
    <row r="25" spans="4:5">
      <c r="D25">
        <v>166420</v>
      </c>
      <c r="E25">
        <f>+D25-D24</f>
        <v>70</v>
      </c>
    </row>
    <row r="26" spans="4:5">
      <c r="D26">
        <v>168340</v>
      </c>
    </row>
    <row r="27" spans="4:5">
      <c r="D27">
        <v>168370</v>
      </c>
      <c r="E27">
        <f>+D27-D26</f>
        <v>30</v>
      </c>
    </row>
    <row r="28" spans="4:5">
      <c r="D28">
        <v>171555</v>
      </c>
    </row>
    <row r="29" spans="4:5">
      <c r="D29">
        <v>171580</v>
      </c>
      <c r="E29">
        <f>D29-D28</f>
        <v>25</v>
      </c>
    </row>
    <row r="30" spans="4:5">
      <c r="E30">
        <f>SUM(E1:E29)</f>
        <v>690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12D9F-9F05-4589-BA1B-B1DC172531DD}">
  <sheetPr>
    <tabColor theme="5" tint="0.59999389629810485"/>
    <pageSetUpPr fitToPage="1"/>
  </sheetPr>
  <dimension ref="B1:O40"/>
  <sheetViews>
    <sheetView showGridLines="0" view="pageBreakPreview" topLeftCell="C1" zoomScaleNormal="100" zoomScaleSheetLayoutView="100" workbookViewId="0">
      <selection activeCell="F46" sqref="F46"/>
    </sheetView>
  </sheetViews>
  <sheetFormatPr baseColWidth="10" defaultColWidth="11.5546875" defaultRowHeight="14.4"/>
  <cols>
    <col min="1" max="1" width="5.44140625" style="105" customWidth="1"/>
    <col min="2" max="2" width="2.33203125" style="105" customWidth="1"/>
    <col min="3" max="3" width="20.5546875" style="105" customWidth="1"/>
    <col min="4" max="4" width="15.5546875" style="105" customWidth="1"/>
    <col min="5" max="5" width="28.109375" style="105" customWidth="1"/>
    <col min="6" max="11" width="15.5546875" style="105" customWidth="1"/>
    <col min="12" max="12" width="2.88671875" style="105" customWidth="1"/>
    <col min="13" max="16384" width="11.5546875" style="105"/>
  </cols>
  <sheetData>
    <row r="1" spans="2:12" ht="15" thickBot="1"/>
    <row r="2" spans="2:12" ht="15.6" thickTop="1" thickBot="1">
      <c r="B2" s="525"/>
      <c r="C2" s="526"/>
      <c r="D2" s="526"/>
      <c r="E2" s="526"/>
      <c r="F2" s="526"/>
      <c r="G2" s="526"/>
      <c r="H2" s="526"/>
      <c r="I2" s="526"/>
      <c r="J2" s="526"/>
      <c r="K2" s="526"/>
      <c r="L2" s="527"/>
    </row>
    <row r="3" spans="2:12" ht="6.75" customHeight="1">
      <c r="B3" s="528"/>
      <c r="C3" s="114"/>
      <c r="D3" s="113"/>
      <c r="E3" s="559" t="s">
        <v>76</v>
      </c>
      <c r="F3" s="560"/>
      <c r="G3" s="560"/>
      <c r="H3" s="560"/>
      <c r="I3" s="560"/>
      <c r="J3" s="538" t="s">
        <v>77</v>
      </c>
      <c r="K3" s="539"/>
      <c r="L3" s="530"/>
    </row>
    <row r="4" spans="2:12" ht="7.5" customHeight="1">
      <c r="B4" s="528"/>
      <c r="C4" s="112"/>
      <c r="D4" s="111"/>
      <c r="E4" s="561"/>
      <c r="F4" s="562"/>
      <c r="G4" s="562"/>
      <c r="H4" s="562"/>
      <c r="I4" s="562"/>
      <c r="J4" s="540"/>
      <c r="K4" s="541"/>
      <c r="L4" s="530"/>
    </row>
    <row r="5" spans="2:12" ht="15.9" customHeight="1">
      <c r="B5" s="528"/>
      <c r="C5" s="112"/>
      <c r="D5" s="111"/>
      <c r="E5" s="561"/>
      <c r="F5" s="562"/>
      <c r="G5" s="562"/>
      <c r="H5" s="562"/>
      <c r="I5" s="562"/>
      <c r="J5" s="540" t="s">
        <v>78</v>
      </c>
      <c r="K5" s="541"/>
      <c r="L5" s="530"/>
    </row>
    <row r="6" spans="2:12" ht="15.9" customHeight="1">
      <c r="B6" s="528"/>
      <c r="C6" s="112"/>
      <c r="D6" s="111"/>
      <c r="E6" s="561"/>
      <c r="F6" s="562"/>
      <c r="G6" s="562"/>
      <c r="H6" s="562"/>
      <c r="I6" s="562"/>
      <c r="J6" s="540" t="s">
        <v>79</v>
      </c>
      <c r="K6" s="541"/>
      <c r="L6" s="530"/>
    </row>
    <row r="7" spans="2:12" ht="15.9" customHeight="1" thickBot="1">
      <c r="B7" s="528"/>
      <c r="C7" s="110"/>
      <c r="D7" s="109"/>
      <c r="E7" s="563"/>
      <c r="F7" s="564"/>
      <c r="G7" s="564"/>
      <c r="H7" s="564"/>
      <c r="I7" s="564"/>
      <c r="J7" s="555" t="s">
        <v>80</v>
      </c>
      <c r="K7" s="556"/>
      <c r="L7" s="530"/>
    </row>
    <row r="8" spans="2:12" ht="8.4" customHeight="1">
      <c r="B8" s="528"/>
      <c r="C8"/>
      <c r="D8"/>
      <c r="E8"/>
      <c r="F8"/>
      <c r="G8"/>
      <c r="H8"/>
      <c r="I8"/>
      <c r="J8"/>
      <c r="K8"/>
      <c r="L8" s="530"/>
    </row>
    <row r="9" spans="2:12">
      <c r="B9" s="528"/>
      <c r="C9"/>
      <c r="D9"/>
      <c r="E9"/>
      <c r="F9"/>
      <c r="G9"/>
      <c r="H9"/>
      <c r="I9"/>
      <c r="J9"/>
      <c r="K9"/>
      <c r="L9" s="530"/>
    </row>
    <row r="10" spans="2:12">
      <c r="B10" s="528"/>
      <c r="C10"/>
      <c r="D10"/>
      <c r="E10"/>
      <c r="F10"/>
      <c r="G10"/>
      <c r="H10"/>
      <c r="I10"/>
      <c r="J10"/>
      <c r="K10"/>
      <c r="L10" s="530"/>
    </row>
    <row r="11" spans="2:12">
      <c r="B11" s="528"/>
      <c r="C11"/>
      <c r="D11"/>
      <c r="E11"/>
      <c r="F11"/>
      <c r="G11"/>
      <c r="H11"/>
      <c r="I11"/>
      <c r="J11"/>
      <c r="K11"/>
      <c r="L11" s="530"/>
    </row>
    <row r="12" spans="2:12">
      <c r="B12" s="528"/>
      <c r="C12"/>
      <c r="D12"/>
      <c r="E12"/>
      <c r="F12"/>
      <c r="G12"/>
      <c r="H12"/>
      <c r="I12"/>
      <c r="J12"/>
      <c r="K12"/>
      <c r="L12" s="530"/>
    </row>
    <row r="13" spans="2:12">
      <c r="B13" s="528"/>
      <c r="C13"/>
      <c r="D13"/>
      <c r="E13"/>
      <c r="F13"/>
      <c r="G13"/>
      <c r="H13"/>
      <c r="I13"/>
      <c r="J13"/>
      <c r="K13"/>
      <c r="L13" s="530"/>
    </row>
    <row r="14" spans="2:12">
      <c r="B14" s="528"/>
      <c r="C14"/>
      <c r="D14"/>
      <c r="E14"/>
      <c r="F14"/>
      <c r="G14"/>
      <c r="H14"/>
      <c r="I14"/>
      <c r="J14"/>
      <c r="K14"/>
      <c r="L14" s="530"/>
    </row>
    <row r="15" spans="2:12">
      <c r="B15" s="528"/>
      <c r="C15"/>
      <c r="D15"/>
      <c r="E15"/>
      <c r="F15"/>
      <c r="G15"/>
      <c r="H15"/>
      <c r="I15"/>
      <c r="J15"/>
      <c r="K15"/>
      <c r="L15" s="530"/>
    </row>
    <row r="16" spans="2:12">
      <c r="B16" s="528"/>
      <c r="C16"/>
      <c r="D16"/>
      <c r="E16"/>
      <c r="F16"/>
      <c r="G16"/>
      <c r="H16"/>
      <c r="I16"/>
      <c r="J16"/>
      <c r="K16"/>
      <c r="L16" s="530"/>
    </row>
    <row r="17" spans="2:15">
      <c r="B17" s="528"/>
      <c r="C17"/>
      <c r="D17"/>
      <c r="E17"/>
      <c r="F17"/>
      <c r="G17"/>
      <c r="H17"/>
      <c r="I17"/>
      <c r="J17"/>
      <c r="K17"/>
      <c r="L17" s="530"/>
    </row>
    <row r="18" spans="2:15">
      <c r="B18" s="528"/>
      <c r="C18"/>
      <c r="D18"/>
      <c r="E18"/>
      <c r="F18"/>
      <c r="G18"/>
      <c r="H18"/>
      <c r="I18"/>
      <c r="J18"/>
      <c r="K18"/>
      <c r="L18" s="530"/>
      <c r="O18" s="105" t="s">
        <v>209</v>
      </c>
    </row>
    <row r="19" spans="2:15">
      <c r="B19" s="528"/>
      <c r="C19"/>
      <c r="D19"/>
      <c r="E19"/>
      <c r="F19"/>
      <c r="G19"/>
      <c r="H19"/>
      <c r="I19"/>
      <c r="J19"/>
      <c r="K19"/>
      <c r="L19" s="530"/>
    </row>
    <row r="20" spans="2:15">
      <c r="B20" s="528"/>
      <c r="C20"/>
      <c r="D20"/>
      <c r="E20"/>
      <c r="F20"/>
      <c r="G20"/>
      <c r="H20"/>
      <c r="I20"/>
      <c r="J20"/>
      <c r="K20"/>
      <c r="L20" s="530"/>
    </row>
    <row r="21" spans="2:15">
      <c r="B21" s="528"/>
      <c r="C21"/>
      <c r="D21"/>
      <c r="E21"/>
      <c r="F21"/>
      <c r="G21"/>
      <c r="H21"/>
      <c r="I21"/>
      <c r="J21"/>
      <c r="K21"/>
      <c r="L21" s="530"/>
    </row>
    <row r="22" spans="2:15">
      <c r="B22" s="528"/>
      <c r="C22"/>
      <c r="D22"/>
      <c r="E22"/>
      <c r="F22"/>
      <c r="G22"/>
      <c r="H22"/>
      <c r="I22"/>
      <c r="J22"/>
      <c r="K22"/>
      <c r="L22" s="530"/>
    </row>
    <row r="23" spans="2:15">
      <c r="B23" s="528"/>
      <c r="C23"/>
      <c r="D23"/>
      <c r="E23"/>
      <c r="F23"/>
      <c r="G23"/>
      <c r="H23"/>
      <c r="I23"/>
      <c r="J23"/>
      <c r="K23"/>
      <c r="L23" s="530"/>
    </row>
    <row r="24" spans="2:15">
      <c r="B24" s="528"/>
      <c r="C24"/>
      <c r="D24"/>
      <c r="E24"/>
      <c r="F24"/>
      <c r="G24"/>
      <c r="H24"/>
      <c r="I24"/>
      <c r="J24"/>
      <c r="K24"/>
      <c r="L24" s="530"/>
    </row>
    <row r="25" spans="2:15">
      <c r="B25" s="528"/>
      <c r="C25"/>
      <c r="D25"/>
      <c r="E25"/>
      <c r="F25"/>
      <c r="G25"/>
      <c r="H25"/>
      <c r="I25"/>
      <c r="J25"/>
      <c r="K25"/>
      <c r="L25" s="530"/>
    </row>
    <row r="26" spans="2:15">
      <c r="B26" s="528"/>
      <c r="C26"/>
      <c r="D26"/>
      <c r="E26"/>
      <c r="F26"/>
      <c r="G26"/>
      <c r="H26"/>
      <c r="I26"/>
      <c r="J26"/>
      <c r="K26"/>
      <c r="L26" s="530"/>
    </row>
    <row r="27" spans="2:15">
      <c r="B27" s="528"/>
      <c r="C27"/>
      <c r="D27"/>
      <c r="E27"/>
      <c r="F27"/>
      <c r="G27"/>
      <c r="H27"/>
      <c r="I27"/>
      <c r="J27"/>
      <c r="K27"/>
      <c r="L27" s="530"/>
    </row>
    <row r="28" spans="2:15">
      <c r="B28" s="528"/>
      <c r="C28"/>
      <c r="D28"/>
      <c r="E28"/>
      <c r="F28"/>
      <c r="G28"/>
      <c r="H28"/>
      <c r="I28"/>
      <c r="J28"/>
      <c r="K28"/>
      <c r="L28" s="530"/>
    </row>
    <row r="29" spans="2:15">
      <c r="B29" s="528"/>
      <c r="C29"/>
      <c r="D29"/>
      <c r="E29"/>
      <c r="F29"/>
      <c r="G29"/>
      <c r="H29"/>
      <c r="I29"/>
      <c r="J29"/>
      <c r="K29"/>
      <c r="L29" s="530"/>
    </row>
    <row r="30" spans="2:15" ht="9.6" customHeight="1" thickBot="1">
      <c r="B30" s="528"/>
      <c r="C30" s="534"/>
      <c r="D30" s="534"/>
      <c r="E30" s="534"/>
      <c r="F30" s="534"/>
      <c r="G30" s="534"/>
      <c r="H30" s="534"/>
      <c r="I30" s="534"/>
      <c r="J30" s="534"/>
      <c r="K30" s="534"/>
      <c r="L30" s="530"/>
    </row>
    <row r="31" spans="2:15" ht="20.100000000000001" customHeight="1">
      <c r="B31" s="528"/>
      <c r="C31" s="108" t="s">
        <v>210</v>
      </c>
      <c r="D31" s="542">
        <f>Informe!G6</f>
        <v>0</v>
      </c>
      <c r="E31" s="543"/>
      <c r="F31" s="535" t="s">
        <v>205</v>
      </c>
      <c r="G31" s="536"/>
      <c r="H31" s="536"/>
      <c r="I31" s="536"/>
      <c r="J31" s="536"/>
      <c r="K31" s="537"/>
      <c r="L31" s="530"/>
    </row>
    <row r="32" spans="2:15" ht="20.100000000000001" customHeight="1">
      <c r="B32" s="528"/>
      <c r="C32" s="108" t="s">
        <v>211</v>
      </c>
      <c r="D32" s="542" t="str">
        <f>Informe!G7</f>
        <v>Mariquita_Cali</v>
      </c>
      <c r="E32" s="543"/>
      <c r="F32" s="544" t="s">
        <v>212</v>
      </c>
      <c r="G32" s="545"/>
      <c r="H32" s="545"/>
      <c r="I32" s="545"/>
      <c r="J32" s="545"/>
      <c r="K32" s="546"/>
      <c r="L32" s="530"/>
    </row>
    <row r="33" spans="2:12" ht="20.100000000000001" customHeight="1">
      <c r="B33" s="528"/>
      <c r="C33" s="107" t="s">
        <v>213</v>
      </c>
      <c r="D33" s="542">
        <f>Informe!G8</f>
        <v>0</v>
      </c>
      <c r="E33" s="543"/>
      <c r="F33" s="547"/>
      <c r="G33" s="548"/>
      <c r="H33" s="548"/>
      <c r="I33" s="548"/>
      <c r="J33" s="548"/>
      <c r="K33" s="549"/>
      <c r="L33" s="530"/>
    </row>
    <row r="34" spans="2:12" ht="20.100000000000001" customHeight="1">
      <c r="B34" s="528"/>
      <c r="C34" s="107" t="s">
        <v>115</v>
      </c>
      <c r="D34" s="565">
        <f>Informe!G36+Informe!G35</f>
        <v>4</v>
      </c>
      <c r="E34" s="566"/>
      <c r="F34" s="547"/>
      <c r="G34" s="548"/>
      <c r="H34" s="548"/>
      <c r="I34" s="548"/>
      <c r="J34" s="548"/>
      <c r="K34" s="549"/>
      <c r="L34" s="530"/>
    </row>
    <row r="35" spans="2:12" ht="20.100000000000001" customHeight="1">
      <c r="B35" s="528"/>
      <c r="C35" s="107" t="s">
        <v>214</v>
      </c>
      <c r="D35" s="553">
        <f>Informe!U9</f>
        <v>0</v>
      </c>
      <c r="E35" s="554"/>
      <c r="F35" s="547"/>
      <c r="G35" s="548"/>
      <c r="H35" s="548"/>
      <c r="I35" s="548"/>
      <c r="J35" s="548"/>
      <c r="K35" s="549"/>
      <c r="L35" s="530"/>
    </row>
    <row r="36" spans="2:12" ht="20.100000000000001" customHeight="1" thickBot="1">
      <c r="B36" s="528"/>
      <c r="C36" s="106" t="s">
        <v>215</v>
      </c>
      <c r="D36" s="557">
        <f>Informe!U8</f>
        <v>0</v>
      </c>
      <c r="E36" s="558"/>
      <c r="F36" s="550"/>
      <c r="G36" s="551"/>
      <c r="H36" s="551"/>
      <c r="I36" s="551"/>
      <c r="J36" s="551"/>
      <c r="K36" s="552"/>
      <c r="L36" s="530"/>
    </row>
    <row r="37" spans="2:12" ht="15" thickBot="1">
      <c r="B37" s="529"/>
      <c r="C37" s="532"/>
      <c r="D37" s="533"/>
      <c r="E37" s="533"/>
      <c r="F37" s="532"/>
      <c r="G37" s="532"/>
      <c r="H37" s="532"/>
      <c r="I37" s="532"/>
      <c r="J37" s="532"/>
      <c r="K37" s="532"/>
      <c r="L37" s="531"/>
    </row>
    <row r="38" spans="2:12" ht="15" thickTop="1"/>
    <row r="39" spans="2:12">
      <c r="D39" s="105">
        <v>0</v>
      </c>
      <c r="E39" s="105">
        <v>15</v>
      </c>
      <c r="F39" s="105">
        <v>35</v>
      </c>
      <c r="G39" s="105">
        <v>60</v>
      </c>
    </row>
    <row r="40" spans="2:12">
      <c r="D40" s="105">
        <v>4000</v>
      </c>
      <c r="E40" s="105">
        <v>15</v>
      </c>
      <c r="F40" s="105">
        <v>35</v>
      </c>
      <c r="G40" s="105">
        <v>60</v>
      </c>
    </row>
  </sheetData>
  <mergeCells count="18">
    <mergeCell ref="D31:E31"/>
    <mergeCell ref="D34:E34"/>
    <mergeCell ref="B2:L2"/>
    <mergeCell ref="B3:B37"/>
    <mergeCell ref="L3:L37"/>
    <mergeCell ref="C37:K37"/>
    <mergeCell ref="C30:K30"/>
    <mergeCell ref="F31:K31"/>
    <mergeCell ref="J3:K4"/>
    <mergeCell ref="J6:K6"/>
    <mergeCell ref="D32:E32"/>
    <mergeCell ref="F32:K36"/>
    <mergeCell ref="D33:E33"/>
    <mergeCell ref="D35:E35"/>
    <mergeCell ref="J5:K5"/>
    <mergeCell ref="J7:K7"/>
    <mergeCell ref="D36:E36"/>
    <mergeCell ref="E3:I7"/>
  </mergeCells>
  <pageMargins left="0.7" right="0.7" top="0.75" bottom="0.75" header="0.3" footer="0.3"/>
  <pageSetup scale="55" orientation="portrait" r:id="rId1"/>
  <drawing r:id="rId2"/>
  <legacyDrawing r:id="rId3"/>
  <oleObjects>
    <mc:AlternateContent xmlns:mc="http://schemas.openxmlformats.org/markup-compatibility/2006">
      <mc:Choice Requires="x14">
        <oleObject progId="CorelDraw.Graphic.16" shapeId="3073" r:id="rId4">
          <objectPr defaultSize="0" autoPict="0" r:id="rId5">
            <anchor moveWithCells="1" sizeWithCells="1">
              <from>
                <xdr:col>10</xdr:col>
                <xdr:colOff>228600</xdr:colOff>
                <xdr:row>2</xdr:row>
                <xdr:rowOff>22860</xdr:rowOff>
              </from>
              <to>
                <xdr:col>10</xdr:col>
                <xdr:colOff>746760</xdr:colOff>
                <xdr:row>6</xdr:row>
                <xdr:rowOff>190500</xdr:rowOff>
              </to>
            </anchor>
          </objectPr>
        </oleObject>
      </mc:Choice>
      <mc:Fallback>
        <oleObject progId="CorelDraw.Graphic.16" shapeId="3073" r:id="rId4"/>
      </mc:Fallback>
    </mc:AlternateContent>
  </oleObjects>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191ABE-17E1-40EC-8D75-AF287E5EB976}">
  <dimension ref="A1:W294"/>
  <sheetViews>
    <sheetView view="pageBreakPreview" zoomScale="85" zoomScaleNormal="100" zoomScaleSheetLayoutView="85" workbookViewId="0">
      <selection activeCell="F292" sqref="F292:N292"/>
    </sheetView>
  </sheetViews>
  <sheetFormatPr baseColWidth="10" defaultColWidth="11.44140625" defaultRowHeight="12"/>
  <cols>
    <col min="1" max="1" width="12.109375" style="156" customWidth="1"/>
    <col min="2" max="2" width="20.6640625" style="156" customWidth="1"/>
    <col min="3" max="3" width="20.6640625" style="136" customWidth="1"/>
    <col min="4" max="5" width="21" style="136" customWidth="1"/>
    <col min="6" max="6" width="7.44140625" style="136" customWidth="1"/>
    <col min="7" max="9" width="6" style="136" customWidth="1"/>
    <col min="10" max="10" width="9.88671875" style="136" customWidth="1"/>
    <col min="11" max="11" width="7" style="136" customWidth="1"/>
    <col min="12" max="12" width="14.33203125" style="136" customWidth="1"/>
    <col min="13" max="13" width="2" style="136" customWidth="1"/>
    <col min="14" max="14" width="8" style="136" customWidth="1"/>
    <col min="15" max="15" width="5.109375" style="136" customWidth="1"/>
    <col min="16" max="16" width="7.44140625" style="136" customWidth="1"/>
    <col min="17" max="17" width="7" style="136" customWidth="1"/>
    <col min="18" max="18" width="11.5546875" style="136" customWidth="1"/>
    <col min="19" max="19" width="10.88671875" style="136" customWidth="1"/>
    <col min="20" max="20" width="10.6640625" style="136" customWidth="1"/>
    <col min="21" max="21" width="23.6640625" style="136" bestFit="1" customWidth="1"/>
    <col min="22" max="22" width="24.88671875" style="136" bestFit="1" customWidth="1"/>
    <col min="23" max="23" width="12.6640625" style="136" bestFit="1" customWidth="1"/>
    <col min="24" max="16384" width="11.44140625" style="136"/>
  </cols>
  <sheetData>
    <row r="1" spans="1:23" ht="54" customHeight="1" thickBot="1">
      <c r="A1" s="252"/>
      <c r="B1" s="253"/>
      <c r="C1" s="253"/>
      <c r="D1" s="254" t="s">
        <v>216</v>
      </c>
      <c r="E1" s="255"/>
      <c r="F1" s="255"/>
      <c r="G1" s="255"/>
      <c r="H1" s="255"/>
      <c r="I1" s="255"/>
      <c r="J1" s="255"/>
      <c r="K1" s="255"/>
      <c r="L1" s="255"/>
      <c r="M1" s="255"/>
      <c r="N1" s="255"/>
      <c r="O1" s="255"/>
      <c r="P1" s="255"/>
      <c r="Q1" s="256"/>
      <c r="R1" s="257" t="s">
        <v>217</v>
      </c>
      <c r="S1" s="258"/>
      <c r="T1" s="259"/>
    </row>
    <row r="2" spans="1:23" ht="10.5" customHeight="1">
      <c r="A2" s="260"/>
      <c r="B2" s="261"/>
      <c r="C2" s="261"/>
      <c r="D2" s="261"/>
      <c r="E2" s="261"/>
      <c r="F2" s="261"/>
      <c r="G2" s="261"/>
      <c r="H2" s="261"/>
      <c r="I2" s="261"/>
      <c r="J2" s="261"/>
      <c r="K2" s="261"/>
      <c r="L2" s="261"/>
      <c r="M2" s="261"/>
      <c r="N2" s="261"/>
      <c r="O2" s="261"/>
      <c r="P2" s="261"/>
      <c r="Q2" s="261"/>
      <c r="R2" s="261"/>
      <c r="S2" s="261"/>
      <c r="T2" s="262"/>
    </row>
    <row r="3" spans="1:23" ht="13.2">
      <c r="A3" s="263" t="s">
        <v>81</v>
      </c>
      <c r="B3" s="264"/>
      <c r="C3" s="265"/>
      <c r="D3" s="266">
        <f>Informe!G6</f>
        <v>0</v>
      </c>
      <c r="E3" s="267"/>
      <c r="F3" s="267"/>
      <c r="G3" s="267"/>
      <c r="H3" s="267"/>
      <c r="I3" s="267"/>
      <c r="J3" s="267"/>
      <c r="K3" s="265" t="s">
        <v>82</v>
      </c>
      <c r="L3" s="265"/>
      <c r="M3" s="265"/>
      <c r="N3" s="268">
        <f>Informe!U6</f>
        <v>0</v>
      </c>
      <c r="O3" s="268"/>
      <c r="P3" s="268"/>
      <c r="Q3" s="268"/>
      <c r="R3" s="137" t="s">
        <v>218</v>
      </c>
      <c r="S3" s="266">
        <f>Informe!AE6</f>
        <v>551007370</v>
      </c>
      <c r="T3" s="269"/>
    </row>
    <row r="4" spans="1:23" ht="13.2">
      <c r="A4" s="278" t="s">
        <v>84</v>
      </c>
      <c r="B4" s="279"/>
      <c r="C4" s="273"/>
      <c r="D4" s="266" t="str">
        <f>Informe!G7</f>
        <v>Mariquita_Cali</v>
      </c>
      <c r="E4" s="267"/>
      <c r="F4" s="267"/>
      <c r="G4" s="267"/>
      <c r="H4" s="267"/>
      <c r="I4" s="267"/>
      <c r="J4" s="267"/>
      <c r="K4" s="273" t="s">
        <v>86</v>
      </c>
      <c r="L4" s="273"/>
      <c r="M4" s="273"/>
      <c r="N4" s="280">
        <f>Informe!U7</f>
        <v>0</v>
      </c>
      <c r="O4" s="280"/>
      <c r="P4" s="280"/>
      <c r="Q4" s="280"/>
      <c r="R4" s="138" t="s">
        <v>87</v>
      </c>
      <c r="S4" s="266" t="str">
        <f>Informe!AE7</f>
        <v>PCC</v>
      </c>
      <c r="T4" s="269"/>
    </row>
    <row r="5" spans="1:23" ht="13.2">
      <c r="A5" s="278" t="s">
        <v>89</v>
      </c>
      <c r="B5" s="279"/>
      <c r="C5" s="273"/>
      <c r="D5" s="266">
        <f>Informe!G8</f>
        <v>0</v>
      </c>
      <c r="E5" s="267"/>
      <c r="F5" s="267"/>
      <c r="G5" s="267"/>
      <c r="H5" s="267"/>
      <c r="I5" s="267"/>
      <c r="J5" s="267"/>
      <c r="K5" s="273" t="s">
        <v>90</v>
      </c>
      <c r="L5" s="273"/>
      <c r="M5" s="273"/>
      <c r="N5" s="268">
        <f>Informe!U8</f>
        <v>0</v>
      </c>
      <c r="O5" s="268"/>
      <c r="P5" s="268"/>
      <c r="Q5" s="268"/>
      <c r="R5" s="138" t="s">
        <v>91</v>
      </c>
      <c r="S5" s="266">
        <f>Informe!AE8</f>
        <v>0</v>
      </c>
      <c r="T5" s="269"/>
    </row>
    <row r="6" spans="1:23" ht="13.2">
      <c r="A6" s="270" t="s">
        <v>92</v>
      </c>
      <c r="B6" s="271"/>
      <c r="C6" s="272"/>
      <c r="D6" s="266">
        <f>Informe!G9</f>
        <v>0</v>
      </c>
      <c r="E6" s="267"/>
      <c r="F6" s="267"/>
      <c r="G6" s="267"/>
      <c r="H6" s="267"/>
      <c r="I6" s="267"/>
      <c r="J6" s="267"/>
      <c r="K6" s="273" t="s">
        <v>93</v>
      </c>
      <c r="L6" s="273"/>
      <c r="M6" s="273"/>
      <c r="N6" s="268">
        <f>Informe!U9</f>
        <v>0</v>
      </c>
      <c r="O6" s="268"/>
      <c r="P6" s="268"/>
      <c r="Q6" s="268"/>
      <c r="R6" s="138" t="s">
        <v>94</v>
      </c>
      <c r="S6" s="266" t="str">
        <f>Informe!AE9</f>
        <v>1.6 ON -0.4 OFF</v>
      </c>
      <c r="T6" s="269"/>
    </row>
    <row r="7" spans="1:23" s="139" customFormat="1" ht="20.25" customHeight="1">
      <c r="A7" s="274" t="s">
        <v>219</v>
      </c>
      <c r="B7" s="275" t="s">
        <v>220</v>
      </c>
      <c r="C7" s="281" t="s">
        <v>221</v>
      </c>
      <c r="D7" s="282"/>
      <c r="E7" s="283"/>
      <c r="F7" s="250" t="s">
        <v>222</v>
      </c>
      <c r="G7" s="250"/>
      <c r="H7" s="250"/>
      <c r="I7" s="250"/>
      <c r="J7" s="250"/>
      <c r="K7" s="277"/>
      <c r="L7" s="277" t="s">
        <v>223</v>
      </c>
      <c r="M7" s="277"/>
      <c r="N7" s="250"/>
      <c r="O7" s="250"/>
      <c r="P7" s="250"/>
      <c r="Q7" s="250"/>
      <c r="R7" s="250" t="s">
        <v>224</v>
      </c>
      <c r="S7" s="250"/>
      <c r="T7" s="251"/>
    </row>
    <row r="8" spans="1:23" s="139" customFormat="1" ht="20.25" customHeight="1">
      <c r="A8" s="274"/>
      <c r="B8" s="276"/>
      <c r="C8" s="140" t="s">
        <v>225</v>
      </c>
      <c r="D8" s="140" t="s">
        <v>226</v>
      </c>
      <c r="E8" s="140" t="s">
        <v>227</v>
      </c>
      <c r="F8" s="140" t="s">
        <v>228</v>
      </c>
      <c r="G8" s="141" t="s">
        <v>229</v>
      </c>
      <c r="H8" s="140" t="s">
        <v>230</v>
      </c>
      <c r="I8" s="141" t="s">
        <v>231</v>
      </c>
      <c r="J8" s="140" t="s">
        <v>232</v>
      </c>
      <c r="K8" s="141" t="s">
        <v>233</v>
      </c>
      <c r="L8" s="250" t="s">
        <v>234</v>
      </c>
      <c r="M8" s="250"/>
      <c r="N8" s="250" t="s">
        <v>235</v>
      </c>
      <c r="O8" s="250"/>
      <c r="P8" s="250" t="s">
        <v>236</v>
      </c>
      <c r="Q8" s="250"/>
      <c r="R8" s="140" t="s">
        <v>237</v>
      </c>
      <c r="S8" s="140" t="s">
        <v>238</v>
      </c>
      <c r="T8" s="142" t="s">
        <v>239</v>
      </c>
    </row>
    <row r="9" spans="1:23" ht="20.25" customHeight="1">
      <c r="A9" s="143"/>
      <c r="B9" s="144"/>
      <c r="C9" s="210"/>
      <c r="D9" s="210"/>
      <c r="E9" s="222"/>
      <c r="F9" s="223"/>
      <c r="G9" s="224"/>
      <c r="H9" s="223"/>
      <c r="I9" s="224"/>
      <c r="J9" s="223"/>
      <c r="K9" s="224"/>
      <c r="L9" s="225">
        <f t="shared" ref="L9" si="0">2*PI()*F9*100</f>
        <v>0</v>
      </c>
      <c r="M9" s="225"/>
      <c r="N9" s="225">
        <f t="shared" ref="N9" si="1">2*PI()*H9*200</f>
        <v>0</v>
      </c>
      <c r="O9" s="225"/>
      <c r="P9" s="225">
        <f t="shared" ref="P9" si="2">2*PI()*J9*300</f>
        <v>0</v>
      </c>
      <c r="Q9" s="225"/>
      <c r="R9" s="145">
        <f t="shared" ref="R9:R25" si="3">2*PI()*F9*100</f>
        <v>0</v>
      </c>
      <c r="S9" s="145" t="e">
        <f t="shared" ref="S9:S25" si="4">((F9*H9)/(ABS(H9-F9)))*2*PI()*100</f>
        <v>#DIV/0!</v>
      </c>
      <c r="T9" s="145" t="e">
        <f t="shared" ref="T9:T25" si="5">((H9*J9)/(ABS(J9-H9)))*2*PI()*100</f>
        <v>#DIV/0!</v>
      </c>
      <c r="U9" s="146" t="str">
        <f>IF(R9&lt;=500,"Muy Corrosivo",IF(R9&lt;=1000,"Corrosivo",IF(R9&lt;=2000,"Moderadamente Corrosivo",IF(R9&lt;=10000,"Medianamente Corrosivo",IF(R9&gt;10000,"Despreciable","N/A")))))</f>
        <v>Muy Corrosivo</v>
      </c>
      <c r="V9" s="146" t="e">
        <f t="shared" ref="V9:W159" si="6">IF(S9&lt;=500,"Muy Corrosivo",IF(S9&lt;=1000,"Corrosivo",IF(S9&lt;=2000,"Moderadamente Corrosivo",IF(S9&lt;=10000,"Medianamente Corrosivo",IF(S9&gt;10000,"Despreciable","N/A")))))</f>
        <v>#DIV/0!</v>
      </c>
      <c r="W9" s="146" t="e">
        <f t="shared" si="6"/>
        <v>#DIV/0!</v>
      </c>
    </row>
    <row r="10" spans="1:23" ht="20.25" customHeight="1">
      <c r="A10" s="143"/>
      <c r="B10" s="144"/>
      <c r="C10" s="210"/>
      <c r="D10" s="210"/>
      <c r="E10" s="222"/>
      <c r="F10" s="223"/>
      <c r="G10" s="224"/>
      <c r="H10" s="223"/>
      <c r="I10" s="224"/>
      <c r="J10" s="223"/>
      <c r="K10" s="224"/>
      <c r="L10" s="225">
        <f t="shared" ref="L10:L24" si="7">2*PI()*F10*100</f>
        <v>0</v>
      </c>
      <c r="M10" s="225"/>
      <c r="N10" s="225">
        <f t="shared" ref="N10:N24" si="8">2*PI()*H10*200</f>
        <v>0</v>
      </c>
      <c r="O10" s="225"/>
      <c r="P10" s="225">
        <f t="shared" ref="P10:P24" si="9">2*PI()*J10*300</f>
        <v>0</v>
      </c>
      <c r="Q10" s="225"/>
      <c r="R10" s="145">
        <f t="shared" si="3"/>
        <v>0</v>
      </c>
      <c r="S10" s="145" t="e">
        <f t="shared" si="4"/>
        <v>#DIV/0!</v>
      </c>
      <c r="T10" s="145" t="e">
        <f t="shared" si="5"/>
        <v>#DIV/0!</v>
      </c>
      <c r="U10" s="146" t="str">
        <f t="shared" ref="U10:U24" si="10">IF(R10&lt;=500,"Muy Corrosivo",IF(R10&lt;=1000,"Corrosivo",IF(R10&lt;=2000,"Moderadamente Corrosivo",IF(R10&lt;=10000,"Medianamente Corrosivo",IF(R10&gt;10000,"Despreciable","N/A")))))</f>
        <v>Muy Corrosivo</v>
      </c>
      <c r="V10" s="146" t="e">
        <f t="shared" ref="V10:V24" si="11">IF(S10&lt;=500,"Muy Corrosivo",IF(S10&lt;=1000,"Corrosivo",IF(S10&lt;=2000,"Moderadamente Corrosivo",IF(S10&lt;=10000,"Medianamente Corrosivo",IF(S10&gt;10000,"Despreciable","N/A")))))</f>
        <v>#DIV/0!</v>
      </c>
      <c r="W10" s="146" t="e">
        <f t="shared" ref="W10:W24" si="12">IF(T10&lt;=500,"Muy Corrosivo",IF(T10&lt;=1000,"Corrosivo",IF(T10&lt;=2000,"Moderadamente Corrosivo",IF(T10&lt;=10000,"Medianamente Corrosivo",IF(T10&gt;10000,"Despreciable","N/A")))))</f>
        <v>#DIV/0!</v>
      </c>
    </row>
    <row r="11" spans="1:23" ht="20.25" customHeight="1">
      <c r="A11" s="143"/>
      <c r="B11" s="144"/>
      <c r="C11" s="210"/>
      <c r="D11" s="210"/>
      <c r="E11" s="222"/>
      <c r="F11" s="223"/>
      <c r="G11" s="224"/>
      <c r="H11" s="223"/>
      <c r="I11" s="224"/>
      <c r="J11" s="223"/>
      <c r="K11" s="224"/>
      <c r="L11" s="225">
        <f t="shared" si="7"/>
        <v>0</v>
      </c>
      <c r="M11" s="225"/>
      <c r="N11" s="225">
        <f t="shared" si="8"/>
        <v>0</v>
      </c>
      <c r="O11" s="225"/>
      <c r="P11" s="225">
        <f t="shared" si="9"/>
        <v>0</v>
      </c>
      <c r="Q11" s="225"/>
      <c r="R11" s="145">
        <f t="shared" si="3"/>
        <v>0</v>
      </c>
      <c r="S11" s="145" t="e">
        <f t="shared" si="4"/>
        <v>#DIV/0!</v>
      </c>
      <c r="T11" s="145" t="e">
        <f t="shared" si="5"/>
        <v>#DIV/0!</v>
      </c>
      <c r="U11" s="146" t="str">
        <f t="shared" si="10"/>
        <v>Muy Corrosivo</v>
      </c>
      <c r="V11" s="146" t="e">
        <f t="shared" si="11"/>
        <v>#DIV/0!</v>
      </c>
      <c r="W11" s="146" t="e">
        <f t="shared" si="12"/>
        <v>#DIV/0!</v>
      </c>
    </row>
    <row r="12" spans="1:23" ht="20.25" customHeight="1">
      <c r="A12" s="143"/>
      <c r="B12" s="144"/>
      <c r="C12" s="210"/>
      <c r="D12" s="210"/>
      <c r="E12" s="222"/>
      <c r="F12" s="223"/>
      <c r="G12" s="224"/>
      <c r="H12" s="223"/>
      <c r="I12" s="224"/>
      <c r="J12" s="223"/>
      <c r="K12" s="224"/>
      <c r="L12" s="225">
        <f t="shared" si="7"/>
        <v>0</v>
      </c>
      <c r="M12" s="225"/>
      <c r="N12" s="225">
        <f t="shared" si="8"/>
        <v>0</v>
      </c>
      <c r="O12" s="225"/>
      <c r="P12" s="225">
        <f t="shared" si="9"/>
        <v>0</v>
      </c>
      <c r="Q12" s="225"/>
      <c r="R12" s="145">
        <f t="shared" si="3"/>
        <v>0</v>
      </c>
      <c r="S12" s="145" t="e">
        <f t="shared" si="4"/>
        <v>#DIV/0!</v>
      </c>
      <c r="T12" s="145" t="e">
        <f t="shared" si="5"/>
        <v>#DIV/0!</v>
      </c>
      <c r="U12" s="146" t="str">
        <f t="shared" si="10"/>
        <v>Muy Corrosivo</v>
      </c>
      <c r="V12" s="146" t="e">
        <f t="shared" si="11"/>
        <v>#DIV/0!</v>
      </c>
      <c r="W12" s="146" t="e">
        <f t="shared" si="12"/>
        <v>#DIV/0!</v>
      </c>
    </row>
    <row r="13" spans="1:23" ht="20.25" customHeight="1">
      <c r="A13" s="143"/>
      <c r="B13" s="144"/>
      <c r="C13" s="210"/>
      <c r="D13" s="210"/>
      <c r="E13" s="222"/>
      <c r="F13" s="223"/>
      <c r="G13" s="224"/>
      <c r="H13" s="223"/>
      <c r="I13" s="224"/>
      <c r="J13" s="223"/>
      <c r="K13" s="224"/>
      <c r="L13" s="225">
        <f t="shared" si="7"/>
        <v>0</v>
      </c>
      <c r="M13" s="225"/>
      <c r="N13" s="225">
        <f t="shared" si="8"/>
        <v>0</v>
      </c>
      <c r="O13" s="225"/>
      <c r="P13" s="225">
        <f t="shared" si="9"/>
        <v>0</v>
      </c>
      <c r="Q13" s="225"/>
      <c r="R13" s="145">
        <f t="shared" si="3"/>
        <v>0</v>
      </c>
      <c r="S13" s="145" t="e">
        <f t="shared" si="4"/>
        <v>#DIV/0!</v>
      </c>
      <c r="T13" s="145" t="e">
        <f t="shared" si="5"/>
        <v>#DIV/0!</v>
      </c>
      <c r="U13" s="146" t="str">
        <f t="shared" si="10"/>
        <v>Muy Corrosivo</v>
      </c>
      <c r="V13" s="146" t="e">
        <f t="shared" si="11"/>
        <v>#DIV/0!</v>
      </c>
      <c r="W13" s="146" t="e">
        <f t="shared" si="12"/>
        <v>#DIV/0!</v>
      </c>
    </row>
    <row r="14" spans="1:23" ht="20.25" customHeight="1">
      <c r="A14" s="143"/>
      <c r="B14" s="144"/>
      <c r="C14" s="210"/>
      <c r="D14" s="210"/>
      <c r="E14" s="222"/>
      <c r="F14" s="223"/>
      <c r="G14" s="224"/>
      <c r="H14" s="223"/>
      <c r="I14" s="224"/>
      <c r="J14" s="223"/>
      <c r="K14" s="224"/>
      <c r="L14" s="225">
        <f t="shared" si="7"/>
        <v>0</v>
      </c>
      <c r="M14" s="225"/>
      <c r="N14" s="225">
        <f t="shared" si="8"/>
        <v>0</v>
      </c>
      <c r="O14" s="225"/>
      <c r="P14" s="225">
        <f t="shared" si="9"/>
        <v>0</v>
      </c>
      <c r="Q14" s="225"/>
      <c r="R14" s="145">
        <f t="shared" si="3"/>
        <v>0</v>
      </c>
      <c r="S14" s="145" t="e">
        <f t="shared" si="4"/>
        <v>#DIV/0!</v>
      </c>
      <c r="T14" s="145" t="e">
        <f t="shared" si="5"/>
        <v>#DIV/0!</v>
      </c>
      <c r="U14" s="146" t="str">
        <f t="shared" si="10"/>
        <v>Muy Corrosivo</v>
      </c>
      <c r="V14" s="146" t="e">
        <f t="shared" si="11"/>
        <v>#DIV/0!</v>
      </c>
      <c r="W14" s="146" t="e">
        <f t="shared" si="12"/>
        <v>#DIV/0!</v>
      </c>
    </row>
    <row r="15" spans="1:23" ht="20.25" customHeight="1">
      <c r="A15" s="143"/>
      <c r="B15" s="144"/>
      <c r="C15" s="210"/>
      <c r="D15" s="210"/>
      <c r="E15" s="222"/>
      <c r="F15" s="223"/>
      <c r="G15" s="224"/>
      <c r="H15" s="223"/>
      <c r="I15" s="224"/>
      <c r="J15" s="223"/>
      <c r="K15" s="224"/>
      <c r="L15" s="225">
        <f t="shared" si="7"/>
        <v>0</v>
      </c>
      <c r="M15" s="225"/>
      <c r="N15" s="225">
        <f t="shared" si="8"/>
        <v>0</v>
      </c>
      <c r="O15" s="225"/>
      <c r="P15" s="225">
        <f t="shared" si="9"/>
        <v>0</v>
      </c>
      <c r="Q15" s="225"/>
      <c r="R15" s="145">
        <f t="shared" si="3"/>
        <v>0</v>
      </c>
      <c r="S15" s="145" t="e">
        <f t="shared" si="4"/>
        <v>#DIV/0!</v>
      </c>
      <c r="T15" s="145" t="e">
        <f t="shared" si="5"/>
        <v>#DIV/0!</v>
      </c>
      <c r="U15" s="146" t="str">
        <f t="shared" si="10"/>
        <v>Muy Corrosivo</v>
      </c>
      <c r="V15" s="146" t="e">
        <f t="shared" si="11"/>
        <v>#DIV/0!</v>
      </c>
      <c r="W15" s="146" t="e">
        <f t="shared" si="12"/>
        <v>#DIV/0!</v>
      </c>
    </row>
    <row r="16" spans="1:23" ht="20.25" customHeight="1">
      <c r="A16" s="143"/>
      <c r="B16" s="144"/>
      <c r="C16" s="210"/>
      <c r="D16" s="210"/>
      <c r="E16" s="222"/>
      <c r="F16" s="223"/>
      <c r="G16" s="224"/>
      <c r="H16" s="223"/>
      <c r="I16" s="224"/>
      <c r="J16" s="223"/>
      <c r="K16" s="224"/>
      <c r="L16" s="225">
        <f t="shared" si="7"/>
        <v>0</v>
      </c>
      <c r="M16" s="225"/>
      <c r="N16" s="225">
        <f t="shared" si="8"/>
        <v>0</v>
      </c>
      <c r="O16" s="225"/>
      <c r="P16" s="225">
        <f t="shared" si="9"/>
        <v>0</v>
      </c>
      <c r="Q16" s="225"/>
      <c r="R16" s="145">
        <f t="shared" si="3"/>
        <v>0</v>
      </c>
      <c r="S16" s="145" t="e">
        <f t="shared" si="4"/>
        <v>#DIV/0!</v>
      </c>
      <c r="T16" s="145" t="e">
        <f t="shared" si="5"/>
        <v>#DIV/0!</v>
      </c>
      <c r="U16" s="146" t="str">
        <f t="shared" si="10"/>
        <v>Muy Corrosivo</v>
      </c>
      <c r="V16" s="146" t="e">
        <f t="shared" si="11"/>
        <v>#DIV/0!</v>
      </c>
      <c r="W16" s="146" t="e">
        <f t="shared" si="12"/>
        <v>#DIV/0!</v>
      </c>
    </row>
    <row r="17" spans="1:23" ht="20.25" customHeight="1">
      <c r="A17" s="143"/>
      <c r="B17" s="144"/>
      <c r="C17" s="210"/>
      <c r="D17" s="210"/>
      <c r="E17" s="222"/>
      <c r="F17" s="223"/>
      <c r="G17" s="224"/>
      <c r="H17" s="223"/>
      <c r="I17" s="224"/>
      <c r="J17" s="223"/>
      <c r="K17" s="224"/>
      <c r="L17" s="225">
        <f t="shared" si="7"/>
        <v>0</v>
      </c>
      <c r="M17" s="225"/>
      <c r="N17" s="225">
        <f t="shared" si="8"/>
        <v>0</v>
      </c>
      <c r="O17" s="225"/>
      <c r="P17" s="225">
        <f t="shared" si="9"/>
        <v>0</v>
      </c>
      <c r="Q17" s="225"/>
      <c r="R17" s="145">
        <f t="shared" si="3"/>
        <v>0</v>
      </c>
      <c r="S17" s="145" t="e">
        <f t="shared" si="4"/>
        <v>#DIV/0!</v>
      </c>
      <c r="T17" s="145" t="e">
        <f t="shared" si="5"/>
        <v>#DIV/0!</v>
      </c>
      <c r="U17" s="146" t="str">
        <f t="shared" si="10"/>
        <v>Muy Corrosivo</v>
      </c>
      <c r="V17" s="146" t="e">
        <f t="shared" si="11"/>
        <v>#DIV/0!</v>
      </c>
      <c r="W17" s="146" t="e">
        <f t="shared" si="12"/>
        <v>#DIV/0!</v>
      </c>
    </row>
    <row r="18" spans="1:23" ht="20.25" customHeight="1">
      <c r="A18" s="143"/>
      <c r="B18" s="144"/>
      <c r="C18" s="210"/>
      <c r="D18" s="210"/>
      <c r="E18" s="222"/>
      <c r="F18" s="223"/>
      <c r="G18" s="224"/>
      <c r="H18" s="223"/>
      <c r="I18" s="224"/>
      <c r="J18" s="223"/>
      <c r="K18" s="224"/>
      <c r="L18" s="225">
        <f t="shared" si="7"/>
        <v>0</v>
      </c>
      <c r="M18" s="225"/>
      <c r="N18" s="225">
        <f t="shared" si="8"/>
        <v>0</v>
      </c>
      <c r="O18" s="225"/>
      <c r="P18" s="225">
        <f t="shared" si="9"/>
        <v>0</v>
      </c>
      <c r="Q18" s="225"/>
      <c r="R18" s="145">
        <f t="shared" si="3"/>
        <v>0</v>
      </c>
      <c r="S18" s="145" t="e">
        <f t="shared" si="4"/>
        <v>#DIV/0!</v>
      </c>
      <c r="T18" s="145" t="e">
        <f t="shared" si="5"/>
        <v>#DIV/0!</v>
      </c>
      <c r="U18" s="146" t="str">
        <f t="shared" si="10"/>
        <v>Muy Corrosivo</v>
      </c>
      <c r="V18" s="146" t="e">
        <f t="shared" si="11"/>
        <v>#DIV/0!</v>
      </c>
      <c r="W18" s="146" t="e">
        <f>IF(T18&lt;=500,"Muy Corrosivo",IF(T18&lt;=1000,"Corrosivo",IF(T18&lt;=2000,"Moderadamente Corrosivo",IF(T18&lt;=10000,"Medianamente Corrosivo",IF(T18&gt;10000,"Despreciable","N/A")))))</f>
        <v>#DIV/0!</v>
      </c>
    </row>
    <row r="19" spans="1:23" ht="20.25" customHeight="1">
      <c r="A19" s="143"/>
      <c r="B19" s="144"/>
      <c r="C19" s="210"/>
      <c r="D19" s="210"/>
      <c r="E19" s="222"/>
      <c r="F19" s="223"/>
      <c r="G19" s="224"/>
      <c r="H19" s="223"/>
      <c r="I19" s="224"/>
      <c r="J19" s="223"/>
      <c r="K19" s="224"/>
      <c r="L19" s="225">
        <f t="shared" si="7"/>
        <v>0</v>
      </c>
      <c r="M19" s="225"/>
      <c r="N19" s="225">
        <f t="shared" si="8"/>
        <v>0</v>
      </c>
      <c r="O19" s="225"/>
      <c r="P19" s="225">
        <f t="shared" si="9"/>
        <v>0</v>
      </c>
      <c r="Q19" s="225"/>
      <c r="R19" s="145">
        <f t="shared" si="3"/>
        <v>0</v>
      </c>
      <c r="S19" s="145" t="e">
        <f t="shared" si="4"/>
        <v>#DIV/0!</v>
      </c>
      <c r="T19" s="145" t="e">
        <f t="shared" si="5"/>
        <v>#DIV/0!</v>
      </c>
      <c r="U19" s="146" t="str">
        <f t="shared" si="10"/>
        <v>Muy Corrosivo</v>
      </c>
      <c r="V19" s="146" t="e">
        <f t="shared" si="11"/>
        <v>#DIV/0!</v>
      </c>
      <c r="W19" s="146" t="e">
        <f t="shared" si="12"/>
        <v>#DIV/0!</v>
      </c>
    </row>
    <row r="20" spans="1:23" ht="20.25" customHeight="1">
      <c r="A20" s="143"/>
      <c r="B20" s="144"/>
      <c r="C20" s="210"/>
      <c r="D20" s="210"/>
      <c r="E20" s="222"/>
      <c r="F20" s="223"/>
      <c r="G20" s="224"/>
      <c r="H20" s="223"/>
      <c r="I20" s="224"/>
      <c r="J20" s="223"/>
      <c r="K20" s="224"/>
      <c r="L20" s="225">
        <f t="shared" si="7"/>
        <v>0</v>
      </c>
      <c r="M20" s="225"/>
      <c r="N20" s="225">
        <f t="shared" si="8"/>
        <v>0</v>
      </c>
      <c r="O20" s="225"/>
      <c r="P20" s="225">
        <f t="shared" si="9"/>
        <v>0</v>
      </c>
      <c r="Q20" s="225"/>
      <c r="R20" s="145">
        <f t="shared" si="3"/>
        <v>0</v>
      </c>
      <c r="S20" s="145" t="e">
        <f t="shared" si="4"/>
        <v>#DIV/0!</v>
      </c>
      <c r="T20" s="145" t="e">
        <f t="shared" si="5"/>
        <v>#DIV/0!</v>
      </c>
      <c r="U20" s="146" t="str">
        <f t="shared" si="10"/>
        <v>Muy Corrosivo</v>
      </c>
      <c r="V20" s="146" t="e">
        <f t="shared" si="11"/>
        <v>#DIV/0!</v>
      </c>
      <c r="W20" s="146" t="e">
        <f t="shared" si="12"/>
        <v>#DIV/0!</v>
      </c>
    </row>
    <row r="21" spans="1:23" ht="20.25" customHeight="1">
      <c r="A21" s="143"/>
      <c r="B21" s="144"/>
      <c r="C21" s="210"/>
      <c r="D21" s="210"/>
      <c r="E21" s="222"/>
      <c r="F21" s="223"/>
      <c r="G21" s="224"/>
      <c r="H21" s="223"/>
      <c r="I21" s="224"/>
      <c r="J21" s="223"/>
      <c r="K21" s="224"/>
      <c r="L21" s="225">
        <f t="shared" si="7"/>
        <v>0</v>
      </c>
      <c r="M21" s="225"/>
      <c r="N21" s="225">
        <f t="shared" si="8"/>
        <v>0</v>
      </c>
      <c r="O21" s="225"/>
      <c r="P21" s="225">
        <f t="shared" si="9"/>
        <v>0</v>
      </c>
      <c r="Q21" s="225"/>
      <c r="R21" s="145">
        <f t="shared" si="3"/>
        <v>0</v>
      </c>
      <c r="S21" s="145" t="e">
        <f t="shared" si="4"/>
        <v>#DIV/0!</v>
      </c>
      <c r="T21" s="145" t="e">
        <f t="shared" si="5"/>
        <v>#DIV/0!</v>
      </c>
      <c r="U21" s="146" t="str">
        <f t="shared" si="10"/>
        <v>Muy Corrosivo</v>
      </c>
      <c r="V21" s="146" t="e">
        <f t="shared" si="11"/>
        <v>#DIV/0!</v>
      </c>
      <c r="W21" s="146" t="e">
        <f t="shared" si="12"/>
        <v>#DIV/0!</v>
      </c>
    </row>
    <row r="22" spans="1:23" ht="20.25" customHeight="1">
      <c r="A22" s="143"/>
      <c r="B22" s="144"/>
      <c r="C22" s="210"/>
      <c r="D22" s="210"/>
      <c r="E22" s="222"/>
      <c r="F22" s="223"/>
      <c r="G22" s="224"/>
      <c r="H22" s="223"/>
      <c r="I22" s="224"/>
      <c r="J22" s="223"/>
      <c r="K22" s="224"/>
      <c r="L22" s="225">
        <f t="shared" si="7"/>
        <v>0</v>
      </c>
      <c r="M22" s="225"/>
      <c r="N22" s="225">
        <f t="shared" si="8"/>
        <v>0</v>
      </c>
      <c r="O22" s="225"/>
      <c r="P22" s="225">
        <f t="shared" si="9"/>
        <v>0</v>
      </c>
      <c r="Q22" s="225"/>
      <c r="R22" s="145">
        <f t="shared" si="3"/>
        <v>0</v>
      </c>
      <c r="S22" s="145" t="e">
        <f t="shared" si="4"/>
        <v>#DIV/0!</v>
      </c>
      <c r="T22" s="145" t="e">
        <f t="shared" si="5"/>
        <v>#DIV/0!</v>
      </c>
      <c r="U22" s="146" t="str">
        <f t="shared" si="10"/>
        <v>Muy Corrosivo</v>
      </c>
      <c r="V22" s="146" t="e">
        <f t="shared" si="11"/>
        <v>#DIV/0!</v>
      </c>
      <c r="W22" s="146" t="e">
        <f t="shared" si="12"/>
        <v>#DIV/0!</v>
      </c>
    </row>
    <row r="23" spans="1:23" ht="20.25" customHeight="1">
      <c r="A23" s="143"/>
      <c r="B23" s="144"/>
      <c r="C23" s="210"/>
      <c r="D23" s="210"/>
      <c r="E23" s="222"/>
      <c r="F23" s="223"/>
      <c r="G23" s="224"/>
      <c r="H23" s="223"/>
      <c r="I23" s="224"/>
      <c r="J23" s="223"/>
      <c r="K23" s="224"/>
      <c r="L23" s="225">
        <f t="shared" si="7"/>
        <v>0</v>
      </c>
      <c r="M23" s="225"/>
      <c r="N23" s="225">
        <f t="shared" si="8"/>
        <v>0</v>
      </c>
      <c r="O23" s="225"/>
      <c r="P23" s="225">
        <f t="shared" si="9"/>
        <v>0</v>
      </c>
      <c r="Q23" s="225"/>
      <c r="R23" s="145">
        <f t="shared" si="3"/>
        <v>0</v>
      </c>
      <c r="S23" s="145" t="e">
        <f t="shared" si="4"/>
        <v>#DIV/0!</v>
      </c>
      <c r="T23" s="145" t="e">
        <f t="shared" si="5"/>
        <v>#DIV/0!</v>
      </c>
      <c r="U23" s="146" t="str">
        <f t="shared" si="10"/>
        <v>Muy Corrosivo</v>
      </c>
      <c r="V23" s="146" t="e">
        <f t="shared" si="11"/>
        <v>#DIV/0!</v>
      </c>
      <c r="W23" s="146" t="e">
        <f t="shared" si="12"/>
        <v>#DIV/0!</v>
      </c>
    </row>
    <row r="24" spans="1:23" ht="20.25" customHeight="1">
      <c r="A24" s="143"/>
      <c r="B24" s="144"/>
      <c r="C24" s="210"/>
      <c r="D24" s="210"/>
      <c r="E24" s="222"/>
      <c r="F24" s="223"/>
      <c r="G24" s="224"/>
      <c r="H24" s="223"/>
      <c r="I24" s="224"/>
      <c r="J24" s="223"/>
      <c r="K24" s="224"/>
      <c r="L24" s="225">
        <f t="shared" si="7"/>
        <v>0</v>
      </c>
      <c r="M24" s="225"/>
      <c r="N24" s="225">
        <f t="shared" si="8"/>
        <v>0</v>
      </c>
      <c r="O24" s="225"/>
      <c r="P24" s="225">
        <f t="shared" si="9"/>
        <v>0</v>
      </c>
      <c r="Q24" s="225"/>
      <c r="R24" s="145">
        <f t="shared" si="3"/>
        <v>0</v>
      </c>
      <c r="S24" s="145" t="e">
        <f t="shared" si="4"/>
        <v>#DIV/0!</v>
      </c>
      <c r="T24" s="145" t="e">
        <f t="shared" si="5"/>
        <v>#DIV/0!</v>
      </c>
      <c r="U24" s="146" t="str">
        <f t="shared" si="10"/>
        <v>Muy Corrosivo</v>
      </c>
      <c r="V24" s="146" t="e">
        <f t="shared" si="11"/>
        <v>#DIV/0!</v>
      </c>
      <c r="W24" s="146" t="e">
        <f t="shared" si="12"/>
        <v>#DIV/0!</v>
      </c>
    </row>
    <row r="25" spans="1:23" ht="20.25" customHeight="1">
      <c r="A25" s="143"/>
      <c r="B25" s="144"/>
      <c r="C25" s="210"/>
      <c r="D25" s="210"/>
      <c r="E25" s="222"/>
      <c r="F25" s="223"/>
      <c r="G25" s="224"/>
      <c r="H25" s="223"/>
      <c r="I25" s="224"/>
      <c r="J25" s="223"/>
      <c r="K25" s="224"/>
      <c r="L25" s="225">
        <f t="shared" ref="L25" si="13">2*PI()*F25*100</f>
        <v>0</v>
      </c>
      <c r="M25" s="225"/>
      <c r="N25" s="225">
        <f t="shared" ref="N25" si="14">2*PI()*H25*200</f>
        <v>0</v>
      </c>
      <c r="O25" s="225"/>
      <c r="P25" s="225">
        <f t="shared" ref="P25" si="15">2*PI()*J25*300</f>
        <v>0</v>
      </c>
      <c r="Q25" s="225"/>
      <c r="R25" s="145">
        <f t="shared" si="3"/>
        <v>0</v>
      </c>
      <c r="S25" s="145" t="e">
        <f t="shared" si="4"/>
        <v>#DIV/0!</v>
      </c>
      <c r="T25" s="145" t="e">
        <f t="shared" si="5"/>
        <v>#DIV/0!</v>
      </c>
      <c r="U25" s="146" t="str">
        <f t="shared" ref="U25:U61" si="16">IF(R25&lt;=500,"Muy Corrosivo",IF(R25&lt;=1000,"Corrosivo",IF(R25&lt;=2000,"Moderadamente Corrosivo",IF(R25&lt;=10000,"Medianamente Corrosivo",IF(R25&gt;10000,"Despreciable","N/A")))))</f>
        <v>Muy Corrosivo</v>
      </c>
      <c r="V25" s="146" t="e">
        <f t="shared" si="6"/>
        <v>#DIV/0!</v>
      </c>
      <c r="W25" s="146" t="e">
        <f t="shared" si="6"/>
        <v>#DIV/0!</v>
      </c>
    </row>
    <row r="26" spans="1:23" ht="20.25" hidden="1" customHeight="1">
      <c r="A26" s="143"/>
      <c r="B26" s="144"/>
      <c r="C26" s="210"/>
      <c r="D26" s="210"/>
      <c r="E26" s="211"/>
      <c r="F26" s="223"/>
      <c r="G26" s="224"/>
      <c r="H26" s="223"/>
      <c r="I26" s="224"/>
      <c r="J26" s="223"/>
      <c r="K26" s="224"/>
      <c r="L26" s="225"/>
      <c r="M26" s="225"/>
      <c r="N26" s="225"/>
      <c r="O26" s="225"/>
      <c r="P26" s="225"/>
      <c r="Q26" s="225"/>
      <c r="R26" s="145"/>
      <c r="S26" s="145"/>
      <c r="T26" s="145"/>
      <c r="U26" s="146" t="str">
        <f t="shared" si="16"/>
        <v>Muy Corrosivo</v>
      </c>
      <c r="V26" s="146" t="str">
        <f t="shared" ref="V26:V53" si="17">IF(S26&lt;=500,"Muy Corrosivo",IF(S26&lt;=1000,"Corrosivo",IF(S26&lt;=2000,"Moderadamente Corrosivo",IF(S26&lt;=10000,"Medianamente Corrosivo",IF(S26&gt;10000,"Despreciable","N/A")))))</f>
        <v>Muy Corrosivo</v>
      </c>
      <c r="W26" s="146" t="str">
        <f t="shared" ref="W26:W53" si="18">IF(T26&lt;=500,"Muy Corrosivo",IF(T26&lt;=1000,"Corrosivo",IF(T26&lt;=2000,"Moderadamente Corrosivo",IF(T26&lt;=10000,"Medianamente Corrosivo",IF(T26&gt;10000,"Despreciable","N/A")))))</f>
        <v>Muy Corrosivo</v>
      </c>
    </row>
    <row r="27" spans="1:23" ht="20.25" hidden="1" customHeight="1">
      <c r="A27" s="143"/>
      <c r="B27" s="144"/>
      <c r="C27" s="210"/>
      <c r="D27" s="210"/>
      <c r="E27" s="211"/>
      <c r="F27" s="223"/>
      <c r="G27" s="224"/>
      <c r="H27" s="223"/>
      <c r="I27" s="224"/>
      <c r="J27" s="223"/>
      <c r="K27" s="224"/>
      <c r="L27" s="225"/>
      <c r="M27" s="225"/>
      <c r="N27" s="225"/>
      <c r="O27" s="225"/>
      <c r="P27" s="225"/>
      <c r="Q27" s="225"/>
      <c r="R27" s="145"/>
      <c r="S27" s="145"/>
      <c r="T27" s="145"/>
      <c r="U27" s="146" t="str">
        <f t="shared" ref="U27:U53" si="19">IF(R27&lt;=500,"Muy Corrosivo",IF(R27&lt;=1000,"Corrosivo",IF(R27&lt;=2000,"Moderadamente Corrosivo",IF(R27&lt;=10000,"Medianamente Corrosivo",IF(R27&gt;10000,"Despreciable","N/A")))))</f>
        <v>Muy Corrosivo</v>
      </c>
      <c r="V27" s="146" t="str">
        <f t="shared" si="17"/>
        <v>Muy Corrosivo</v>
      </c>
      <c r="W27" s="146" t="str">
        <f t="shared" si="18"/>
        <v>Muy Corrosivo</v>
      </c>
    </row>
    <row r="28" spans="1:23" ht="20.25" hidden="1" customHeight="1">
      <c r="A28" s="143"/>
      <c r="B28" s="144"/>
      <c r="C28" s="210"/>
      <c r="D28" s="210"/>
      <c r="E28" s="211"/>
      <c r="F28" s="223"/>
      <c r="G28" s="224"/>
      <c r="H28" s="223"/>
      <c r="I28" s="224"/>
      <c r="J28" s="223"/>
      <c r="K28" s="224"/>
      <c r="L28" s="225"/>
      <c r="M28" s="225"/>
      <c r="N28" s="225"/>
      <c r="O28" s="225"/>
      <c r="P28" s="225"/>
      <c r="Q28" s="225"/>
      <c r="R28" s="145"/>
      <c r="S28" s="145"/>
      <c r="T28" s="145"/>
      <c r="U28" s="146" t="str">
        <f t="shared" si="19"/>
        <v>Muy Corrosivo</v>
      </c>
      <c r="V28" s="146" t="str">
        <f t="shared" si="17"/>
        <v>Muy Corrosivo</v>
      </c>
      <c r="W28" s="146" t="str">
        <f t="shared" si="18"/>
        <v>Muy Corrosivo</v>
      </c>
    </row>
    <row r="29" spans="1:23" ht="20.25" hidden="1" customHeight="1">
      <c r="A29" s="143"/>
      <c r="B29" s="144"/>
      <c r="C29" s="210"/>
      <c r="D29" s="210"/>
      <c r="E29" s="211"/>
      <c r="F29" s="223"/>
      <c r="G29" s="224"/>
      <c r="H29" s="223"/>
      <c r="I29" s="224"/>
      <c r="J29" s="223"/>
      <c r="K29" s="224"/>
      <c r="L29" s="225"/>
      <c r="M29" s="225"/>
      <c r="N29" s="225"/>
      <c r="O29" s="225"/>
      <c r="P29" s="225"/>
      <c r="Q29" s="225"/>
      <c r="R29" s="145"/>
      <c r="S29" s="145"/>
      <c r="T29" s="145"/>
      <c r="U29" s="146" t="str">
        <f t="shared" si="19"/>
        <v>Muy Corrosivo</v>
      </c>
      <c r="V29" s="146" t="str">
        <f t="shared" si="17"/>
        <v>Muy Corrosivo</v>
      </c>
      <c r="W29" s="146" t="str">
        <f t="shared" si="18"/>
        <v>Muy Corrosivo</v>
      </c>
    </row>
    <row r="30" spans="1:23" ht="20.25" hidden="1" customHeight="1">
      <c r="A30" s="143"/>
      <c r="B30" s="144"/>
      <c r="C30" s="210"/>
      <c r="D30" s="210"/>
      <c r="E30" s="211"/>
      <c r="F30" s="223"/>
      <c r="G30" s="224"/>
      <c r="H30" s="223"/>
      <c r="I30" s="224"/>
      <c r="J30" s="223"/>
      <c r="K30" s="224"/>
      <c r="L30" s="225"/>
      <c r="M30" s="225"/>
      <c r="N30" s="225"/>
      <c r="O30" s="225"/>
      <c r="P30" s="225"/>
      <c r="Q30" s="225"/>
      <c r="R30" s="145"/>
      <c r="S30" s="145"/>
      <c r="T30" s="145"/>
      <c r="U30" s="146" t="str">
        <f t="shared" si="19"/>
        <v>Muy Corrosivo</v>
      </c>
      <c r="V30" s="146" t="str">
        <f t="shared" si="17"/>
        <v>Muy Corrosivo</v>
      </c>
      <c r="W30" s="146" t="str">
        <f t="shared" si="18"/>
        <v>Muy Corrosivo</v>
      </c>
    </row>
    <row r="31" spans="1:23" ht="20.25" hidden="1" customHeight="1">
      <c r="A31" s="143"/>
      <c r="B31" s="144"/>
      <c r="C31" s="210"/>
      <c r="D31" s="210"/>
      <c r="E31" s="211"/>
      <c r="F31" s="223"/>
      <c r="G31" s="224"/>
      <c r="H31" s="223"/>
      <c r="I31" s="224"/>
      <c r="J31" s="223"/>
      <c r="K31" s="224"/>
      <c r="L31" s="225"/>
      <c r="M31" s="225"/>
      <c r="N31" s="225"/>
      <c r="O31" s="225"/>
      <c r="P31" s="225"/>
      <c r="Q31" s="225"/>
      <c r="R31" s="145"/>
      <c r="S31" s="145"/>
      <c r="T31" s="145"/>
      <c r="U31" s="166" t="str">
        <f t="shared" si="19"/>
        <v>Muy Corrosivo</v>
      </c>
      <c r="V31" s="166" t="str">
        <f t="shared" si="17"/>
        <v>Muy Corrosivo</v>
      </c>
      <c r="W31" s="166" t="str">
        <f t="shared" si="18"/>
        <v>Muy Corrosivo</v>
      </c>
    </row>
    <row r="32" spans="1:23" ht="20.25" hidden="1" customHeight="1">
      <c r="A32" s="143"/>
      <c r="B32" s="144"/>
      <c r="C32" s="210"/>
      <c r="D32" s="210"/>
      <c r="E32" s="211"/>
      <c r="F32" s="223"/>
      <c r="G32" s="224"/>
      <c r="H32" s="223"/>
      <c r="I32" s="224"/>
      <c r="J32" s="223"/>
      <c r="K32" s="224"/>
      <c r="L32" s="225"/>
      <c r="M32" s="225"/>
      <c r="N32" s="225"/>
      <c r="O32" s="225"/>
      <c r="P32" s="225"/>
      <c r="Q32" s="225"/>
      <c r="R32" s="145"/>
      <c r="S32" s="145"/>
      <c r="T32" s="145"/>
      <c r="U32" s="166" t="str">
        <f t="shared" ref="U32:U38" si="20">IF(R32&lt;=500,"Muy Corrosivo",IF(R32&lt;=1000,"Corrosivo",IF(R32&lt;=2000,"Moderadamente Corrosivo",IF(R32&lt;=10000,"Medianamente Corrosivo",IF(R32&gt;10000,"Despreciable","N/A")))))</f>
        <v>Muy Corrosivo</v>
      </c>
      <c r="V32" s="166" t="str">
        <f t="shared" ref="V32:V38" si="21">IF(S32&lt;=500,"Muy Corrosivo",IF(S32&lt;=1000,"Corrosivo",IF(S32&lt;=2000,"Moderadamente Corrosivo",IF(S32&lt;=10000,"Medianamente Corrosivo",IF(S32&gt;10000,"Despreciable","N/A")))))</f>
        <v>Muy Corrosivo</v>
      </c>
      <c r="W32" s="166" t="str">
        <f t="shared" ref="W32:W38" si="22">IF(T32&lt;=500,"Muy Corrosivo",IF(T32&lt;=1000,"Corrosivo",IF(T32&lt;=2000,"Moderadamente Corrosivo",IF(T32&lt;=10000,"Medianamente Corrosivo",IF(T32&gt;10000,"Despreciable","N/A")))))</f>
        <v>Muy Corrosivo</v>
      </c>
    </row>
    <row r="33" spans="1:23" ht="20.25" hidden="1" customHeight="1">
      <c r="A33" s="143"/>
      <c r="B33" s="144"/>
      <c r="C33" s="210"/>
      <c r="D33" s="210"/>
      <c r="E33" s="211"/>
      <c r="F33" s="223"/>
      <c r="G33" s="224"/>
      <c r="H33" s="223"/>
      <c r="I33" s="224"/>
      <c r="J33" s="223"/>
      <c r="K33" s="224"/>
      <c r="L33" s="225"/>
      <c r="M33" s="225"/>
      <c r="N33" s="225"/>
      <c r="O33" s="225"/>
      <c r="P33" s="225"/>
      <c r="Q33" s="225"/>
      <c r="R33" s="145"/>
      <c r="S33" s="145"/>
      <c r="T33" s="145"/>
      <c r="U33" s="166" t="str">
        <f t="shared" si="20"/>
        <v>Muy Corrosivo</v>
      </c>
      <c r="V33" s="166" t="str">
        <f t="shared" si="21"/>
        <v>Muy Corrosivo</v>
      </c>
      <c r="W33" s="166" t="str">
        <f t="shared" si="22"/>
        <v>Muy Corrosivo</v>
      </c>
    </row>
    <row r="34" spans="1:23" ht="20.25" hidden="1" customHeight="1">
      <c r="A34" s="143"/>
      <c r="B34" s="144"/>
      <c r="C34" s="210"/>
      <c r="D34" s="210"/>
      <c r="E34" s="211"/>
      <c r="F34" s="223"/>
      <c r="G34" s="224"/>
      <c r="H34" s="223"/>
      <c r="I34" s="224"/>
      <c r="J34" s="223"/>
      <c r="K34" s="224"/>
      <c r="L34" s="225"/>
      <c r="M34" s="225"/>
      <c r="N34" s="225"/>
      <c r="O34" s="225"/>
      <c r="P34" s="225"/>
      <c r="Q34" s="225"/>
      <c r="R34" s="145"/>
      <c r="S34" s="145"/>
      <c r="T34" s="145"/>
      <c r="U34" s="166" t="str">
        <f t="shared" si="20"/>
        <v>Muy Corrosivo</v>
      </c>
      <c r="V34" s="166" t="str">
        <f t="shared" si="21"/>
        <v>Muy Corrosivo</v>
      </c>
      <c r="W34" s="166" t="str">
        <f t="shared" si="22"/>
        <v>Muy Corrosivo</v>
      </c>
    </row>
    <row r="35" spans="1:23" ht="20.25" hidden="1" customHeight="1">
      <c r="A35" s="143"/>
      <c r="B35" s="144"/>
      <c r="C35" s="210"/>
      <c r="D35" s="210"/>
      <c r="E35" s="211"/>
      <c r="F35" s="223"/>
      <c r="G35" s="224"/>
      <c r="H35" s="223"/>
      <c r="I35" s="224"/>
      <c r="J35" s="223"/>
      <c r="K35" s="224"/>
      <c r="L35" s="225"/>
      <c r="M35" s="225"/>
      <c r="N35" s="225"/>
      <c r="O35" s="225"/>
      <c r="P35" s="225"/>
      <c r="Q35" s="225"/>
      <c r="R35" s="145"/>
      <c r="S35" s="145"/>
      <c r="T35" s="145"/>
      <c r="U35" s="146" t="str">
        <f t="shared" si="20"/>
        <v>Muy Corrosivo</v>
      </c>
      <c r="V35" s="146" t="str">
        <f t="shared" si="21"/>
        <v>Muy Corrosivo</v>
      </c>
      <c r="W35" s="146" t="str">
        <f t="shared" si="22"/>
        <v>Muy Corrosivo</v>
      </c>
    </row>
    <row r="36" spans="1:23" ht="20.25" hidden="1" customHeight="1">
      <c r="A36" s="143"/>
      <c r="B36" s="144"/>
      <c r="C36" s="210"/>
      <c r="D36" s="210"/>
      <c r="E36" s="211"/>
      <c r="F36" s="223"/>
      <c r="G36" s="224"/>
      <c r="H36" s="223"/>
      <c r="I36" s="224"/>
      <c r="J36" s="223"/>
      <c r="K36" s="224"/>
      <c r="L36" s="225"/>
      <c r="M36" s="225"/>
      <c r="N36" s="225"/>
      <c r="O36" s="225"/>
      <c r="P36" s="225"/>
      <c r="Q36" s="225"/>
      <c r="R36" s="145"/>
      <c r="S36" s="145"/>
      <c r="T36" s="145"/>
      <c r="U36" s="146" t="str">
        <f t="shared" si="20"/>
        <v>Muy Corrosivo</v>
      </c>
      <c r="V36" s="146" t="str">
        <f t="shared" si="21"/>
        <v>Muy Corrosivo</v>
      </c>
      <c r="W36" s="146" t="str">
        <f t="shared" si="22"/>
        <v>Muy Corrosivo</v>
      </c>
    </row>
    <row r="37" spans="1:23" ht="20.25" hidden="1" customHeight="1">
      <c r="A37" s="143"/>
      <c r="B37" s="144"/>
      <c r="C37" s="210"/>
      <c r="D37" s="210"/>
      <c r="E37" s="211"/>
      <c r="F37" s="223"/>
      <c r="G37" s="224"/>
      <c r="H37" s="223"/>
      <c r="I37" s="224"/>
      <c r="J37" s="223"/>
      <c r="K37" s="224"/>
      <c r="L37" s="225"/>
      <c r="M37" s="225"/>
      <c r="N37" s="225"/>
      <c r="O37" s="225"/>
      <c r="P37" s="225"/>
      <c r="Q37" s="225"/>
      <c r="R37" s="145"/>
      <c r="S37" s="145"/>
      <c r="T37" s="145"/>
      <c r="U37" s="146" t="str">
        <f t="shared" si="20"/>
        <v>Muy Corrosivo</v>
      </c>
      <c r="V37" s="146" t="str">
        <f t="shared" si="21"/>
        <v>Muy Corrosivo</v>
      </c>
      <c r="W37" s="146" t="str">
        <f t="shared" si="22"/>
        <v>Muy Corrosivo</v>
      </c>
    </row>
    <row r="38" spans="1:23" ht="20.25" hidden="1" customHeight="1">
      <c r="A38" s="143"/>
      <c r="B38" s="144"/>
      <c r="C38" s="210"/>
      <c r="D38" s="210"/>
      <c r="E38" s="211"/>
      <c r="F38" s="223"/>
      <c r="G38" s="224"/>
      <c r="H38" s="223"/>
      <c r="I38" s="224"/>
      <c r="J38" s="223"/>
      <c r="K38" s="224"/>
      <c r="L38" s="225"/>
      <c r="M38" s="225"/>
      <c r="N38" s="225"/>
      <c r="O38" s="225"/>
      <c r="P38" s="225"/>
      <c r="Q38" s="225"/>
      <c r="R38" s="145"/>
      <c r="S38" s="145"/>
      <c r="T38" s="145"/>
      <c r="U38" s="146" t="str">
        <f t="shared" si="20"/>
        <v>Muy Corrosivo</v>
      </c>
      <c r="V38" s="146" t="str">
        <f t="shared" si="21"/>
        <v>Muy Corrosivo</v>
      </c>
      <c r="W38" s="146" t="str">
        <f t="shared" si="22"/>
        <v>Muy Corrosivo</v>
      </c>
    </row>
    <row r="39" spans="1:23" ht="20.25" hidden="1" customHeight="1">
      <c r="A39" s="143"/>
      <c r="B39" s="144"/>
      <c r="C39" s="210"/>
      <c r="D39" s="210"/>
      <c r="E39" s="211"/>
      <c r="F39" s="223"/>
      <c r="G39" s="224"/>
      <c r="H39" s="223"/>
      <c r="I39" s="224"/>
      <c r="J39" s="223"/>
      <c r="K39" s="224"/>
      <c r="L39" s="225"/>
      <c r="M39" s="225"/>
      <c r="N39" s="225"/>
      <c r="O39" s="225"/>
      <c r="P39" s="225"/>
      <c r="Q39" s="225"/>
      <c r="R39" s="145"/>
      <c r="S39" s="145"/>
      <c r="T39" s="145"/>
      <c r="U39" s="146" t="str">
        <f t="shared" si="19"/>
        <v>Muy Corrosivo</v>
      </c>
      <c r="V39" s="146" t="str">
        <f t="shared" si="17"/>
        <v>Muy Corrosivo</v>
      </c>
      <c r="W39" s="146" t="str">
        <f t="shared" si="18"/>
        <v>Muy Corrosivo</v>
      </c>
    </row>
    <row r="40" spans="1:23" ht="20.25" hidden="1" customHeight="1">
      <c r="A40" s="143"/>
      <c r="B40" s="144"/>
      <c r="C40" s="210"/>
      <c r="D40" s="210"/>
      <c r="E40" s="211"/>
      <c r="F40" s="223"/>
      <c r="G40" s="224"/>
      <c r="H40" s="223"/>
      <c r="I40" s="224"/>
      <c r="J40" s="223"/>
      <c r="K40" s="224"/>
      <c r="L40" s="225"/>
      <c r="M40" s="225"/>
      <c r="N40" s="225"/>
      <c r="O40" s="225"/>
      <c r="P40" s="225"/>
      <c r="Q40" s="225"/>
      <c r="R40" s="145"/>
      <c r="S40" s="145"/>
      <c r="T40" s="145"/>
      <c r="U40" s="146" t="str">
        <f t="shared" si="19"/>
        <v>Muy Corrosivo</v>
      </c>
      <c r="V40" s="146" t="str">
        <f t="shared" si="17"/>
        <v>Muy Corrosivo</v>
      </c>
      <c r="W40" s="146" t="str">
        <f t="shared" si="18"/>
        <v>Muy Corrosivo</v>
      </c>
    </row>
    <row r="41" spans="1:23" ht="20.25" hidden="1" customHeight="1">
      <c r="A41" s="143"/>
      <c r="B41" s="144"/>
      <c r="C41" s="210"/>
      <c r="D41" s="210"/>
      <c r="E41" s="211"/>
      <c r="F41" s="223"/>
      <c r="G41" s="224"/>
      <c r="H41" s="223"/>
      <c r="I41" s="224"/>
      <c r="J41" s="223"/>
      <c r="K41" s="224"/>
      <c r="L41" s="225"/>
      <c r="M41" s="225"/>
      <c r="N41" s="225"/>
      <c r="O41" s="225"/>
      <c r="P41" s="225"/>
      <c r="Q41" s="225"/>
      <c r="R41" s="145"/>
      <c r="S41" s="145"/>
      <c r="T41" s="145"/>
      <c r="U41" s="146" t="str">
        <f t="shared" si="19"/>
        <v>Muy Corrosivo</v>
      </c>
      <c r="V41" s="146" t="str">
        <f t="shared" si="17"/>
        <v>Muy Corrosivo</v>
      </c>
      <c r="W41" s="146" t="str">
        <f t="shared" si="18"/>
        <v>Muy Corrosivo</v>
      </c>
    </row>
    <row r="42" spans="1:23" ht="20.25" hidden="1" customHeight="1">
      <c r="A42" s="143"/>
      <c r="B42" s="144"/>
      <c r="C42" s="210"/>
      <c r="D42" s="210"/>
      <c r="E42" s="211"/>
      <c r="F42" s="223"/>
      <c r="G42" s="224"/>
      <c r="H42" s="223"/>
      <c r="I42" s="224"/>
      <c r="J42" s="223"/>
      <c r="K42" s="224"/>
      <c r="L42" s="225"/>
      <c r="M42" s="225"/>
      <c r="N42" s="225"/>
      <c r="O42" s="225"/>
      <c r="P42" s="225"/>
      <c r="Q42" s="225"/>
      <c r="R42" s="145"/>
      <c r="S42" s="145"/>
      <c r="T42" s="145"/>
      <c r="U42" s="146" t="str">
        <f t="shared" si="19"/>
        <v>Muy Corrosivo</v>
      </c>
      <c r="V42" s="146" t="str">
        <f t="shared" si="17"/>
        <v>Muy Corrosivo</v>
      </c>
      <c r="W42" s="146" t="str">
        <f t="shared" si="18"/>
        <v>Muy Corrosivo</v>
      </c>
    </row>
    <row r="43" spans="1:23" ht="20.25" hidden="1" customHeight="1">
      <c r="A43" s="143"/>
      <c r="B43" s="144"/>
      <c r="C43" s="210"/>
      <c r="D43" s="210"/>
      <c r="E43" s="211"/>
      <c r="F43" s="223"/>
      <c r="G43" s="224"/>
      <c r="H43" s="223"/>
      <c r="I43" s="224"/>
      <c r="J43" s="223"/>
      <c r="K43" s="224"/>
      <c r="L43" s="225"/>
      <c r="M43" s="225"/>
      <c r="N43" s="225"/>
      <c r="O43" s="225"/>
      <c r="P43" s="225"/>
      <c r="Q43" s="225"/>
      <c r="R43" s="145"/>
      <c r="S43" s="145"/>
      <c r="T43" s="145"/>
      <c r="U43" s="146" t="str">
        <f t="shared" si="19"/>
        <v>Muy Corrosivo</v>
      </c>
      <c r="V43" s="146" t="str">
        <f t="shared" si="17"/>
        <v>Muy Corrosivo</v>
      </c>
      <c r="W43" s="146" t="str">
        <f t="shared" si="18"/>
        <v>Muy Corrosivo</v>
      </c>
    </row>
    <row r="44" spans="1:23" ht="20.25" hidden="1" customHeight="1">
      <c r="A44" s="143"/>
      <c r="B44" s="144"/>
      <c r="C44" s="210"/>
      <c r="D44" s="210"/>
      <c r="E44" s="211"/>
      <c r="F44" s="223"/>
      <c r="G44" s="224"/>
      <c r="H44" s="223"/>
      <c r="I44" s="224"/>
      <c r="J44" s="223"/>
      <c r="K44" s="224"/>
      <c r="L44" s="225"/>
      <c r="M44" s="225"/>
      <c r="N44" s="225"/>
      <c r="O44" s="225"/>
      <c r="P44" s="225"/>
      <c r="Q44" s="225"/>
      <c r="R44" s="145"/>
      <c r="S44" s="145"/>
      <c r="T44" s="145"/>
      <c r="U44" s="146" t="str">
        <f t="shared" si="19"/>
        <v>Muy Corrosivo</v>
      </c>
      <c r="V44" s="146" t="str">
        <f t="shared" si="17"/>
        <v>Muy Corrosivo</v>
      </c>
      <c r="W44" s="146" t="str">
        <f t="shared" si="18"/>
        <v>Muy Corrosivo</v>
      </c>
    </row>
    <row r="45" spans="1:23" ht="20.25" hidden="1" customHeight="1">
      <c r="A45" s="143"/>
      <c r="B45" s="144"/>
      <c r="C45" s="210"/>
      <c r="D45" s="210"/>
      <c r="E45" s="211"/>
      <c r="F45" s="223"/>
      <c r="G45" s="224"/>
      <c r="H45" s="223"/>
      <c r="I45" s="224"/>
      <c r="J45" s="223"/>
      <c r="K45" s="224"/>
      <c r="L45" s="225"/>
      <c r="M45" s="225"/>
      <c r="N45" s="225"/>
      <c r="O45" s="225"/>
      <c r="P45" s="225"/>
      <c r="Q45" s="225"/>
      <c r="R45" s="145"/>
      <c r="S45" s="145"/>
      <c r="T45" s="145"/>
      <c r="U45" s="146" t="str">
        <f t="shared" si="19"/>
        <v>Muy Corrosivo</v>
      </c>
      <c r="V45" s="146" t="str">
        <f t="shared" si="17"/>
        <v>Muy Corrosivo</v>
      </c>
      <c r="W45" s="146" t="str">
        <f t="shared" si="18"/>
        <v>Muy Corrosivo</v>
      </c>
    </row>
    <row r="46" spans="1:23" ht="20.25" hidden="1" customHeight="1">
      <c r="A46" s="143"/>
      <c r="B46" s="144"/>
      <c r="C46" s="210"/>
      <c r="D46" s="210"/>
      <c r="E46" s="211"/>
      <c r="F46" s="223"/>
      <c r="G46" s="224"/>
      <c r="H46" s="223"/>
      <c r="I46" s="224"/>
      <c r="J46" s="223"/>
      <c r="K46" s="224"/>
      <c r="L46" s="225"/>
      <c r="M46" s="225"/>
      <c r="N46" s="225"/>
      <c r="O46" s="225"/>
      <c r="P46" s="225"/>
      <c r="Q46" s="225"/>
      <c r="R46" s="145"/>
      <c r="S46" s="145"/>
      <c r="T46" s="145"/>
      <c r="U46" s="146" t="str">
        <f t="shared" si="19"/>
        <v>Muy Corrosivo</v>
      </c>
      <c r="V46" s="146" t="str">
        <f t="shared" si="17"/>
        <v>Muy Corrosivo</v>
      </c>
      <c r="W46" s="146" t="str">
        <f t="shared" si="18"/>
        <v>Muy Corrosivo</v>
      </c>
    </row>
    <row r="47" spans="1:23" ht="20.25" hidden="1" customHeight="1">
      <c r="A47" s="143"/>
      <c r="B47" s="144"/>
      <c r="C47" s="210"/>
      <c r="D47" s="210"/>
      <c r="E47" s="211"/>
      <c r="F47" s="223"/>
      <c r="G47" s="224"/>
      <c r="H47" s="223"/>
      <c r="I47" s="224"/>
      <c r="J47" s="223"/>
      <c r="K47" s="224"/>
      <c r="L47" s="225"/>
      <c r="M47" s="225"/>
      <c r="N47" s="225"/>
      <c r="O47" s="225"/>
      <c r="P47" s="225"/>
      <c r="Q47" s="225"/>
      <c r="R47" s="145"/>
      <c r="S47" s="145"/>
      <c r="T47" s="145"/>
      <c r="U47" s="146" t="str">
        <f t="shared" si="19"/>
        <v>Muy Corrosivo</v>
      </c>
      <c r="V47" s="146" t="str">
        <f t="shared" si="17"/>
        <v>Muy Corrosivo</v>
      </c>
      <c r="W47" s="146" t="str">
        <f t="shared" si="18"/>
        <v>Muy Corrosivo</v>
      </c>
    </row>
    <row r="48" spans="1:23" ht="20.25" hidden="1" customHeight="1">
      <c r="A48" s="143"/>
      <c r="B48" s="144"/>
      <c r="C48" s="210"/>
      <c r="D48" s="210"/>
      <c r="E48" s="211"/>
      <c r="F48" s="223"/>
      <c r="G48" s="224"/>
      <c r="H48" s="223"/>
      <c r="I48" s="224"/>
      <c r="J48" s="223"/>
      <c r="K48" s="224"/>
      <c r="L48" s="225"/>
      <c r="M48" s="225"/>
      <c r="N48" s="225"/>
      <c r="O48" s="225"/>
      <c r="P48" s="225"/>
      <c r="Q48" s="225"/>
      <c r="R48" s="145"/>
      <c r="S48" s="145"/>
      <c r="T48" s="145"/>
      <c r="U48" s="146" t="str">
        <f t="shared" si="19"/>
        <v>Muy Corrosivo</v>
      </c>
      <c r="V48" s="146" t="str">
        <f t="shared" si="17"/>
        <v>Muy Corrosivo</v>
      </c>
      <c r="W48" s="146" t="str">
        <f t="shared" si="18"/>
        <v>Muy Corrosivo</v>
      </c>
    </row>
    <row r="49" spans="1:23" ht="20.25" hidden="1" customHeight="1">
      <c r="A49" s="143"/>
      <c r="B49" s="144"/>
      <c r="C49" s="210"/>
      <c r="D49" s="210"/>
      <c r="E49" s="211"/>
      <c r="F49" s="223"/>
      <c r="G49" s="224"/>
      <c r="H49" s="223"/>
      <c r="I49" s="224"/>
      <c r="J49" s="223"/>
      <c r="K49" s="224"/>
      <c r="L49" s="225"/>
      <c r="M49" s="225"/>
      <c r="N49" s="225"/>
      <c r="O49" s="225"/>
      <c r="P49" s="225"/>
      <c r="Q49" s="225"/>
      <c r="R49" s="145"/>
      <c r="S49" s="145"/>
      <c r="T49" s="145"/>
      <c r="U49" s="146" t="str">
        <f t="shared" si="19"/>
        <v>Muy Corrosivo</v>
      </c>
      <c r="V49" s="146" t="str">
        <f t="shared" si="17"/>
        <v>Muy Corrosivo</v>
      </c>
      <c r="W49" s="146" t="str">
        <f t="shared" si="18"/>
        <v>Muy Corrosivo</v>
      </c>
    </row>
    <row r="50" spans="1:23" ht="20.25" hidden="1" customHeight="1">
      <c r="A50" s="143"/>
      <c r="B50" s="144"/>
      <c r="C50" s="210"/>
      <c r="D50" s="210"/>
      <c r="E50" s="211"/>
      <c r="F50" s="223"/>
      <c r="G50" s="224"/>
      <c r="H50" s="223"/>
      <c r="I50" s="224"/>
      <c r="J50" s="223"/>
      <c r="K50" s="224"/>
      <c r="L50" s="225"/>
      <c r="M50" s="225"/>
      <c r="N50" s="225"/>
      <c r="O50" s="225"/>
      <c r="P50" s="225"/>
      <c r="Q50" s="225"/>
      <c r="R50" s="145"/>
      <c r="S50" s="145"/>
      <c r="T50" s="145"/>
      <c r="U50" s="146" t="str">
        <f t="shared" si="19"/>
        <v>Muy Corrosivo</v>
      </c>
      <c r="V50" s="146" t="str">
        <f t="shared" si="17"/>
        <v>Muy Corrosivo</v>
      </c>
      <c r="W50" s="146" t="str">
        <f t="shared" si="18"/>
        <v>Muy Corrosivo</v>
      </c>
    </row>
    <row r="51" spans="1:23" ht="20.25" hidden="1" customHeight="1">
      <c r="A51" s="143"/>
      <c r="B51" s="144"/>
      <c r="C51" s="210"/>
      <c r="D51" s="210"/>
      <c r="E51" s="211"/>
      <c r="F51" s="223"/>
      <c r="G51" s="224"/>
      <c r="H51" s="223"/>
      <c r="I51" s="224"/>
      <c r="J51" s="223"/>
      <c r="K51" s="224"/>
      <c r="L51" s="225"/>
      <c r="M51" s="225"/>
      <c r="N51" s="225"/>
      <c r="O51" s="225"/>
      <c r="P51" s="225"/>
      <c r="Q51" s="225"/>
      <c r="R51" s="145"/>
      <c r="S51" s="145"/>
      <c r="T51" s="145"/>
      <c r="U51" s="146" t="str">
        <f t="shared" si="19"/>
        <v>Muy Corrosivo</v>
      </c>
      <c r="V51" s="146" t="str">
        <f t="shared" si="17"/>
        <v>Muy Corrosivo</v>
      </c>
      <c r="W51" s="146" t="str">
        <f t="shared" si="18"/>
        <v>Muy Corrosivo</v>
      </c>
    </row>
    <row r="52" spans="1:23" ht="20.25" hidden="1" customHeight="1">
      <c r="A52" s="143"/>
      <c r="B52" s="144"/>
      <c r="C52" s="210"/>
      <c r="D52" s="210"/>
      <c r="E52" s="211"/>
      <c r="F52" s="223"/>
      <c r="G52" s="224"/>
      <c r="H52" s="223"/>
      <c r="I52" s="224"/>
      <c r="J52" s="223"/>
      <c r="K52" s="224"/>
      <c r="L52" s="225"/>
      <c r="M52" s="225"/>
      <c r="N52" s="225"/>
      <c r="O52" s="225"/>
      <c r="P52" s="225"/>
      <c r="Q52" s="225"/>
      <c r="R52" s="145"/>
      <c r="S52" s="145"/>
      <c r="T52" s="145"/>
      <c r="U52" s="146" t="str">
        <f t="shared" si="19"/>
        <v>Muy Corrosivo</v>
      </c>
      <c r="V52" s="146" t="str">
        <f t="shared" si="17"/>
        <v>Muy Corrosivo</v>
      </c>
      <c r="W52" s="146" t="str">
        <f t="shared" si="18"/>
        <v>Muy Corrosivo</v>
      </c>
    </row>
    <row r="53" spans="1:23" ht="20.25" hidden="1" customHeight="1">
      <c r="A53" s="143"/>
      <c r="B53" s="144"/>
      <c r="C53" s="210"/>
      <c r="D53" s="210"/>
      <c r="E53" s="211"/>
      <c r="F53" s="223"/>
      <c r="G53" s="224"/>
      <c r="H53" s="223"/>
      <c r="I53" s="224"/>
      <c r="J53" s="223"/>
      <c r="K53" s="224"/>
      <c r="L53" s="225"/>
      <c r="M53" s="225"/>
      <c r="N53" s="225"/>
      <c r="O53" s="225"/>
      <c r="P53" s="225"/>
      <c r="Q53" s="225"/>
      <c r="R53" s="145"/>
      <c r="S53" s="145"/>
      <c r="T53" s="145"/>
      <c r="U53" s="146" t="str">
        <f t="shared" si="19"/>
        <v>Muy Corrosivo</v>
      </c>
      <c r="V53" s="146" t="str">
        <f t="shared" si="17"/>
        <v>Muy Corrosivo</v>
      </c>
      <c r="W53" s="146" t="str">
        <f t="shared" si="18"/>
        <v>Muy Corrosivo</v>
      </c>
    </row>
    <row r="54" spans="1:23" ht="20.25" hidden="1" customHeight="1">
      <c r="A54" s="143"/>
      <c r="B54" s="144"/>
      <c r="C54" s="210"/>
      <c r="D54" s="210"/>
      <c r="E54" s="211"/>
      <c r="F54" s="223"/>
      <c r="G54" s="224"/>
      <c r="H54" s="223"/>
      <c r="I54" s="224"/>
      <c r="J54" s="223"/>
      <c r="K54" s="224"/>
      <c r="L54" s="225"/>
      <c r="M54" s="225"/>
      <c r="N54" s="225"/>
      <c r="O54" s="225"/>
      <c r="P54" s="225"/>
      <c r="Q54" s="225"/>
      <c r="R54" s="145"/>
      <c r="S54" s="145"/>
      <c r="T54" s="145"/>
      <c r="U54" s="146" t="str">
        <f t="shared" si="16"/>
        <v>Muy Corrosivo</v>
      </c>
      <c r="V54" s="146" t="str">
        <f t="shared" si="6"/>
        <v>Muy Corrosivo</v>
      </c>
      <c r="W54" s="146" t="str">
        <f t="shared" si="6"/>
        <v>Muy Corrosivo</v>
      </c>
    </row>
    <row r="55" spans="1:23" ht="20.25" hidden="1" customHeight="1">
      <c r="A55" s="143"/>
      <c r="B55" s="144"/>
      <c r="C55" s="210"/>
      <c r="D55" s="210"/>
      <c r="E55" s="211"/>
      <c r="F55" s="223"/>
      <c r="G55" s="224"/>
      <c r="H55" s="223"/>
      <c r="I55" s="224"/>
      <c r="J55" s="223"/>
      <c r="K55" s="224"/>
      <c r="L55" s="225"/>
      <c r="M55" s="225"/>
      <c r="N55" s="225"/>
      <c r="O55" s="225"/>
      <c r="P55" s="225"/>
      <c r="Q55" s="225"/>
      <c r="R55" s="145"/>
      <c r="S55" s="145"/>
      <c r="T55" s="145"/>
      <c r="U55" s="146" t="str">
        <f t="shared" si="16"/>
        <v>Muy Corrosivo</v>
      </c>
      <c r="V55" s="146" t="str">
        <f t="shared" si="6"/>
        <v>Muy Corrosivo</v>
      </c>
      <c r="W55" s="146" t="str">
        <f t="shared" si="6"/>
        <v>Muy Corrosivo</v>
      </c>
    </row>
    <row r="56" spans="1:23" ht="20.25" hidden="1" customHeight="1">
      <c r="A56" s="143"/>
      <c r="B56" s="144"/>
      <c r="C56" s="210"/>
      <c r="D56" s="210"/>
      <c r="E56" s="211"/>
      <c r="F56" s="223"/>
      <c r="G56" s="224"/>
      <c r="H56" s="223"/>
      <c r="I56" s="224"/>
      <c r="J56" s="223"/>
      <c r="K56" s="224"/>
      <c r="L56" s="225"/>
      <c r="M56" s="225"/>
      <c r="N56" s="225"/>
      <c r="O56" s="225"/>
      <c r="P56" s="225"/>
      <c r="Q56" s="225"/>
      <c r="R56" s="145"/>
      <c r="S56" s="145"/>
      <c r="T56" s="145"/>
      <c r="U56" s="146" t="str">
        <f t="shared" si="16"/>
        <v>Muy Corrosivo</v>
      </c>
      <c r="V56" s="146" t="str">
        <f t="shared" si="6"/>
        <v>Muy Corrosivo</v>
      </c>
      <c r="W56" s="146" t="str">
        <f t="shared" si="6"/>
        <v>Muy Corrosivo</v>
      </c>
    </row>
    <row r="57" spans="1:23" ht="20.25" hidden="1" customHeight="1">
      <c r="A57" s="143"/>
      <c r="B57" s="144"/>
      <c r="C57" s="210"/>
      <c r="D57" s="210"/>
      <c r="E57" s="211"/>
      <c r="F57" s="223"/>
      <c r="G57" s="224"/>
      <c r="H57" s="223"/>
      <c r="I57" s="224"/>
      <c r="J57" s="223"/>
      <c r="K57" s="224"/>
      <c r="L57" s="225"/>
      <c r="M57" s="225"/>
      <c r="N57" s="225"/>
      <c r="O57" s="225"/>
      <c r="P57" s="225"/>
      <c r="Q57" s="225"/>
      <c r="R57" s="145"/>
      <c r="S57" s="145"/>
      <c r="T57" s="145"/>
      <c r="U57" s="146" t="str">
        <f t="shared" si="16"/>
        <v>Muy Corrosivo</v>
      </c>
      <c r="V57" s="146" t="str">
        <f t="shared" si="6"/>
        <v>Muy Corrosivo</v>
      </c>
      <c r="W57" s="146" t="str">
        <f t="shared" si="6"/>
        <v>Muy Corrosivo</v>
      </c>
    </row>
    <row r="58" spans="1:23" ht="20.25" hidden="1" customHeight="1">
      <c r="A58" s="143"/>
      <c r="B58" s="144"/>
      <c r="C58" s="210"/>
      <c r="D58" s="210"/>
      <c r="E58" s="211"/>
      <c r="F58" s="223"/>
      <c r="G58" s="224"/>
      <c r="H58" s="223"/>
      <c r="I58" s="224"/>
      <c r="J58" s="223"/>
      <c r="K58" s="224"/>
      <c r="L58" s="225"/>
      <c r="M58" s="225"/>
      <c r="N58" s="225"/>
      <c r="O58" s="225"/>
      <c r="P58" s="225"/>
      <c r="Q58" s="225"/>
      <c r="R58" s="145"/>
      <c r="S58" s="145"/>
      <c r="T58" s="145"/>
      <c r="U58" s="146" t="str">
        <f t="shared" si="16"/>
        <v>Muy Corrosivo</v>
      </c>
      <c r="V58" s="146" t="str">
        <f t="shared" si="6"/>
        <v>Muy Corrosivo</v>
      </c>
      <c r="W58" s="146" t="str">
        <f t="shared" si="6"/>
        <v>Muy Corrosivo</v>
      </c>
    </row>
    <row r="59" spans="1:23" ht="20.25" hidden="1" customHeight="1">
      <c r="A59" s="143"/>
      <c r="B59" s="144"/>
      <c r="C59" s="210"/>
      <c r="D59" s="210"/>
      <c r="E59" s="211"/>
      <c r="F59" s="223"/>
      <c r="G59" s="224"/>
      <c r="H59" s="223"/>
      <c r="I59" s="224"/>
      <c r="J59" s="223"/>
      <c r="K59" s="224"/>
      <c r="L59" s="225"/>
      <c r="M59" s="225"/>
      <c r="N59" s="225"/>
      <c r="O59" s="225"/>
      <c r="P59" s="225"/>
      <c r="Q59" s="225"/>
      <c r="R59" s="145"/>
      <c r="S59" s="145"/>
      <c r="T59" s="145"/>
      <c r="U59" s="146" t="str">
        <f t="shared" si="16"/>
        <v>Muy Corrosivo</v>
      </c>
      <c r="V59" s="146" t="str">
        <f t="shared" si="6"/>
        <v>Muy Corrosivo</v>
      </c>
      <c r="W59" s="146" t="str">
        <f t="shared" si="6"/>
        <v>Muy Corrosivo</v>
      </c>
    </row>
    <row r="60" spans="1:23" ht="20.25" hidden="1" customHeight="1">
      <c r="A60" s="143"/>
      <c r="B60" s="144"/>
      <c r="C60" s="210"/>
      <c r="D60" s="210"/>
      <c r="E60" s="211"/>
      <c r="F60" s="223"/>
      <c r="G60" s="224"/>
      <c r="H60" s="223"/>
      <c r="I60" s="224"/>
      <c r="J60" s="223"/>
      <c r="K60" s="224"/>
      <c r="L60" s="225"/>
      <c r="M60" s="225"/>
      <c r="N60" s="225"/>
      <c r="O60" s="225"/>
      <c r="P60" s="225"/>
      <c r="Q60" s="225"/>
      <c r="R60" s="145"/>
      <c r="S60" s="145"/>
      <c r="T60" s="145"/>
      <c r="U60" s="146" t="str">
        <f t="shared" si="16"/>
        <v>Muy Corrosivo</v>
      </c>
      <c r="V60" s="146" t="str">
        <f t="shared" si="6"/>
        <v>Muy Corrosivo</v>
      </c>
      <c r="W60" s="146" t="str">
        <f t="shared" si="6"/>
        <v>Muy Corrosivo</v>
      </c>
    </row>
    <row r="61" spans="1:23" ht="20.25" hidden="1" customHeight="1">
      <c r="A61" s="143"/>
      <c r="B61" s="144"/>
      <c r="C61" s="210"/>
      <c r="D61" s="210"/>
      <c r="E61" s="211"/>
      <c r="F61" s="223"/>
      <c r="G61" s="224"/>
      <c r="H61" s="223"/>
      <c r="I61" s="224"/>
      <c r="J61" s="223"/>
      <c r="K61" s="224"/>
      <c r="L61" s="225"/>
      <c r="M61" s="225"/>
      <c r="N61" s="225"/>
      <c r="O61" s="225"/>
      <c r="P61" s="225"/>
      <c r="Q61" s="225"/>
      <c r="R61" s="145"/>
      <c r="S61" s="145"/>
      <c r="T61" s="145"/>
      <c r="U61" s="146" t="str">
        <f t="shared" si="16"/>
        <v>Muy Corrosivo</v>
      </c>
      <c r="V61" s="146" t="str">
        <f t="shared" si="6"/>
        <v>Muy Corrosivo</v>
      </c>
      <c r="W61" s="146" t="str">
        <f t="shared" si="6"/>
        <v>Muy Corrosivo</v>
      </c>
    </row>
    <row r="62" spans="1:23" ht="20.25" hidden="1" customHeight="1">
      <c r="A62" s="143"/>
      <c r="B62" s="144"/>
      <c r="C62" s="210"/>
      <c r="D62" s="210"/>
      <c r="E62" s="211"/>
      <c r="F62" s="223"/>
      <c r="G62" s="224"/>
      <c r="H62" s="223"/>
      <c r="I62" s="224"/>
      <c r="J62" s="223"/>
      <c r="K62" s="224"/>
      <c r="L62" s="225"/>
      <c r="M62" s="225"/>
      <c r="N62" s="225"/>
      <c r="O62" s="225"/>
      <c r="P62" s="225"/>
      <c r="Q62" s="225"/>
      <c r="R62" s="145"/>
      <c r="S62" s="145"/>
      <c r="T62" s="145"/>
      <c r="U62" s="146" t="str">
        <f t="shared" ref="U62:W201" si="23">IF(R62&lt;=500,"Muy Corrosivo",IF(R62&lt;=1000,"Corrosivo",IF(R62&lt;=2000,"Moderadamente Corrosivo",IF(R62&lt;=10000,"Medianamente Corrosivo",IF(R62&gt;10000,"Despreciable","N/A")))))</f>
        <v>Muy Corrosivo</v>
      </c>
      <c r="V62" s="146" t="str">
        <f t="shared" si="6"/>
        <v>Muy Corrosivo</v>
      </c>
      <c r="W62" s="146" t="str">
        <f t="shared" si="6"/>
        <v>Muy Corrosivo</v>
      </c>
    </row>
    <row r="63" spans="1:23" ht="20.25" hidden="1" customHeight="1">
      <c r="A63" s="143"/>
      <c r="B63" s="144"/>
      <c r="C63" s="210"/>
      <c r="D63" s="210"/>
      <c r="E63" s="211"/>
      <c r="F63" s="223"/>
      <c r="G63" s="224"/>
      <c r="H63" s="223"/>
      <c r="I63" s="224"/>
      <c r="J63" s="223"/>
      <c r="K63" s="224"/>
      <c r="L63" s="225"/>
      <c r="M63" s="225"/>
      <c r="N63" s="225"/>
      <c r="O63" s="225"/>
      <c r="P63" s="225"/>
      <c r="Q63" s="225"/>
      <c r="R63" s="145"/>
      <c r="S63" s="145"/>
      <c r="T63" s="145"/>
      <c r="U63" s="146" t="str">
        <f t="shared" si="23"/>
        <v>Muy Corrosivo</v>
      </c>
      <c r="V63" s="146" t="str">
        <f t="shared" si="6"/>
        <v>Muy Corrosivo</v>
      </c>
      <c r="W63" s="146" t="str">
        <f t="shared" si="6"/>
        <v>Muy Corrosivo</v>
      </c>
    </row>
    <row r="64" spans="1:23" ht="20.25" hidden="1" customHeight="1">
      <c r="A64" s="143"/>
      <c r="B64" s="144"/>
      <c r="C64" s="210"/>
      <c r="D64" s="210"/>
      <c r="E64" s="211"/>
      <c r="F64" s="223"/>
      <c r="G64" s="224"/>
      <c r="H64" s="223"/>
      <c r="I64" s="224"/>
      <c r="J64" s="223"/>
      <c r="K64" s="224"/>
      <c r="L64" s="225"/>
      <c r="M64" s="225"/>
      <c r="N64" s="225"/>
      <c r="O64" s="225"/>
      <c r="P64" s="225"/>
      <c r="Q64" s="225"/>
      <c r="R64" s="145"/>
      <c r="S64" s="145"/>
      <c r="T64" s="145"/>
      <c r="U64" s="146" t="str">
        <f t="shared" si="23"/>
        <v>Muy Corrosivo</v>
      </c>
      <c r="V64" s="146" t="str">
        <f t="shared" si="6"/>
        <v>Muy Corrosivo</v>
      </c>
      <c r="W64" s="146" t="str">
        <f t="shared" si="6"/>
        <v>Muy Corrosivo</v>
      </c>
    </row>
    <row r="65" spans="1:23" ht="20.25" hidden="1" customHeight="1">
      <c r="A65" s="143"/>
      <c r="B65" s="144"/>
      <c r="C65" s="210"/>
      <c r="D65" s="210"/>
      <c r="E65" s="211"/>
      <c r="F65" s="223"/>
      <c r="G65" s="224"/>
      <c r="H65" s="223"/>
      <c r="I65" s="224"/>
      <c r="J65" s="223"/>
      <c r="K65" s="224"/>
      <c r="L65" s="225"/>
      <c r="M65" s="225"/>
      <c r="N65" s="225"/>
      <c r="O65" s="225"/>
      <c r="P65" s="225"/>
      <c r="Q65" s="225"/>
      <c r="R65" s="145"/>
      <c r="S65" s="145"/>
      <c r="T65" s="145"/>
      <c r="U65" s="146" t="str">
        <f t="shared" si="23"/>
        <v>Muy Corrosivo</v>
      </c>
      <c r="V65" s="146" t="str">
        <f t="shared" si="6"/>
        <v>Muy Corrosivo</v>
      </c>
      <c r="W65" s="146" t="str">
        <f t="shared" si="6"/>
        <v>Muy Corrosivo</v>
      </c>
    </row>
    <row r="66" spans="1:23" ht="20.25" hidden="1" customHeight="1">
      <c r="A66" s="143"/>
      <c r="B66" s="144"/>
      <c r="C66" s="210"/>
      <c r="D66" s="210"/>
      <c r="E66" s="211"/>
      <c r="F66" s="223"/>
      <c r="G66" s="224"/>
      <c r="H66" s="223"/>
      <c r="I66" s="224"/>
      <c r="J66" s="223"/>
      <c r="K66" s="224"/>
      <c r="L66" s="225"/>
      <c r="M66" s="225"/>
      <c r="N66" s="225"/>
      <c r="O66" s="225"/>
      <c r="P66" s="225"/>
      <c r="Q66" s="225"/>
      <c r="R66" s="145"/>
      <c r="S66" s="145"/>
      <c r="T66" s="145"/>
      <c r="U66" s="146" t="str">
        <f t="shared" si="23"/>
        <v>Muy Corrosivo</v>
      </c>
      <c r="V66" s="146" t="str">
        <f t="shared" si="6"/>
        <v>Muy Corrosivo</v>
      </c>
      <c r="W66" s="146" t="str">
        <f t="shared" si="6"/>
        <v>Muy Corrosivo</v>
      </c>
    </row>
    <row r="67" spans="1:23" ht="20.25" hidden="1" customHeight="1">
      <c r="A67" s="143"/>
      <c r="B67" s="144"/>
      <c r="C67" s="210"/>
      <c r="D67" s="210"/>
      <c r="E67" s="211"/>
      <c r="F67" s="223"/>
      <c r="G67" s="224"/>
      <c r="H67" s="223"/>
      <c r="I67" s="224"/>
      <c r="J67" s="223"/>
      <c r="K67" s="224"/>
      <c r="L67" s="225"/>
      <c r="M67" s="225"/>
      <c r="N67" s="225"/>
      <c r="O67" s="225"/>
      <c r="P67" s="225"/>
      <c r="Q67" s="225"/>
      <c r="R67" s="145"/>
      <c r="S67" s="145"/>
      <c r="T67" s="145"/>
      <c r="U67" s="146" t="str">
        <f t="shared" si="23"/>
        <v>Muy Corrosivo</v>
      </c>
      <c r="V67" s="146" t="str">
        <f t="shared" si="6"/>
        <v>Muy Corrosivo</v>
      </c>
      <c r="W67" s="146" t="str">
        <f t="shared" si="6"/>
        <v>Muy Corrosivo</v>
      </c>
    </row>
    <row r="68" spans="1:23" ht="20.25" hidden="1" customHeight="1">
      <c r="A68" s="143"/>
      <c r="B68" s="144"/>
      <c r="C68" s="210"/>
      <c r="D68" s="210"/>
      <c r="E68" s="211"/>
      <c r="F68" s="223"/>
      <c r="G68" s="224"/>
      <c r="H68" s="223"/>
      <c r="I68" s="224"/>
      <c r="J68" s="223"/>
      <c r="K68" s="224"/>
      <c r="L68" s="225"/>
      <c r="M68" s="225"/>
      <c r="N68" s="225"/>
      <c r="O68" s="225"/>
      <c r="P68" s="225"/>
      <c r="Q68" s="225"/>
      <c r="R68" s="145"/>
      <c r="S68" s="145"/>
      <c r="T68" s="145"/>
      <c r="U68" s="146" t="str">
        <f t="shared" si="23"/>
        <v>Muy Corrosivo</v>
      </c>
      <c r="V68" s="146" t="str">
        <f t="shared" si="6"/>
        <v>Muy Corrosivo</v>
      </c>
      <c r="W68" s="146" t="str">
        <f t="shared" si="6"/>
        <v>Muy Corrosivo</v>
      </c>
    </row>
    <row r="69" spans="1:23" ht="20.25" hidden="1" customHeight="1">
      <c r="A69" s="143"/>
      <c r="B69" s="144"/>
      <c r="C69" s="210"/>
      <c r="D69" s="210"/>
      <c r="E69" s="211"/>
      <c r="F69" s="223"/>
      <c r="G69" s="224"/>
      <c r="H69" s="223"/>
      <c r="I69" s="224"/>
      <c r="J69" s="223"/>
      <c r="K69" s="224"/>
      <c r="L69" s="225"/>
      <c r="M69" s="225"/>
      <c r="N69" s="225"/>
      <c r="O69" s="225"/>
      <c r="P69" s="225"/>
      <c r="Q69" s="225"/>
      <c r="R69" s="145"/>
      <c r="S69" s="145"/>
      <c r="T69" s="145"/>
      <c r="U69" s="146" t="str">
        <f t="shared" si="23"/>
        <v>Muy Corrosivo</v>
      </c>
      <c r="V69" s="146" t="str">
        <f t="shared" si="6"/>
        <v>Muy Corrosivo</v>
      </c>
      <c r="W69" s="146" t="str">
        <f t="shared" si="6"/>
        <v>Muy Corrosivo</v>
      </c>
    </row>
    <row r="70" spans="1:23" ht="20.25" hidden="1" customHeight="1">
      <c r="A70" s="143"/>
      <c r="B70" s="144"/>
      <c r="C70" s="210"/>
      <c r="D70" s="210"/>
      <c r="E70" s="211"/>
      <c r="F70" s="223"/>
      <c r="G70" s="224"/>
      <c r="H70" s="223"/>
      <c r="I70" s="224"/>
      <c r="J70" s="223"/>
      <c r="K70" s="224"/>
      <c r="L70" s="225"/>
      <c r="M70" s="225"/>
      <c r="N70" s="225"/>
      <c r="O70" s="225"/>
      <c r="P70" s="225"/>
      <c r="Q70" s="225"/>
      <c r="R70" s="145"/>
      <c r="S70" s="145"/>
      <c r="T70" s="145"/>
      <c r="U70" s="146" t="str">
        <f t="shared" si="23"/>
        <v>Muy Corrosivo</v>
      </c>
      <c r="V70" s="146" t="str">
        <f t="shared" si="6"/>
        <v>Muy Corrosivo</v>
      </c>
      <c r="W70" s="146" t="str">
        <f t="shared" si="6"/>
        <v>Muy Corrosivo</v>
      </c>
    </row>
    <row r="71" spans="1:23" ht="20.25" hidden="1" customHeight="1">
      <c r="A71" s="143"/>
      <c r="B71" s="144"/>
      <c r="C71" s="210"/>
      <c r="D71" s="210"/>
      <c r="E71" s="211"/>
      <c r="F71" s="223"/>
      <c r="G71" s="224"/>
      <c r="H71" s="223"/>
      <c r="I71" s="224"/>
      <c r="J71" s="223"/>
      <c r="K71" s="224"/>
      <c r="L71" s="225"/>
      <c r="M71" s="225"/>
      <c r="N71" s="225"/>
      <c r="O71" s="225"/>
      <c r="P71" s="225"/>
      <c r="Q71" s="225"/>
      <c r="R71" s="145"/>
      <c r="S71" s="145"/>
      <c r="T71" s="145"/>
      <c r="U71" s="146" t="str">
        <f t="shared" si="23"/>
        <v>Muy Corrosivo</v>
      </c>
      <c r="V71" s="146" t="str">
        <f t="shared" si="6"/>
        <v>Muy Corrosivo</v>
      </c>
      <c r="W71" s="146" t="str">
        <f t="shared" si="6"/>
        <v>Muy Corrosivo</v>
      </c>
    </row>
    <row r="72" spans="1:23" ht="20.25" hidden="1" customHeight="1">
      <c r="A72" s="143"/>
      <c r="B72" s="144"/>
      <c r="C72" s="210"/>
      <c r="D72" s="210"/>
      <c r="E72" s="211"/>
      <c r="F72" s="223"/>
      <c r="G72" s="224"/>
      <c r="H72" s="223"/>
      <c r="I72" s="224"/>
      <c r="J72" s="223"/>
      <c r="K72" s="224"/>
      <c r="L72" s="225"/>
      <c r="M72" s="225"/>
      <c r="N72" s="225"/>
      <c r="O72" s="225"/>
      <c r="P72" s="225"/>
      <c r="Q72" s="225"/>
      <c r="R72" s="145"/>
      <c r="S72" s="145"/>
      <c r="T72" s="145"/>
      <c r="U72" s="146" t="str">
        <f t="shared" si="23"/>
        <v>Muy Corrosivo</v>
      </c>
      <c r="V72" s="146" t="str">
        <f t="shared" si="6"/>
        <v>Muy Corrosivo</v>
      </c>
      <c r="W72" s="146" t="str">
        <f t="shared" si="6"/>
        <v>Muy Corrosivo</v>
      </c>
    </row>
    <row r="73" spans="1:23" ht="20.25" hidden="1" customHeight="1">
      <c r="A73" s="143"/>
      <c r="B73" s="144"/>
      <c r="C73" s="210"/>
      <c r="D73" s="210"/>
      <c r="E73" s="211"/>
      <c r="F73" s="223"/>
      <c r="G73" s="224"/>
      <c r="H73" s="223"/>
      <c r="I73" s="224"/>
      <c r="J73" s="223"/>
      <c r="K73" s="224"/>
      <c r="L73" s="225"/>
      <c r="M73" s="225"/>
      <c r="N73" s="225"/>
      <c r="O73" s="225"/>
      <c r="P73" s="225"/>
      <c r="Q73" s="225"/>
      <c r="R73" s="145"/>
      <c r="S73" s="145"/>
      <c r="T73" s="145"/>
      <c r="U73" s="146" t="str">
        <f t="shared" si="23"/>
        <v>Muy Corrosivo</v>
      </c>
      <c r="V73" s="146" t="str">
        <f t="shared" si="6"/>
        <v>Muy Corrosivo</v>
      </c>
      <c r="W73" s="146" t="str">
        <f t="shared" si="6"/>
        <v>Muy Corrosivo</v>
      </c>
    </row>
    <row r="74" spans="1:23" ht="20.25" hidden="1" customHeight="1">
      <c r="A74" s="143"/>
      <c r="B74" s="144"/>
      <c r="C74" s="210"/>
      <c r="D74" s="210"/>
      <c r="E74" s="211"/>
      <c r="F74" s="223"/>
      <c r="G74" s="224"/>
      <c r="H74" s="223"/>
      <c r="I74" s="224"/>
      <c r="J74" s="223"/>
      <c r="K74" s="224"/>
      <c r="L74" s="225"/>
      <c r="M74" s="225"/>
      <c r="N74" s="225"/>
      <c r="O74" s="225"/>
      <c r="P74" s="225"/>
      <c r="Q74" s="225"/>
      <c r="R74" s="145"/>
      <c r="S74" s="145"/>
      <c r="T74" s="145"/>
      <c r="U74" s="146" t="str">
        <f t="shared" si="23"/>
        <v>Muy Corrosivo</v>
      </c>
      <c r="V74" s="146" t="str">
        <f t="shared" si="6"/>
        <v>Muy Corrosivo</v>
      </c>
      <c r="W74" s="146" t="str">
        <f t="shared" si="6"/>
        <v>Muy Corrosivo</v>
      </c>
    </row>
    <row r="75" spans="1:23" ht="20.25" hidden="1" customHeight="1">
      <c r="A75" s="143"/>
      <c r="B75" s="144"/>
      <c r="C75" s="210"/>
      <c r="D75" s="210"/>
      <c r="E75" s="211"/>
      <c r="F75" s="223"/>
      <c r="G75" s="224"/>
      <c r="H75" s="223"/>
      <c r="I75" s="224"/>
      <c r="J75" s="223"/>
      <c r="K75" s="224"/>
      <c r="L75" s="225"/>
      <c r="M75" s="225"/>
      <c r="N75" s="225"/>
      <c r="O75" s="225"/>
      <c r="P75" s="225"/>
      <c r="Q75" s="225"/>
      <c r="R75" s="145"/>
      <c r="S75" s="145"/>
      <c r="T75" s="145"/>
      <c r="U75" s="146" t="str">
        <f t="shared" si="23"/>
        <v>Muy Corrosivo</v>
      </c>
      <c r="V75" s="146" t="str">
        <f t="shared" si="6"/>
        <v>Muy Corrosivo</v>
      </c>
      <c r="W75" s="146" t="str">
        <f t="shared" si="6"/>
        <v>Muy Corrosivo</v>
      </c>
    </row>
    <row r="76" spans="1:23" ht="20.25" hidden="1" customHeight="1">
      <c r="A76" s="143"/>
      <c r="B76" s="144"/>
      <c r="C76" s="210"/>
      <c r="D76" s="210"/>
      <c r="E76" s="211"/>
      <c r="F76" s="223"/>
      <c r="G76" s="224"/>
      <c r="H76" s="223"/>
      <c r="I76" s="224"/>
      <c r="J76" s="223"/>
      <c r="K76" s="224"/>
      <c r="L76" s="225"/>
      <c r="M76" s="225"/>
      <c r="N76" s="225"/>
      <c r="O76" s="225"/>
      <c r="P76" s="225"/>
      <c r="Q76" s="225"/>
      <c r="R76" s="145"/>
      <c r="S76" s="145"/>
      <c r="T76" s="145"/>
      <c r="U76" s="146" t="str">
        <f t="shared" si="23"/>
        <v>Muy Corrosivo</v>
      </c>
      <c r="V76" s="146" t="str">
        <f t="shared" si="6"/>
        <v>Muy Corrosivo</v>
      </c>
      <c r="W76" s="146" t="str">
        <f t="shared" si="6"/>
        <v>Muy Corrosivo</v>
      </c>
    </row>
    <row r="77" spans="1:23" ht="20.25" hidden="1" customHeight="1">
      <c r="A77" s="143"/>
      <c r="B77" s="144"/>
      <c r="C77" s="210"/>
      <c r="D77" s="210"/>
      <c r="E77" s="211"/>
      <c r="F77" s="223"/>
      <c r="G77" s="224"/>
      <c r="H77" s="223"/>
      <c r="I77" s="224"/>
      <c r="J77" s="223"/>
      <c r="K77" s="224"/>
      <c r="L77" s="225"/>
      <c r="M77" s="225"/>
      <c r="N77" s="225"/>
      <c r="O77" s="225"/>
      <c r="P77" s="225"/>
      <c r="Q77" s="225"/>
      <c r="R77" s="145"/>
      <c r="S77" s="145"/>
      <c r="T77" s="145"/>
      <c r="U77" s="146" t="str">
        <f t="shared" si="23"/>
        <v>Muy Corrosivo</v>
      </c>
      <c r="V77" s="146" t="str">
        <f t="shared" si="6"/>
        <v>Muy Corrosivo</v>
      </c>
      <c r="W77" s="146" t="str">
        <f t="shared" si="6"/>
        <v>Muy Corrosivo</v>
      </c>
    </row>
    <row r="78" spans="1:23" ht="20.25" hidden="1" customHeight="1">
      <c r="A78" s="143"/>
      <c r="B78" s="144"/>
      <c r="C78" s="210"/>
      <c r="D78" s="210"/>
      <c r="E78" s="211"/>
      <c r="F78" s="223"/>
      <c r="G78" s="224"/>
      <c r="H78" s="223"/>
      <c r="I78" s="224"/>
      <c r="J78" s="223"/>
      <c r="K78" s="224"/>
      <c r="L78" s="225"/>
      <c r="M78" s="225"/>
      <c r="N78" s="225"/>
      <c r="O78" s="225"/>
      <c r="P78" s="225"/>
      <c r="Q78" s="225"/>
      <c r="R78" s="145"/>
      <c r="S78" s="145"/>
      <c r="T78" s="145"/>
      <c r="U78" s="146" t="str">
        <f t="shared" si="23"/>
        <v>Muy Corrosivo</v>
      </c>
      <c r="V78" s="146" t="str">
        <f t="shared" si="6"/>
        <v>Muy Corrosivo</v>
      </c>
      <c r="W78" s="146" t="str">
        <f t="shared" si="6"/>
        <v>Muy Corrosivo</v>
      </c>
    </row>
    <row r="79" spans="1:23" ht="20.25" hidden="1" customHeight="1">
      <c r="A79" s="143"/>
      <c r="B79" s="144"/>
      <c r="C79" s="210"/>
      <c r="D79" s="210"/>
      <c r="E79" s="211"/>
      <c r="F79" s="223"/>
      <c r="G79" s="224"/>
      <c r="H79" s="223"/>
      <c r="I79" s="224"/>
      <c r="J79" s="223"/>
      <c r="K79" s="224"/>
      <c r="L79" s="284"/>
      <c r="M79" s="285"/>
      <c r="N79" s="284"/>
      <c r="O79" s="285"/>
      <c r="P79" s="284"/>
      <c r="Q79" s="285"/>
      <c r="R79" s="145"/>
      <c r="S79" s="145"/>
      <c r="T79" s="145"/>
      <c r="U79" s="146" t="str">
        <f t="shared" si="23"/>
        <v>Muy Corrosivo</v>
      </c>
      <c r="V79" s="146" t="str">
        <f t="shared" si="6"/>
        <v>Muy Corrosivo</v>
      </c>
      <c r="W79" s="146" t="str">
        <f t="shared" si="6"/>
        <v>Muy Corrosivo</v>
      </c>
    </row>
    <row r="80" spans="1:23" ht="20.25" hidden="1" customHeight="1">
      <c r="A80" s="143"/>
      <c r="B80" s="144"/>
      <c r="C80" s="210"/>
      <c r="D80" s="210"/>
      <c r="E80" s="211"/>
      <c r="F80" s="223"/>
      <c r="G80" s="224"/>
      <c r="H80" s="223"/>
      <c r="I80" s="224"/>
      <c r="J80" s="223"/>
      <c r="K80" s="224"/>
      <c r="L80" s="225"/>
      <c r="M80" s="225"/>
      <c r="N80" s="225"/>
      <c r="O80" s="225"/>
      <c r="P80" s="225"/>
      <c r="Q80" s="225"/>
      <c r="R80" s="145"/>
      <c r="S80" s="145"/>
      <c r="T80" s="145"/>
      <c r="U80" s="146" t="str">
        <f t="shared" si="23"/>
        <v>Muy Corrosivo</v>
      </c>
      <c r="V80" s="146" t="str">
        <f t="shared" si="6"/>
        <v>Muy Corrosivo</v>
      </c>
      <c r="W80" s="146" t="str">
        <f t="shared" si="6"/>
        <v>Muy Corrosivo</v>
      </c>
    </row>
    <row r="81" spans="1:23" ht="20.25" hidden="1" customHeight="1">
      <c r="A81" s="143"/>
      <c r="B81" s="144"/>
      <c r="C81" s="210"/>
      <c r="D81" s="210"/>
      <c r="E81" s="211"/>
      <c r="F81" s="223"/>
      <c r="G81" s="224"/>
      <c r="H81" s="223"/>
      <c r="I81" s="224"/>
      <c r="J81" s="223"/>
      <c r="K81" s="224"/>
      <c r="L81" s="225"/>
      <c r="M81" s="225"/>
      <c r="N81" s="225"/>
      <c r="O81" s="225"/>
      <c r="P81" s="225"/>
      <c r="Q81" s="225"/>
      <c r="R81" s="145"/>
      <c r="S81" s="145"/>
      <c r="T81" s="145"/>
      <c r="U81" s="146" t="str">
        <f t="shared" si="23"/>
        <v>Muy Corrosivo</v>
      </c>
      <c r="V81" s="146" t="str">
        <f t="shared" si="6"/>
        <v>Muy Corrosivo</v>
      </c>
      <c r="W81" s="146" t="str">
        <f t="shared" si="6"/>
        <v>Muy Corrosivo</v>
      </c>
    </row>
    <row r="82" spans="1:23" ht="20.25" hidden="1" customHeight="1">
      <c r="A82" s="143"/>
      <c r="B82" s="144"/>
      <c r="C82" s="210"/>
      <c r="D82" s="210"/>
      <c r="E82" s="211"/>
      <c r="F82" s="223"/>
      <c r="G82" s="224"/>
      <c r="H82" s="223"/>
      <c r="I82" s="224"/>
      <c r="J82" s="223"/>
      <c r="K82" s="224"/>
      <c r="L82" s="225"/>
      <c r="M82" s="225"/>
      <c r="N82" s="225"/>
      <c r="O82" s="225"/>
      <c r="P82" s="225"/>
      <c r="Q82" s="225"/>
      <c r="R82" s="145"/>
      <c r="S82" s="145"/>
      <c r="T82" s="145"/>
      <c r="U82" s="146" t="str">
        <f t="shared" si="23"/>
        <v>Muy Corrosivo</v>
      </c>
      <c r="V82" s="146" t="str">
        <f t="shared" si="6"/>
        <v>Muy Corrosivo</v>
      </c>
      <c r="W82" s="146" t="str">
        <f t="shared" si="6"/>
        <v>Muy Corrosivo</v>
      </c>
    </row>
    <row r="83" spans="1:23" ht="20.25" hidden="1" customHeight="1">
      <c r="A83" s="143"/>
      <c r="B83" s="144"/>
      <c r="C83" s="210"/>
      <c r="D83" s="210"/>
      <c r="E83" s="211"/>
      <c r="F83" s="223"/>
      <c r="G83" s="224"/>
      <c r="H83" s="223"/>
      <c r="I83" s="224"/>
      <c r="J83" s="223"/>
      <c r="K83" s="224"/>
      <c r="L83" s="225"/>
      <c r="M83" s="225"/>
      <c r="N83" s="225"/>
      <c r="O83" s="225"/>
      <c r="P83" s="225"/>
      <c r="Q83" s="225"/>
      <c r="R83" s="145"/>
      <c r="S83" s="145"/>
      <c r="T83" s="145"/>
      <c r="U83" s="146" t="str">
        <f t="shared" si="23"/>
        <v>Muy Corrosivo</v>
      </c>
      <c r="V83" s="146" t="str">
        <f t="shared" si="6"/>
        <v>Muy Corrosivo</v>
      </c>
      <c r="W83" s="146" t="str">
        <f t="shared" si="6"/>
        <v>Muy Corrosivo</v>
      </c>
    </row>
    <row r="84" spans="1:23" ht="20.25" hidden="1" customHeight="1">
      <c r="A84" s="143"/>
      <c r="B84" s="144"/>
      <c r="C84" s="210"/>
      <c r="D84" s="210"/>
      <c r="E84" s="211"/>
      <c r="F84" s="223"/>
      <c r="G84" s="224"/>
      <c r="H84" s="223"/>
      <c r="I84" s="224"/>
      <c r="J84" s="223"/>
      <c r="K84" s="224"/>
      <c r="L84" s="225"/>
      <c r="M84" s="225"/>
      <c r="N84" s="225"/>
      <c r="O84" s="225"/>
      <c r="P84" s="225"/>
      <c r="Q84" s="225"/>
      <c r="R84" s="145"/>
      <c r="S84" s="145"/>
      <c r="T84" s="145"/>
      <c r="U84" s="146" t="str">
        <f t="shared" si="23"/>
        <v>Muy Corrosivo</v>
      </c>
      <c r="V84" s="146" t="str">
        <f t="shared" si="6"/>
        <v>Muy Corrosivo</v>
      </c>
      <c r="W84" s="146" t="str">
        <f t="shared" si="6"/>
        <v>Muy Corrosivo</v>
      </c>
    </row>
    <row r="85" spans="1:23" ht="20.25" hidden="1" customHeight="1">
      <c r="A85" s="143"/>
      <c r="B85" s="144"/>
      <c r="C85" s="210"/>
      <c r="D85" s="210"/>
      <c r="E85" s="211"/>
      <c r="F85" s="223"/>
      <c r="G85" s="224"/>
      <c r="H85" s="223"/>
      <c r="I85" s="224"/>
      <c r="J85" s="223"/>
      <c r="K85" s="224"/>
      <c r="L85" s="225"/>
      <c r="M85" s="225"/>
      <c r="N85" s="225"/>
      <c r="O85" s="225"/>
      <c r="P85" s="225"/>
      <c r="Q85" s="225"/>
      <c r="R85" s="145"/>
      <c r="S85" s="145"/>
      <c r="T85" s="145"/>
      <c r="U85" s="146" t="str">
        <f t="shared" si="23"/>
        <v>Muy Corrosivo</v>
      </c>
      <c r="V85" s="146" t="str">
        <f t="shared" si="6"/>
        <v>Muy Corrosivo</v>
      </c>
      <c r="W85" s="146" t="str">
        <f t="shared" si="6"/>
        <v>Muy Corrosivo</v>
      </c>
    </row>
    <row r="86" spans="1:23" ht="20.25" hidden="1" customHeight="1">
      <c r="A86" s="143"/>
      <c r="B86" s="144"/>
      <c r="C86" s="210"/>
      <c r="D86" s="210"/>
      <c r="E86" s="211"/>
      <c r="F86" s="223"/>
      <c r="G86" s="224"/>
      <c r="H86" s="223"/>
      <c r="I86" s="224"/>
      <c r="J86" s="223"/>
      <c r="K86" s="224"/>
      <c r="L86" s="225"/>
      <c r="M86" s="225"/>
      <c r="N86" s="225"/>
      <c r="O86" s="225"/>
      <c r="P86" s="225"/>
      <c r="Q86" s="225"/>
      <c r="R86" s="145"/>
      <c r="S86" s="145"/>
      <c r="T86" s="145"/>
      <c r="U86" s="146" t="str">
        <f t="shared" si="23"/>
        <v>Muy Corrosivo</v>
      </c>
      <c r="V86" s="146" t="str">
        <f t="shared" si="6"/>
        <v>Muy Corrosivo</v>
      </c>
      <c r="W86" s="146" t="str">
        <f t="shared" si="6"/>
        <v>Muy Corrosivo</v>
      </c>
    </row>
    <row r="87" spans="1:23" ht="20.25" hidden="1" customHeight="1">
      <c r="A87" s="143"/>
      <c r="B87" s="144"/>
      <c r="C87" s="210"/>
      <c r="D87" s="210"/>
      <c r="E87" s="211"/>
      <c r="F87" s="223"/>
      <c r="G87" s="224"/>
      <c r="H87" s="223"/>
      <c r="I87" s="224"/>
      <c r="J87" s="223"/>
      <c r="K87" s="224"/>
      <c r="L87" s="225"/>
      <c r="M87" s="225"/>
      <c r="N87" s="225"/>
      <c r="O87" s="225"/>
      <c r="P87" s="225"/>
      <c r="Q87" s="225"/>
      <c r="R87" s="145"/>
      <c r="S87" s="145"/>
      <c r="T87" s="145"/>
      <c r="U87" s="146" t="str">
        <f t="shared" si="23"/>
        <v>Muy Corrosivo</v>
      </c>
      <c r="V87" s="146" t="str">
        <f t="shared" si="6"/>
        <v>Muy Corrosivo</v>
      </c>
      <c r="W87" s="146" t="str">
        <f t="shared" si="6"/>
        <v>Muy Corrosivo</v>
      </c>
    </row>
    <row r="88" spans="1:23" ht="20.25" hidden="1" customHeight="1">
      <c r="A88" s="143"/>
      <c r="B88" s="144"/>
      <c r="C88" s="210"/>
      <c r="D88" s="210"/>
      <c r="E88" s="211"/>
      <c r="F88" s="223"/>
      <c r="G88" s="224"/>
      <c r="H88" s="223"/>
      <c r="I88" s="224"/>
      <c r="J88" s="223"/>
      <c r="K88" s="224"/>
      <c r="L88" s="225"/>
      <c r="M88" s="225"/>
      <c r="N88" s="225"/>
      <c r="O88" s="225"/>
      <c r="P88" s="225"/>
      <c r="Q88" s="225"/>
      <c r="R88" s="145"/>
      <c r="S88" s="145"/>
      <c r="T88" s="145"/>
      <c r="U88" s="146" t="str">
        <f t="shared" si="23"/>
        <v>Muy Corrosivo</v>
      </c>
      <c r="V88" s="146" t="str">
        <f t="shared" si="6"/>
        <v>Muy Corrosivo</v>
      </c>
      <c r="W88" s="146" t="str">
        <f t="shared" si="6"/>
        <v>Muy Corrosivo</v>
      </c>
    </row>
    <row r="89" spans="1:23" ht="20.25" hidden="1" customHeight="1">
      <c r="A89" s="143"/>
      <c r="B89" s="144"/>
      <c r="C89" s="210"/>
      <c r="D89" s="210"/>
      <c r="E89" s="211"/>
      <c r="F89" s="223"/>
      <c r="G89" s="224"/>
      <c r="H89" s="223"/>
      <c r="I89" s="224"/>
      <c r="J89" s="223"/>
      <c r="K89" s="224"/>
      <c r="L89" s="225"/>
      <c r="M89" s="225"/>
      <c r="N89" s="225"/>
      <c r="O89" s="225"/>
      <c r="P89" s="225"/>
      <c r="Q89" s="225"/>
      <c r="R89" s="145"/>
      <c r="S89" s="145"/>
      <c r="T89" s="145"/>
      <c r="U89" s="166" t="str">
        <f t="shared" si="23"/>
        <v>Muy Corrosivo</v>
      </c>
      <c r="V89" s="166" t="str">
        <f t="shared" si="6"/>
        <v>Muy Corrosivo</v>
      </c>
      <c r="W89" s="166" t="str">
        <f t="shared" si="6"/>
        <v>Muy Corrosivo</v>
      </c>
    </row>
    <row r="90" spans="1:23" ht="20.25" hidden="1" customHeight="1">
      <c r="A90" s="143"/>
      <c r="B90" s="144"/>
      <c r="C90" s="210"/>
      <c r="D90" s="210"/>
      <c r="E90" s="211"/>
      <c r="F90" s="223"/>
      <c r="G90" s="224"/>
      <c r="H90" s="223"/>
      <c r="I90" s="224"/>
      <c r="J90" s="223"/>
      <c r="K90" s="224"/>
      <c r="L90" s="225"/>
      <c r="M90" s="225"/>
      <c r="N90" s="225"/>
      <c r="O90" s="225"/>
      <c r="P90" s="225"/>
      <c r="Q90" s="225"/>
      <c r="R90" s="145"/>
      <c r="S90" s="145"/>
      <c r="T90" s="145"/>
      <c r="U90" s="166" t="str">
        <f t="shared" si="23"/>
        <v>Muy Corrosivo</v>
      </c>
      <c r="V90" s="166" t="str">
        <f t="shared" si="6"/>
        <v>Muy Corrosivo</v>
      </c>
      <c r="W90" s="166" t="str">
        <f t="shared" si="6"/>
        <v>Muy Corrosivo</v>
      </c>
    </row>
    <row r="91" spans="1:23" ht="20.25" hidden="1" customHeight="1">
      <c r="A91" s="143"/>
      <c r="B91" s="144"/>
      <c r="C91" s="210"/>
      <c r="D91" s="210"/>
      <c r="E91" s="211"/>
      <c r="F91" s="223"/>
      <c r="G91" s="224"/>
      <c r="H91" s="223"/>
      <c r="I91" s="224"/>
      <c r="J91" s="223"/>
      <c r="K91" s="224"/>
      <c r="L91" s="225"/>
      <c r="M91" s="225"/>
      <c r="N91" s="225"/>
      <c r="O91" s="225"/>
      <c r="P91" s="225"/>
      <c r="Q91" s="225"/>
      <c r="R91" s="145"/>
      <c r="S91" s="145"/>
      <c r="T91" s="145"/>
      <c r="U91" s="166" t="str">
        <f t="shared" si="23"/>
        <v>Muy Corrosivo</v>
      </c>
      <c r="V91" s="166" t="str">
        <f t="shared" si="6"/>
        <v>Muy Corrosivo</v>
      </c>
      <c r="W91" s="166" t="str">
        <f t="shared" si="6"/>
        <v>Muy Corrosivo</v>
      </c>
    </row>
    <row r="92" spans="1:23" ht="20.25" hidden="1" customHeight="1">
      <c r="A92" s="143"/>
      <c r="B92" s="144"/>
      <c r="C92" s="210"/>
      <c r="D92" s="210"/>
      <c r="E92" s="211"/>
      <c r="F92" s="223"/>
      <c r="G92" s="224"/>
      <c r="H92" s="223"/>
      <c r="I92" s="224"/>
      <c r="J92" s="223"/>
      <c r="K92" s="224"/>
      <c r="L92" s="225"/>
      <c r="M92" s="225"/>
      <c r="N92" s="225"/>
      <c r="O92" s="225"/>
      <c r="P92" s="225"/>
      <c r="Q92" s="225"/>
      <c r="R92" s="145"/>
      <c r="S92" s="145"/>
      <c r="T92" s="145"/>
      <c r="U92" s="166" t="str">
        <f t="shared" si="23"/>
        <v>Muy Corrosivo</v>
      </c>
      <c r="V92" s="166" t="str">
        <f t="shared" si="6"/>
        <v>Muy Corrosivo</v>
      </c>
      <c r="W92" s="166" t="str">
        <f t="shared" si="6"/>
        <v>Muy Corrosivo</v>
      </c>
    </row>
    <row r="93" spans="1:23" ht="20.25" hidden="1" customHeight="1">
      <c r="A93" s="143"/>
      <c r="B93" s="144"/>
      <c r="C93" s="210"/>
      <c r="D93" s="210"/>
      <c r="E93" s="211"/>
      <c r="F93" s="223"/>
      <c r="G93" s="224"/>
      <c r="H93" s="223"/>
      <c r="I93" s="224"/>
      <c r="J93" s="223"/>
      <c r="K93" s="224"/>
      <c r="L93" s="225"/>
      <c r="M93" s="225"/>
      <c r="N93" s="225"/>
      <c r="O93" s="225"/>
      <c r="P93" s="225"/>
      <c r="Q93" s="225"/>
      <c r="R93" s="145"/>
      <c r="S93" s="145"/>
      <c r="T93" s="145"/>
      <c r="U93" s="166" t="str">
        <f t="shared" si="23"/>
        <v>Muy Corrosivo</v>
      </c>
      <c r="V93" s="166" t="str">
        <f t="shared" si="6"/>
        <v>Muy Corrosivo</v>
      </c>
      <c r="W93" s="166" t="str">
        <f t="shared" si="6"/>
        <v>Muy Corrosivo</v>
      </c>
    </row>
    <row r="94" spans="1:23" ht="20.25" hidden="1" customHeight="1">
      <c r="A94" s="143"/>
      <c r="B94" s="144"/>
      <c r="C94" s="210"/>
      <c r="D94" s="210"/>
      <c r="E94" s="211"/>
      <c r="F94" s="223"/>
      <c r="G94" s="224"/>
      <c r="H94" s="223"/>
      <c r="I94" s="224"/>
      <c r="J94" s="223"/>
      <c r="K94" s="224"/>
      <c r="L94" s="225"/>
      <c r="M94" s="225"/>
      <c r="N94" s="225"/>
      <c r="O94" s="225"/>
      <c r="P94" s="225"/>
      <c r="Q94" s="225"/>
      <c r="R94" s="145"/>
      <c r="S94" s="145"/>
      <c r="T94" s="145"/>
      <c r="U94" s="146" t="str">
        <f t="shared" si="23"/>
        <v>Muy Corrosivo</v>
      </c>
      <c r="V94" s="146" t="str">
        <f t="shared" si="6"/>
        <v>Muy Corrosivo</v>
      </c>
      <c r="W94" s="146" t="str">
        <f t="shared" si="6"/>
        <v>Muy Corrosivo</v>
      </c>
    </row>
    <row r="95" spans="1:23" ht="20.25" hidden="1" customHeight="1">
      <c r="A95" s="143"/>
      <c r="B95" s="144"/>
      <c r="C95" s="210"/>
      <c r="D95" s="210"/>
      <c r="E95" s="211"/>
      <c r="F95" s="223"/>
      <c r="G95" s="224"/>
      <c r="H95" s="223"/>
      <c r="I95" s="224"/>
      <c r="J95" s="223"/>
      <c r="K95" s="224"/>
      <c r="L95" s="225"/>
      <c r="M95" s="225"/>
      <c r="N95" s="225"/>
      <c r="O95" s="225"/>
      <c r="P95" s="225"/>
      <c r="Q95" s="225"/>
      <c r="R95" s="145"/>
      <c r="S95" s="145"/>
      <c r="T95" s="145"/>
      <c r="U95" s="146" t="str">
        <f t="shared" si="23"/>
        <v>Muy Corrosivo</v>
      </c>
      <c r="V95" s="146" t="str">
        <f t="shared" si="6"/>
        <v>Muy Corrosivo</v>
      </c>
      <c r="W95" s="146" t="str">
        <f t="shared" si="6"/>
        <v>Muy Corrosivo</v>
      </c>
    </row>
    <row r="96" spans="1:23" ht="20.25" hidden="1" customHeight="1">
      <c r="A96" s="143"/>
      <c r="B96" s="144"/>
      <c r="C96" s="210"/>
      <c r="D96" s="210"/>
      <c r="E96" s="211"/>
      <c r="F96" s="223"/>
      <c r="G96" s="224"/>
      <c r="H96" s="223"/>
      <c r="I96" s="224"/>
      <c r="J96" s="223"/>
      <c r="K96" s="224"/>
      <c r="L96" s="225"/>
      <c r="M96" s="225"/>
      <c r="N96" s="225"/>
      <c r="O96" s="225"/>
      <c r="P96" s="225"/>
      <c r="Q96" s="225"/>
      <c r="R96" s="145"/>
      <c r="S96" s="145"/>
      <c r="T96" s="145"/>
      <c r="U96" s="146" t="str">
        <f t="shared" si="23"/>
        <v>Muy Corrosivo</v>
      </c>
      <c r="V96" s="146" t="str">
        <f t="shared" si="6"/>
        <v>Muy Corrosivo</v>
      </c>
      <c r="W96" s="146" t="str">
        <f t="shared" si="6"/>
        <v>Muy Corrosivo</v>
      </c>
    </row>
    <row r="97" spans="1:23" ht="20.25" hidden="1" customHeight="1">
      <c r="A97" s="143"/>
      <c r="B97" s="144"/>
      <c r="C97" s="210"/>
      <c r="D97" s="210"/>
      <c r="E97" s="211"/>
      <c r="F97" s="223"/>
      <c r="G97" s="224"/>
      <c r="H97" s="223"/>
      <c r="I97" s="224"/>
      <c r="J97" s="223"/>
      <c r="K97" s="224"/>
      <c r="L97" s="225"/>
      <c r="M97" s="225"/>
      <c r="N97" s="225"/>
      <c r="O97" s="225"/>
      <c r="P97" s="225"/>
      <c r="Q97" s="225"/>
      <c r="R97" s="145"/>
      <c r="S97" s="145"/>
      <c r="T97" s="145"/>
      <c r="U97" s="146" t="str">
        <f t="shared" si="23"/>
        <v>Muy Corrosivo</v>
      </c>
      <c r="V97" s="146" t="str">
        <f t="shared" si="6"/>
        <v>Muy Corrosivo</v>
      </c>
      <c r="W97" s="146" t="str">
        <f t="shared" si="6"/>
        <v>Muy Corrosivo</v>
      </c>
    </row>
    <row r="98" spans="1:23" ht="20.25" hidden="1" customHeight="1">
      <c r="A98" s="143"/>
      <c r="B98" s="144"/>
      <c r="C98" s="210"/>
      <c r="D98" s="210"/>
      <c r="E98" s="211"/>
      <c r="F98" s="223"/>
      <c r="G98" s="224"/>
      <c r="H98" s="223"/>
      <c r="I98" s="224"/>
      <c r="J98" s="223"/>
      <c r="K98" s="224"/>
      <c r="L98" s="225"/>
      <c r="M98" s="225"/>
      <c r="N98" s="225"/>
      <c r="O98" s="225"/>
      <c r="P98" s="225"/>
      <c r="Q98" s="225"/>
      <c r="R98" s="145"/>
      <c r="S98" s="145"/>
      <c r="T98" s="145"/>
      <c r="U98" s="146" t="str">
        <f t="shared" si="23"/>
        <v>Muy Corrosivo</v>
      </c>
      <c r="V98" s="146" t="str">
        <f t="shared" si="6"/>
        <v>Muy Corrosivo</v>
      </c>
      <c r="W98" s="146" t="str">
        <f t="shared" si="6"/>
        <v>Muy Corrosivo</v>
      </c>
    </row>
    <row r="99" spans="1:23" ht="20.25" hidden="1" customHeight="1">
      <c r="A99" s="143"/>
      <c r="B99" s="144"/>
      <c r="C99" s="210"/>
      <c r="D99" s="210"/>
      <c r="E99" s="211"/>
      <c r="F99" s="223"/>
      <c r="G99" s="224"/>
      <c r="H99" s="223"/>
      <c r="I99" s="224"/>
      <c r="J99" s="223"/>
      <c r="K99" s="224"/>
      <c r="L99" s="225"/>
      <c r="M99" s="225"/>
      <c r="N99" s="225"/>
      <c r="O99" s="225"/>
      <c r="P99" s="225"/>
      <c r="Q99" s="225"/>
      <c r="R99" s="145"/>
      <c r="S99" s="145"/>
      <c r="T99" s="145"/>
      <c r="U99" s="146" t="str">
        <f t="shared" si="23"/>
        <v>Muy Corrosivo</v>
      </c>
      <c r="V99" s="146" t="str">
        <f t="shared" si="6"/>
        <v>Muy Corrosivo</v>
      </c>
      <c r="W99" s="146" t="str">
        <f t="shared" si="6"/>
        <v>Muy Corrosivo</v>
      </c>
    </row>
    <row r="100" spans="1:23" ht="20.25" hidden="1" customHeight="1">
      <c r="A100" s="143"/>
      <c r="B100" s="144"/>
      <c r="C100" s="210"/>
      <c r="D100" s="210"/>
      <c r="E100" s="211"/>
      <c r="F100" s="223"/>
      <c r="G100" s="224"/>
      <c r="H100" s="223"/>
      <c r="I100" s="224"/>
      <c r="J100" s="223"/>
      <c r="K100" s="224"/>
      <c r="L100" s="225"/>
      <c r="M100" s="225"/>
      <c r="N100" s="225"/>
      <c r="O100" s="225"/>
      <c r="P100" s="225"/>
      <c r="Q100" s="225"/>
      <c r="R100" s="145"/>
      <c r="S100" s="145"/>
      <c r="T100" s="145"/>
      <c r="U100" s="146" t="str">
        <f t="shared" si="23"/>
        <v>Muy Corrosivo</v>
      </c>
      <c r="V100" s="146" t="str">
        <f t="shared" si="6"/>
        <v>Muy Corrosivo</v>
      </c>
      <c r="W100" s="146" t="str">
        <f t="shared" si="6"/>
        <v>Muy Corrosivo</v>
      </c>
    </row>
    <row r="101" spans="1:23" ht="20.25" hidden="1" customHeight="1">
      <c r="A101" s="143"/>
      <c r="B101" s="144"/>
      <c r="C101" s="210"/>
      <c r="D101" s="210"/>
      <c r="E101" s="211"/>
      <c r="F101" s="223"/>
      <c r="G101" s="224"/>
      <c r="H101" s="223"/>
      <c r="I101" s="224"/>
      <c r="J101" s="223"/>
      <c r="K101" s="224"/>
      <c r="L101" s="225"/>
      <c r="M101" s="225"/>
      <c r="N101" s="225"/>
      <c r="O101" s="225"/>
      <c r="P101" s="225"/>
      <c r="Q101" s="225"/>
      <c r="R101" s="145"/>
      <c r="S101" s="145"/>
      <c r="T101" s="145"/>
      <c r="U101" s="146" t="str">
        <f t="shared" si="23"/>
        <v>Muy Corrosivo</v>
      </c>
      <c r="V101" s="146" t="str">
        <f t="shared" si="6"/>
        <v>Muy Corrosivo</v>
      </c>
      <c r="W101" s="146" t="str">
        <f t="shared" si="6"/>
        <v>Muy Corrosivo</v>
      </c>
    </row>
    <row r="102" spans="1:23" ht="20.25" hidden="1" customHeight="1">
      <c r="A102" s="143"/>
      <c r="B102" s="144"/>
      <c r="C102" s="210"/>
      <c r="D102" s="210"/>
      <c r="E102" s="211"/>
      <c r="F102" s="223"/>
      <c r="G102" s="224"/>
      <c r="H102" s="223"/>
      <c r="I102" s="224"/>
      <c r="J102" s="223"/>
      <c r="K102" s="224"/>
      <c r="L102" s="225"/>
      <c r="M102" s="225"/>
      <c r="N102" s="225"/>
      <c r="O102" s="225"/>
      <c r="P102" s="225"/>
      <c r="Q102" s="225"/>
      <c r="R102" s="145"/>
      <c r="S102" s="145"/>
      <c r="T102" s="145"/>
      <c r="U102" s="146" t="str">
        <f t="shared" si="23"/>
        <v>Muy Corrosivo</v>
      </c>
      <c r="V102" s="146" t="str">
        <f t="shared" si="6"/>
        <v>Muy Corrosivo</v>
      </c>
      <c r="W102" s="146" t="str">
        <f t="shared" si="6"/>
        <v>Muy Corrosivo</v>
      </c>
    </row>
    <row r="103" spans="1:23" ht="20.25" hidden="1" customHeight="1">
      <c r="A103" s="143"/>
      <c r="B103" s="144"/>
      <c r="C103" s="210"/>
      <c r="D103" s="210"/>
      <c r="E103" s="211"/>
      <c r="F103" s="223"/>
      <c r="G103" s="224"/>
      <c r="H103" s="223"/>
      <c r="I103" s="224"/>
      <c r="J103" s="223"/>
      <c r="K103" s="224"/>
      <c r="L103" s="225"/>
      <c r="M103" s="225"/>
      <c r="N103" s="225"/>
      <c r="O103" s="225"/>
      <c r="P103" s="225"/>
      <c r="Q103" s="225"/>
      <c r="R103" s="145"/>
      <c r="S103" s="145"/>
      <c r="T103" s="145"/>
      <c r="U103" s="146" t="str">
        <f t="shared" si="23"/>
        <v>Muy Corrosivo</v>
      </c>
      <c r="V103" s="146" t="str">
        <f t="shared" si="6"/>
        <v>Muy Corrosivo</v>
      </c>
      <c r="W103" s="146" t="str">
        <f t="shared" si="6"/>
        <v>Muy Corrosivo</v>
      </c>
    </row>
    <row r="104" spans="1:23" ht="20.25" hidden="1" customHeight="1">
      <c r="A104" s="143"/>
      <c r="B104" s="144"/>
      <c r="C104" s="210"/>
      <c r="D104" s="210"/>
      <c r="E104" s="211"/>
      <c r="F104" s="223"/>
      <c r="G104" s="224"/>
      <c r="H104" s="223"/>
      <c r="I104" s="224"/>
      <c r="J104" s="223"/>
      <c r="K104" s="224"/>
      <c r="L104" s="225"/>
      <c r="M104" s="225"/>
      <c r="N104" s="225"/>
      <c r="O104" s="225"/>
      <c r="P104" s="225"/>
      <c r="Q104" s="225"/>
      <c r="R104" s="145"/>
      <c r="S104" s="145"/>
      <c r="T104" s="145"/>
      <c r="U104" s="146" t="str">
        <f t="shared" si="23"/>
        <v>Muy Corrosivo</v>
      </c>
      <c r="V104" s="146" t="str">
        <f t="shared" si="6"/>
        <v>Muy Corrosivo</v>
      </c>
      <c r="W104" s="146" t="str">
        <f t="shared" si="6"/>
        <v>Muy Corrosivo</v>
      </c>
    </row>
    <row r="105" spans="1:23" ht="20.25" hidden="1" customHeight="1">
      <c r="A105" s="143"/>
      <c r="B105" s="144"/>
      <c r="C105" s="210"/>
      <c r="D105" s="210"/>
      <c r="E105" s="211"/>
      <c r="F105" s="223"/>
      <c r="G105" s="224"/>
      <c r="H105" s="223"/>
      <c r="I105" s="224"/>
      <c r="J105" s="223"/>
      <c r="K105" s="224"/>
      <c r="L105" s="225"/>
      <c r="M105" s="225"/>
      <c r="N105" s="225"/>
      <c r="O105" s="225"/>
      <c r="P105" s="225"/>
      <c r="Q105" s="225"/>
      <c r="R105" s="145"/>
      <c r="S105" s="145"/>
      <c r="T105" s="145"/>
      <c r="U105" s="146" t="str">
        <f t="shared" si="23"/>
        <v>Muy Corrosivo</v>
      </c>
      <c r="V105" s="146" t="str">
        <f t="shared" si="6"/>
        <v>Muy Corrosivo</v>
      </c>
      <c r="W105" s="146" t="str">
        <f t="shared" si="6"/>
        <v>Muy Corrosivo</v>
      </c>
    </row>
    <row r="106" spans="1:23" ht="20.25" hidden="1" customHeight="1">
      <c r="A106" s="143"/>
      <c r="B106" s="144"/>
      <c r="C106" s="210"/>
      <c r="D106" s="210"/>
      <c r="E106" s="211"/>
      <c r="F106" s="223"/>
      <c r="G106" s="224"/>
      <c r="H106" s="223"/>
      <c r="I106" s="224"/>
      <c r="J106" s="223"/>
      <c r="K106" s="224"/>
      <c r="L106" s="225"/>
      <c r="M106" s="225"/>
      <c r="N106" s="225"/>
      <c r="O106" s="225"/>
      <c r="P106" s="225"/>
      <c r="Q106" s="225"/>
      <c r="R106" s="145"/>
      <c r="S106" s="145"/>
      <c r="T106" s="145"/>
      <c r="U106" s="146" t="str">
        <f t="shared" si="23"/>
        <v>Muy Corrosivo</v>
      </c>
      <c r="V106" s="146" t="str">
        <f t="shared" si="6"/>
        <v>Muy Corrosivo</v>
      </c>
      <c r="W106" s="146" t="str">
        <f t="shared" si="6"/>
        <v>Muy Corrosivo</v>
      </c>
    </row>
    <row r="107" spans="1:23" ht="20.25" hidden="1" customHeight="1">
      <c r="A107" s="143"/>
      <c r="B107" s="144"/>
      <c r="C107" s="210"/>
      <c r="D107" s="210"/>
      <c r="E107" s="211"/>
      <c r="F107" s="223"/>
      <c r="G107" s="224"/>
      <c r="H107" s="223"/>
      <c r="I107" s="224"/>
      <c r="J107" s="223"/>
      <c r="K107" s="224"/>
      <c r="L107" s="225"/>
      <c r="M107" s="225"/>
      <c r="N107" s="225"/>
      <c r="O107" s="225"/>
      <c r="P107" s="225"/>
      <c r="Q107" s="225"/>
      <c r="R107" s="145"/>
      <c r="S107" s="145"/>
      <c r="T107" s="145"/>
      <c r="U107" s="146" t="str">
        <f t="shared" si="23"/>
        <v>Muy Corrosivo</v>
      </c>
      <c r="V107" s="146" t="str">
        <f t="shared" si="6"/>
        <v>Muy Corrosivo</v>
      </c>
      <c r="W107" s="146" t="str">
        <f t="shared" si="6"/>
        <v>Muy Corrosivo</v>
      </c>
    </row>
    <row r="108" spans="1:23" ht="20.25" hidden="1" customHeight="1">
      <c r="A108" s="143"/>
      <c r="B108" s="144"/>
      <c r="C108" s="210"/>
      <c r="D108" s="210"/>
      <c r="E108" s="211"/>
      <c r="F108" s="223"/>
      <c r="G108" s="224"/>
      <c r="H108" s="223"/>
      <c r="I108" s="224"/>
      <c r="J108" s="223"/>
      <c r="K108" s="224"/>
      <c r="L108" s="225"/>
      <c r="M108" s="225"/>
      <c r="N108" s="225"/>
      <c r="O108" s="225"/>
      <c r="P108" s="225"/>
      <c r="Q108" s="225"/>
      <c r="R108" s="145"/>
      <c r="S108" s="145"/>
      <c r="T108" s="145"/>
      <c r="U108" s="146" t="str">
        <f t="shared" si="23"/>
        <v>Muy Corrosivo</v>
      </c>
      <c r="V108" s="146" t="str">
        <f t="shared" si="6"/>
        <v>Muy Corrosivo</v>
      </c>
      <c r="W108" s="146" t="str">
        <f t="shared" si="6"/>
        <v>Muy Corrosivo</v>
      </c>
    </row>
    <row r="109" spans="1:23" ht="20.25" hidden="1" customHeight="1">
      <c r="A109" s="143"/>
      <c r="B109" s="144"/>
      <c r="C109" s="210"/>
      <c r="D109" s="210"/>
      <c r="E109" s="211"/>
      <c r="F109" s="223"/>
      <c r="G109" s="224"/>
      <c r="H109" s="223"/>
      <c r="I109" s="224"/>
      <c r="J109" s="223"/>
      <c r="K109" s="224"/>
      <c r="L109" s="225"/>
      <c r="M109" s="225"/>
      <c r="N109" s="225"/>
      <c r="O109" s="225"/>
      <c r="P109" s="225"/>
      <c r="Q109" s="225"/>
      <c r="R109" s="145"/>
      <c r="S109" s="145"/>
      <c r="T109" s="145"/>
      <c r="U109" s="146" t="str">
        <f t="shared" si="23"/>
        <v>Muy Corrosivo</v>
      </c>
      <c r="V109" s="146" t="str">
        <f t="shared" si="6"/>
        <v>Muy Corrosivo</v>
      </c>
      <c r="W109" s="146" t="str">
        <f t="shared" si="6"/>
        <v>Muy Corrosivo</v>
      </c>
    </row>
    <row r="110" spans="1:23" ht="20.25" hidden="1" customHeight="1">
      <c r="A110" s="143"/>
      <c r="B110" s="144"/>
      <c r="C110" s="210"/>
      <c r="D110" s="210"/>
      <c r="E110" s="211"/>
      <c r="F110" s="223"/>
      <c r="G110" s="224"/>
      <c r="H110" s="223"/>
      <c r="I110" s="224"/>
      <c r="J110" s="223"/>
      <c r="K110" s="224"/>
      <c r="L110" s="225"/>
      <c r="M110" s="225"/>
      <c r="N110" s="225"/>
      <c r="O110" s="225"/>
      <c r="P110" s="225"/>
      <c r="Q110" s="225"/>
      <c r="R110" s="145"/>
      <c r="S110" s="145"/>
      <c r="T110" s="145"/>
      <c r="U110" s="146" t="str">
        <f t="shared" si="23"/>
        <v>Muy Corrosivo</v>
      </c>
      <c r="V110" s="146" t="str">
        <f t="shared" si="6"/>
        <v>Muy Corrosivo</v>
      </c>
      <c r="W110" s="146" t="str">
        <f t="shared" si="6"/>
        <v>Muy Corrosivo</v>
      </c>
    </row>
    <row r="111" spans="1:23" ht="20.25" hidden="1" customHeight="1">
      <c r="A111" s="143"/>
      <c r="B111" s="144"/>
      <c r="C111" s="210"/>
      <c r="D111" s="210"/>
      <c r="E111" s="211"/>
      <c r="F111" s="223"/>
      <c r="G111" s="224"/>
      <c r="H111" s="223"/>
      <c r="I111" s="224"/>
      <c r="J111" s="223"/>
      <c r="K111" s="224"/>
      <c r="L111" s="225"/>
      <c r="M111" s="225"/>
      <c r="N111" s="225"/>
      <c r="O111" s="225"/>
      <c r="P111" s="225"/>
      <c r="Q111" s="225"/>
      <c r="R111" s="145"/>
      <c r="S111" s="145"/>
      <c r="T111" s="145"/>
      <c r="U111" s="146" t="str">
        <f t="shared" si="23"/>
        <v>Muy Corrosivo</v>
      </c>
      <c r="V111" s="146" t="str">
        <f t="shared" si="6"/>
        <v>Muy Corrosivo</v>
      </c>
      <c r="W111" s="146" t="str">
        <f t="shared" si="6"/>
        <v>Muy Corrosivo</v>
      </c>
    </row>
    <row r="112" spans="1:23" ht="20.25" hidden="1" customHeight="1">
      <c r="A112" s="143"/>
      <c r="B112" s="144"/>
      <c r="C112" s="210"/>
      <c r="D112" s="210"/>
      <c r="E112" s="211"/>
      <c r="F112" s="223"/>
      <c r="G112" s="224"/>
      <c r="H112" s="223"/>
      <c r="I112" s="224"/>
      <c r="J112" s="223"/>
      <c r="K112" s="224"/>
      <c r="L112" s="225"/>
      <c r="M112" s="225"/>
      <c r="N112" s="225"/>
      <c r="O112" s="225"/>
      <c r="P112" s="225"/>
      <c r="Q112" s="225"/>
      <c r="R112" s="145"/>
      <c r="S112" s="145"/>
      <c r="T112" s="145"/>
      <c r="U112" s="146" t="str">
        <f t="shared" si="23"/>
        <v>Muy Corrosivo</v>
      </c>
      <c r="V112" s="146" t="str">
        <f t="shared" si="6"/>
        <v>Muy Corrosivo</v>
      </c>
      <c r="W112" s="146" t="str">
        <f t="shared" si="6"/>
        <v>Muy Corrosivo</v>
      </c>
    </row>
    <row r="113" spans="1:23" ht="20.25" hidden="1" customHeight="1">
      <c r="A113" s="143"/>
      <c r="B113" s="144"/>
      <c r="C113" s="210"/>
      <c r="D113" s="210"/>
      <c r="E113" s="211"/>
      <c r="F113" s="223"/>
      <c r="G113" s="224"/>
      <c r="H113" s="223"/>
      <c r="I113" s="224"/>
      <c r="J113" s="223"/>
      <c r="K113" s="224"/>
      <c r="L113" s="225"/>
      <c r="M113" s="225"/>
      <c r="N113" s="225"/>
      <c r="O113" s="225"/>
      <c r="P113" s="225"/>
      <c r="Q113" s="225"/>
      <c r="R113" s="145"/>
      <c r="S113" s="145"/>
      <c r="T113" s="145"/>
      <c r="U113" s="146" t="str">
        <f t="shared" si="23"/>
        <v>Muy Corrosivo</v>
      </c>
      <c r="V113" s="146" t="str">
        <f t="shared" si="6"/>
        <v>Muy Corrosivo</v>
      </c>
      <c r="W113" s="146" t="str">
        <f t="shared" si="6"/>
        <v>Muy Corrosivo</v>
      </c>
    </row>
    <row r="114" spans="1:23" ht="20.25" hidden="1" customHeight="1">
      <c r="A114" s="143"/>
      <c r="B114" s="144"/>
      <c r="C114" s="210"/>
      <c r="D114" s="210"/>
      <c r="E114" s="211"/>
      <c r="F114" s="223"/>
      <c r="G114" s="224"/>
      <c r="H114" s="223"/>
      <c r="I114" s="224"/>
      <c r="J114" s="223"/>
      <c r="K114" s="224"/>
      <c r="L114" s="225"/>
      <c r="M114" s="225"/>
      <c r="N114" s="225"/>
      <c r="O114" s="225"/>
      <c r="P114" s="225"/>
      <c r="Q114" s="225"/>
      <c r="R114" s="145"/>
      <c r="S114" s="145"/>
      <c r="T114" s="145"/>
      <c r="U114" s="146" t="str">
        <f t="shared" si="23"/>
        <v>Muy Corrosivo</v>
      </c>
      <c r="V114" s="146" t="str">
        <f t="shared" si="6"/>
        <v>Muy Corrosivo</v>
      </c>
      <c r="W114" s="146" t="str">
        <f t="shared" si="6"/>
        <v>Muy Corrosivo</v>
      </c>
    </row>
    <row r="115" spans="1:23" ht="20.25" hidden="1" customHeight="1">
      <c r="A115" s="143"/>
      <c r="B115" s="144"/>
      <c r="C115" s="210"/>
      <c r="D115" s="210"/>
      <c r="E115" s="211"/>
      <c r="F115" s="223"/>
      <c r="G115" s="224"/>
      <c r="H115" s="223"/>
      <c r="I115" s="224"/>
      <c r="J115" s="223"/>
      <c r="K115" s="224"/>
      <c r="L115" s="225"/>
      <c r="M115" s="225"/>
      <c r="N115" s="225"/>
      <c r="O115" s="225"/>
      <c r="P115" s="225"/>
      <c r="Q115" s="225"/>
      <c r="R115" s="145"/>
      <c r="S115" s="145"/>
      <c r="T115" s="145"/>
      <c r="U115" s="146" t="str">
        <f t="shared" si="23"/>
        <v>Muy Corrosivo</v>
      </c>
      <c r="V115" s="146" t="str">
        <f t="shared" si="6"/>
        <v>Muy Corrosivo</v>
      </c>
      <c r="W115" s="146" t="str">
        <f t="shared" si="6"/>
        <v>Muy Corrosivo</v>
      </c>
    </row>
    <row r="116" spans="1:23" ht="20.25" hidden="1" customHeight="1">
      <c r="A116" s="143"/>
      <c r="B116" s="144"/>
      <c r="C116" s="210"/>
      <c r="D116" s="210"/>
      <c r="E116" s="211"/>
      <c r="F116" s="223"/>
      <c r="G116" s="224"/>
      <c r="H116" s="223"/>
      <c r="I116" s="224"/>
      <c r="J116" s="223"/>
      <c r="K116" s="224"/>
      <c r="L116" s="225"/>
      <c r="M116" s="225"/>
      <c r="N116" s="225"/>
      <c r="O116" s="225"/>
      <c r="P116" s="225"/>
      <c r="Q116" s="225"/>
      <c r="R116" s="145"/>
      <c r="S116" s="145"/>
      <c r="T116" s="145"/>
      <c r="U116" s="146" t="str">
        <f t="shared" si="23"/>
        <v>Muy Corrosivo</v>
      </c>
      <c r="V116" s="146" t="str">
        <f t="shared" si="6"/>
        <v>Muy Corrosivo</v>
      </c>
      <c r="W116" s="146" t="str">
        <f t="shared" si="6"/>
        <v>Muy Corrosivo</v>
      </c>
    </row>
    <row r="117" spans="1:23" ht="20.25" hidden="1" customHeight="1">
      <c r="A117" s="143"/>
      <c r="B117" s="144"/>
      <c r="C117" s="210"/>
      <c r="D117" s="210"/>
      <c r="E117" s="211"/>
      <c r="F117" s="223"/>
      <c r="G117" s="224"/>
      <c r="H117" s="223"/>
      <c r="I117" s="224"/>
      <c r="J117" s="223"/>
      <c r="K117" s="224"/>
      <c r="L117" s="225"/>
      <c r="M117" s="225"/>
      <c r="N117" s="225"/>
      <c r="O117" s="225"/>
      <c r="P117" s="225"/>
      <c r="Q117" s="225"/>
      <c r="R117" s="145"/>
      <c r="S117" s="145"/>
      <c r="T117" s="145"/>
      <c r="U117" s="146" t="str">
        <f t="shared" si="23"/>
        <v>Muy Corrosivo</v>
      </c>
      <c r="V117" s="146" t="str">
        <f t="shared" si="6"/>
        <v>Muy Corrosivo</v>
      </c>
      <c r="W117" s="146" t="str">
        <f t="shared" si="6"/>
        <v>Muy Corrosivo</v>
      </c>
    </row>
    <row r="118" spans="1:23" ht="20.25" hidden="1" customHeight="1">
      <c r="A118" s="143"/>
      <c r="B118" s="144"/>
      <c r="C118" s="210"/>
      <c r="D118" s="210"/>
      <c r="E118" s="211"/>
      <c r="F118" s="223"/>
      <c r="G118" s="224"/>
      <c r="H118" s="223"/>
      <c r="I118" s="224"/>
      <c r="J118" s="223"/>
      <c r="K118" s="224"/>
      <c r="L118" s="225"/>
      <c r="M118" s="225"/>
      <c r="N118" s="225"/>
      <c r="O118" s="225"/>
      <c r="P118" s="225"/>
      <c r="Q118" s="225"/>
      <c r="R118" s="145"/>
      <c r="S118" s="145"/>
      <c r="T118" s="145"/>
      <c r="U118" s="146" t="str">
        <f t="shared" si="23"/>
        <v>Muy Corrosivo</v>
      </c>
      <c r="V118" s="146" t="str">
        <f t="shared" si="6"/>
        <v>Muy Corrosivo</v>
      </c>
      <c r="W118" s="146" t="str">
        <f t="shared" si="6"/>
        <v>Muy Corrosivo</v>
      </c>
    </row>
    <row r="119" spans="1:23" ht="20.25" hidden="1" customHeight="1">
      <c r="A119" s="143"/>
      <c r="B119" s="144"/>
      <c r="C119" s="210"/>
      <c r="D119" s="210"/>
      <c r="E119" s="211"/>
      <c r="F119" s="223"/>
      <c r="G119" s="224"/>
      <c r="H119" s="223"/>
      <c r="I119" s="224"/>
      <c r="J119" s="223"/>
      <c r="K119" s="224"/>
      <c r="L119" s="225"/>
      <c r="M119" s="225"/>
      <c r="N119" s="225"/>
      <c r="O119" s="225"/>
      <c r="P119" s="225"/>
      <c r="Q119" s="225"/>
      <c r="R119" s="145"/>
      <c r="S119" s="145"/>
      <c r="T119" s="145"/>
      <c r="U119" s="166" t="str">
        <f t="shared" si="23"/>
        <v>Muy Corrosivo</v>
      </c>
      <c r="V119" s="166" t="str">
        <f t="shared" si="6"/>
        <v>Muy Corrosivo</v>
      </c>
      <c r="W119" s="166" t="str">
        <f t="shared" si="6"/>
        <v>Muy Corrosivo</v>
      </c>
    </row>
    <row r="120" spans="1:23" ht="20.25" hidden="1" customHeight="1">
      <c r="A120" s="143"/>
      <c r="B120" s="144"/>
      <c r="C120" s="210"/>
      <c r="D120" s="210"/>
      <c r="E120" s="211"/>
      <c r="F120" s="223"/>
      <c r="G120" s="224"/>
      <c r="H120" s="223"/>
      <c r="I120" s="224"/>
      <c r="J120" s="223"/>
      <c r="K120" s="224"/>
      <c r="L120" s="225"/>
      <c r="M120" s="225"/>
      <c r="N120" s="225"/>
      <c r="O120" s="225"/>
      <c r="P120" s="225"/>
      <c r="Q120" s="225"/>
      <c r="R120" s="145"/>
      <c r="S120" s="145"/>
      <c r="T120" s="145"/>
      <c r="U120" s="166" t="str">
        <f t="shared" si="23"/>
        <v>Muy Corrosivo</v>
      </c>
      <c r="V120" s="166" t="str">
        <f t="shared" si="6"/>
        <v>Muy Corrosivo</v>
      </c>
      <c r="W120" s="166" t="str">
        <f t="shared" si="6"/>
        <v>Muy Corrosivo</v>
      </c>
    </row>
    <row r="121" spans="1:23" ht="20.25" hidden="1" customHeight="1">
      <c r="A121" s="143"/>
      <c r="B121" s="144"/>
      <c r="C121" s="210"/>
      <c r="D121" s="210"/>
      <c r="E121" s="211"/>
      <c r="F121" s="223"/>
      <c r="G121" s="224"/>
      <c r="H121" s="223"/>
      <c r="I121" s="224"/>
      <c r="J121" s="223"/>
      <c r="K121" s="224"/>
      <c r="L121" s="225"/>
      <c r="M121" s="225"/>
      <c r="N121" s="225"/>
      <c r="O121" s="225"/>
      <c r="P121" s="225"/>
      <c r="Q121" s="225"/>
      <c r="R121" s="145"/>
      <c r="S121" s="145"/>
      <c r="T121" s="145"/>
      <c r="U121" s="166" t="str">
        <f t="shared" si="23"/>
        <v>Muy Corrosivo</v>
      </c>
      <c r="V121" s="166" t="str">
        <f t="shared" si="6"/>
        <v>Muy Corrosivo</v>
      </c>
      <c r="W121" s="166" t="str">
        <f t="shared" si="6"/>
        <v>Muy Corrosivo</v>
      </c>
    </row>
    <row r="122" spans="1:23" ht="20.25" hidden="1" customHeight="1">
      <c r="A122" s="143"/>
      <c r="B122" s="144"/>
      <c r="C122" s="210"/>
      <c r="D122" s="210"/>
      <c r="E122" s="211"/>
      <c r="F122" s="223"/>
      <c r="G122" s="224"/>
      <c r="H122" s="223"/>
      <c r="I122" s="224"/>
      <c r="J122" s="223"/>
      <c r="K122" s="224"/>
      <c r="L122" s="225"/>
      <c r="M122" s="225"/>
      <c r="N122" s="225"/>
      <c r="O122" s="225"/>
      <c r="P122" s="225"/>
      <c r="Q122" s="225"/>
      <c r="R122" s="145"/>
      <c r="S122" s="145"/>
      <c r="T122" s="145"/>
      <c r="U122" s="146" t="str">
        <f t="shared" si="23"/>
        <v>Muy Corrosivo</v>
      </c>
      <c r="V122" s="146" t="str">
        <f t="shared" si="6"/>
        <v>Muy Corrosivo</v>
      </c>
      <c r="W122" s="146" t="str">
        <f t="shared" si="6"/>
        <v>Muy Corrosivo</v>
      </c>
    </row>
    <row r="123" spans="1:23" ht="20.25" hidden="1" customHeight="1">
      <c r="A123" s="143"/>
      <c r="B123" s="144"/>
      <c r="C123" s="210"/>
      <c r="D123" s="210"/>
      <c r="E123" s="211"/>
      <c r="F123" s="223"/>
      <c r="G123" s="224"/>
      <c r="H123" s="223"/>
      <c r="I123" s="224"/>
      <c r="J123" s="223"/>
      <c r="K123" s="224"/>
      <c r="L123" s="225"/>
      <c r="M123" s="225"/>
      <c r="N123" s="225"/>
      <c r="O123" s="225"/>
      <c r="P123" s="225"/>
      <c r="Q123" s="225"/>
      <c r="R123" s="145"/>
      <c r="S123" s="145"/>
      <c r="T123" s="145"/>
      <c r="U123" s="146" t="str">
        <f t="shared" si="23"/>
        <v>Muy Corrosivo</v>
      </c>
      <c r="V123" s="146" t="str">
        <f t="shared" si="6"/>
        <v>Muy Corrosivo</v>
      </c>
      <c r="W123" s="146" t="str">
        <f t="shared" si="6"/>
        <v>Muy Corrosivo</v>
      </c>
    </row>
    <row r="124" spans="1:23" ht="20.25" hidden="1" customHeight="1">
      <c r="A124" s="143"/>
      <c r="B124" s="144"/>
      <c r="C124" s="210"/>
      <c r="D124" s="210"/>
      <c r="E124" s="211"/>
      <c r="F124" s="223"/>
      <c r="G124" s="224"/>
      <c r="H124" s="223"/>
      <c r="I124" s="224"/>
      <c r="J124" s="223"/>
      <c r="K124" s="224"/>
      <c r="L124" s="225"/>
      <c r="M124" s="225"/>
      <c r="N124" s="225"/>
      <c r="O124" s="225"/>
      <c r="P124" s="225"/>
      <c r="Q124" s="225"/>
      <c r="R124" s="145"/>
      <c r="S124" s="145"/>
      <c r="T124" s="145"/>
      <c r="U124" s="146" t="str">
        <f t="shared" si="23"/>
        <v>Muy Corrosivo</v>
      </c>
      <c r="V124" s="146" t="str">
        <f t="shared" si="6"/>
        <v>Muy Corrosivo</v>
      </c>
      <c r="W124" s="146" t="str">
        <f t="shared" si="6"/>
        <v>Muy Corrosivo</v>
      </c>
    </row>
    <row r="125" spans="1:23" ht="20.25" hidden="1" customHeight="1">
      <c r="A125" s="143"/>
      <c r="B125" s="144"/>
      <c r="C125" s="210"/>
      <c r="D125" s="210"/>
      <c r="E125" s="211"/>
      <c r="F125" s="223"/>
      <c r="G125" s="224"/>
      <c r="H125" s="223"/>
      <c r="I125" s="224"/>
      <c r="J125" s="223"/>
      <c r="K125" s="224"/>
      <c r="L125" s="225"/>
      <c r="M125" s="225"/>
      <c r="N125" s="225"/>
      <c r="O125" s="225"/>
      <c r="P125" s="225"/>
      <c r="Q125" s="225"/>
      <c r="R125" s="145"/>
      <c r="S125" s="145"/>
      <c r="T125" s="145"/>
      <c r="U125" s="146" t="str">
        <f t="shared" si="23"/>
        <v>Muy Corrosivo</v>
      </c>
      <c r="V125" s="146" t="str">
        <f t="shared" si="6"/>
        <v>Muy Corrosivo</v>
      </c>
      <c r="W125" s="146" t="str">
        <f t="shared" si="6"/>
        <v>Muy Corrosivo</v>
      </c>
    </row>
    <row r="126" spans="1:23" ht="20.25" hidden="1" customHeight="1">
      <c r="A126" s="143"/>
      <c r="B126" s="144"/>
      <c r="C126" s="210"/>
      <c r="D126" s="210"/>
      <c r="E126" s="211"/>
      <c r="F126" s="223"/>
      <c r="G126" s="224"/>
      <c r="H126" s="223"/>
      <c r="I126" s="224"/>
      <c r="J126" s="223"/>
      <c r="K126" s="224"/>
      <c r="L126" s="225"/>
      <c r="M126" s="225"/>
      <c r="N126" s="225"/>
      <c r="O126" s="225"/>
      <c r="P126" s="225"/>
      <c r="Q126" s="225"/>
      <c r="R126" s="145"/>
      <c r="S126" s="145"/>
      <c r="T126" s="145"/>
      <c r="U126" s="146" t="str">
        <f t="shared" si="23"/>
        <v>Muy Corrosivo</v>
      </c>
      <c r="V126" s="146" t="str">
        <f t="shared" si="6"/>
        <v>Muy Corrosivo</v>
      </c>
      <c r="W126" s="146" t="str">
        <f t="shared" si="6"/>
        <v>Muy Corrosivo</v>
      </c>
    </row>
    <row r="127" spans="1:23" ht="20.25" hidden="1" customHeight="1">
      <c r="A127" s="143"/>
      <c r="B127" s="144"/>
      <c r="C127" s="210"/>
      <c r="D127" s="210"/>
      <c r="E127" s="211"/>
      <c r="F127" s="223"/>
      <c r="G127" s="224"/>
      <c r="H127" s="223"/>
      <c r="I127" s="224"/>
      <c r="J127" s="223"/>
      <c r="K127" s="224"/>
      <c r="L127" s="225"/>
      <c r="M127" s="225"/>
      <c r="N127" s="225"/>
      <c r="O127" s="225"/>
      <c r="P127" s="225"/>
      <c r="Q127" s="225"/>
      <c r="R127" s="145"/>
      <c r="S127" s="145"/>
      <c r="T127" s="145"/>
      <c r="U127" s="146" t="str">
        <f t="shared" si="23"/>
        <v>Muy Corrosivo</v>
      </c>
      <c r="V127" s="146" t="str">
        <f t="shared" si="6"/>
        <v>Muy Corrosivo</v>
      </c>
      <c r="W127" s="146" t="str">
        <f t="shared" si="6"/>
        <v>Muy Corrosivo</v>
      </c>
    </row>
    <row r="128" spans="1:23" ht="20.25" hidden="1" customHeight="1">
      <c r="A128" s="143"/>
      <c r="B128" s="144"/>
      <c r="C128" s="210"/>
      <c r="D128" s="210"/>
      <c r="E128" s="211"/>
      <c r="F128" s="223"/>
      <c r="G128" s="224"/>
      <c r="H128" s="223"/>
      <c r="I128" s="224"/>
      <c r="J128" s="223"/>
      <c r="K128" s="224"/>
      <c r="L128" s="225"/>
      <c r="M128" s="225"/>
      <c r="N128" s="225"/>
      <c r="O128" s="225"/>
      <c r="P128" s="225"/>
      <c r="Q128" s="225"/>
      <c r="R128" s="145"/>
      <c r="S128" s="145"/>
      <c r="T128" s="145"/>
      <c r="U128" s="146" t="str">
        <f t="shared" si="23"/>
        <v>Muy Corrosivo</v>
      </c>
      <c r="V128" s="146" t="str">
        <f t="shared" si="6"/>
        <v>Muy Corrosivo</v>
      </c>
      <c r="W128" s="146" t="str">
        <f t="shared" si="6"/>
        <v>Muy Corrosivo</v>
      </c>
    </row>
    <row r="129" spans="1:23" ht="20.25" hidden="1" customHeight="1">
      <c r="A129" s="143"/>
      <c r="B129" s="144"/>
      <c r="C129" s="210"/>
      <c r="D129" s="210"/>
      <c r="E129" s="211"/>
      <c r="F129" s="223"/>
      <c r="G129" s="224"/>
      <c r="H129" s="223"/>
      <c r="I129" s="224"/>
      <c r="J129" s="223"/>
      <c r="K129" s="224"/>
      <c r="L129" s="225"/>
      <c r="M129" s="225"/>
      <c r="N129" s="225"/>
      <c r="O129" s="225"/>
      <c r="P129" s="225"/>
      <c r="Q129" s="225"/>
      <c r="R129" s="145"/>
      <c r="S129" s="145"/>
      <c r="T129" s="145"/>
      <c r="U129" s="146" t="str">
        <f t="shared" si="23"/>
        <v>Muy Corrosivo</v>
      </c>
      <c r="V129" s="146" t="str">
        <f t="shared" si="6"/>
        <v>Muy Corrosivo</v>
      </c>
      <c r="W129" s="146" t="str">
        <f t="shared" si="6"/>
        <v>Muy Corrosivo</v>
      </c>
    </row>
    <row r="130" spans="1:23" ht="20.25" hidden="1" customHeight="1">
      <c r="A130" s="143"/>
      <c r="B130" s="144"/>
      <c r="C130" s="210"/>
      <c r="D130" s="210"/>
      <c r="E130" s="211"/>
      <c r="F130" s="223"/>
      <c r="G130" s="224"/>
      <c r="H130" s="223"/>
      <c r="I130" s="224"/>
      <c r="J130" s="223"/>
      <c r="K130" s="224"/>
      <c r="L130" s="225"/>
      <c r="M130" s="225"/>
      <c r="N130" s="225"/>
      <c r="O130" s="225"/>
      <c r="P130" s="225"/>
      <c r="Q130" s="225"/>
      <c r="R130" s="145"/>
      <c r="S130" s="145"/>
      <c r="T130" s="145"/>
      <c r="U130" s="146" t="str">
        <f t="shared" si="23"/>
        <v>Muy Corrosivo</v>
      </c>
      <c r="V130" s="146" t="str">
        <f t="shared" si="6"/>
        <v>Muy Corrosivo</v>
      </c>
      <c r="W130" s="146" t="str">
        <f t="shared" si="6"/>
        <v>Muy Corrosivo</v>
      </c>
    </row>
    <row r="131" spans="1:23" ht="20.25" hidden="1" customHeight="1">
      <c r="A131" s="143"/>
      <c r="B131" s="144"/>
      <c r="C131" s="210"/>
      <c r="D131" s="210"/>
      <c r="E131" s="211"/>
      <c r="F131" s="223"/>
      <c r="G131" s="224"/>
      <c r="H131" s="223"/>
      <c r="I131" s="224"/>
      <c r="J131" s="223"/>
      <c r="K131" s="224"/>
      <c r="L131" s="225"/>
      <c r="M131" s="225"/>
      <c r="N131" s="225"/>
      <c r="O131" s="225"/>
      <c r="P131" s="225"/>
      <c r="Q131" s="225"/>
      <c r="R131" s="145"/>
      <c r="S131" s="145"/>
      <c r="T131" s="145"/>
      <c r="U131" s="146" t="str">
        <f t="shared" si="23"/>
        <v>Muy Corrosivo</v>
      </c>
      <c r="V131" s="146" t="str">
        <f t="shared" si="6"/>
        <v>Muy Corrosivo</v>
      </c>
      <c r="W131" s="146" t="str">
        <f t="shared" si="6"/>
        <v>Muy Corrosivo</v>
      </c>
    </row>
    <row r="132" spans="1:23" ht="20.25" hidden="1" customHeight="1">
      <c r="A132" s="143"/>
      <c r="B132" s="144"/>
      <c r="C132" s="210"/>
      <c r="D132" s="210"/>
      <c r="E132" s="211"/>
      <c r="F132" s="223"/>
      <c r="G132" s="224"/>
      <c r="H132" s="223"/>
      <c r="I132" s="224"/>
      <c r="J132" s="223"/>
      <c r="K132" s="224"/>
      <c r="L132" s="225"/>
      <c r="M132" s="225"/>
      <c r="N132" s="225"/>
      <c r="O132" s="225"/>
      <c r="P132" s="225"/>
      <c r="Q132" s="225"/>
      <c r="R132" s="145"/>
      <c r="S132" s="145"/>
      <c r="T132" s="145"/>
      <c r="U132" s="146" t="str">
        <f t="shared" si="23"/>
        <v>Muy Corrosivo</v>
      </c>
      <c r="V132" s="146" t="str">
        <f t="shared" si="6"/>
        <v>Muy Corrosivo</v>
      </c>
      <c r="W132" s="146" t="str">
        <f t="shared" si="6"/>
        <v>Muy Corrosivo</v>
      </c>
    </row>
    <row r="133" spans="1:23" ht="20.25" hidden="1" customHeight="1">
      <c r="A133" s="143"/>
      <c r="B133" s="144"/>
      <c r="C133" s="210"/>
      <c r="D133" s="210"/>
      <c r="E133" s="211"/>
      <c r="F133" s="223"/>
      <c r="G133" s="224"/>
      <c r="H133" s="223"/>
      <c r="I133" s="224"/>
      <c r="J133" s="223"/>
      <c r="K133" s="224"/>
      <c r="L133" s="225"/>
      <c r="M133" s="225"/>
      <c r="N133" s="225"/>
      <c r="O133" s="225"/>
      <c r="P133" s="225"/>
      <c r="Q133" s="225"/>
      <c r="R133" s="145"/>
      <c r="S133" s="145"/>
      <c r="T133" s="145"/>
      <c r="U133" s="146" t="str">
        <f t="shared" si="23"/>
        <v>Muy Corrosivo</v>
      </c>
      <c r="V133" s="146" t="str">
        <f t="shared" si="6"/>
        <v>Muy Corrosivo</v>
      </c>
      <c r="W133" s="146" t="str">
        <f t="shared" si="6"/>
        <v>Muy Corrosivo</v>
      </c>
    </row>
    <row r="134" spans="1:23" ht="20.25" hidden="1" customHeight="1">
      <c r="A134" s="143"/>
      <c r="B134" s="144"/>
      <c r="C134" s="210"/>
      <c r="D134" s="210"/>
      <c r="E134" s="211"/>
      <c r="F134" s="223"/>
      <c r="G134" s="224"/>
      <c r="H134" s="223"/>
      <c r="I134" s="224"/>
      <c r="J134" s="223"/>
      <c r="K134" s="224"/>
      <c r="L134" s="225"/>
      <c r="M134" s="225"/>
      <c r="N134" s="225"/>
      <c r="O134" s="225"/>
      <c r="P134" s="225"/>
      <c r="Q134" s="225"/>
      <c r="R134" s="145"/>
      <c r="S134" s="145"/>
      <c r="T134" s="145"/>
      <c r="U134" s="146" t="str">
        <f t="shared" si="23"/>
        <v>Muy Corrosivo</v>
      </c>
      <c r="V134" s="146" t="str">
        <f t="shared" si="6"/>
        <v>Muy Corrosivo</v>
      </c>
      <c r="W134" s="146" t="str">
        <f t="shared" si="6"/>
        <v>Muy Corrosivo</v>
      </c>
    </row>
    <row r="135" spans="1:23" ht="20.25" hidden="1" customHeight="1">
      <c r="A135" s="143"/>
      <c r="B135" s="144"/>
      <c r="C135" s="210"/>
      <c r="D135" s="210"/>
      <c r="E135" s="211"/>
      <c r="F135" s="223"/>
      <c r="G135" s="224"/>
      <c r="H135" s="223"/>
      <c r="I135" s="224"/>
      <c r="J135" s="223"/>
      <c r="K135" s="224"/>
      <c r="L135" s="225"/>
      <c r="M135" s="225"/>
      <c r="N135" s="225"/>
      <c r="O135" s="225"/>
      <c r="P135" s="225"/>
      <c r="Q135" s="225"/>
      <c r="R135" s="145"/>
      <c r="S135" s="145"/>
      <c r="T135" s="145"/>
      <c r="U135" s="146" t="str">
        <f t="shared" ref="U135:U141" si="24">IF(R135&lt;=500,"Muy Corrosivo",IF(R135&lt;=1000,"Corrosivo",IF(R135&lt;=2000,"Moderadamente Corrosivo",IF(R135&lt;=10000,"Medianamente Corrosivo",IF(R135&gt;10000,"Despreciable","N/A")))))</f>
        <v>Muy Corrosivo</v>
      </c>
      <c r="V135" s="146" t="str">
        <f t="shared" ref="V135:V141" si="25">IF(S135&lt;=500,"Muy Corrosivo",IF(S135&lt;=1000,"Corrosivo",IF(S135&lt;=2000,"Moderadamente Corrosivo",IF(S135&lt;=10000,"Medianamente Corrosivo",IF(S135&gt;10000,"Despreciable","N/A")))))</f>
        <v>Muy Corrosivo</v>
      </c>
      <c r="W135" s="146" t="str">
        <f t="shared" ref="W135:W141" si="26">IF(T135&lt;=500,"Muy Corrosivo",IF(T135&lt;=1000,"Corrosivo",IF(T135&lt;=2000,"Moderadamente Corrosivo",IF(T135&lt;=10000,"Medianamente Corrosivo",IF(T135&gt;10000,"Despreciable","N/A")))))</f>
        <v>Muy Corrosivo</v>
      </c>
    </row>
    <row r="136" spans="1:23" ht="20.25" hidden="1" customHeight="1">
      <c r="A136" s="143"/>
      <c r="B136" s="144"/>
      <c r="C136" s="210"/>
      <c r="D136" s="210"/>
      <c r="E136" s="211"/>
      <c r="F136" s="223"/>
      <c r="G136" s="224"/>
      <c r="H136" s="223"/>
      <c r="I136" s="224"/>
      <c r="J136" s="223"/>
      <c r="K136" s="224"/>
      <c r="L136" s="225"/>
      <c r="M136" s="225"/>
      <c r="N136" s="225"/>
      <c r="O136" s="225"/>
      <c r="P136" s="225"/>
      <c r="Q136" s="225"/>
      <c r="R136" s="145"/>
      <c r="S136" s="145"/>
      <c r="T136" s="145"/>
      <c r="U136" s="146" t="str">
        <f t="shared" si="24"/>
        <v>Muy Corrosivo</v>
      </c>
      <c r="V136" s="146" t="str">
        <f t="shared" si="25"/>
        <v>Muy Corrosivo</v>
      </c>
      <c r="W136" s="146" t="str">
        <f t="shared" si="26"/>
        <v>Muy Corrosivo</v>
      </c>
    </row>
    <row r="137" spans="1:23" ht="20.25" hidden="1" customHeight="1">
      <c r="A137" s="143"/>
      <c r="B137" s="144"/>
      <c r="C137" s="210"/>
      <c r="D137" s="210"/>
      <c r="E137" s="211"/>
      <c r="F137" s="223"/>
      <c r="G137" s="224"/>
      <c r="H137" s="223"/>
      <c r="I137" s="224"/>
      <c r="J137" s="223"/>
      <c r="K137" s="224"/>
      <c r="L137" s="225"/>
      <c r="M137" s="225"/>
      <c r="N137" s="225"/>
      <c r="O137" s="225"/>
      <c r="P137" s="225"/>
      <c r="Q137" s="225"/>
      <c r="R137" s="145"/>
      <c r="S137" s="145"/>
      <c r="T137" s="145"/>
      <c r="U137" s="146" t="str">
        <f t="shared" si="24"/>
        <v>Muy Corrosivo</v>
      </c>
      <c r="V137" s="146" t="str">
        <f t="shared" si="25"/>
        <v>Muy Corrosivo</v>
      </c>
      <c r="W137" s="146" t="str">
        <f t="shared" si="26"/>
        <v>Muy Corrosivo</v>
      </c>
    </row>
    <row r="138" spans="1:23" ht="20.25" hidden="1" customHeight="1">
      <c r="A138" s="143"/>
      <c r="B138" s="144"/>
      <c r="C138" s="210"/>
      <c r="D138" s="210"/>
      <c r="E138" s="211"/>
      <c r="F138" s="223"/>
      <c r="G138" s="224"/>
      <c r="H138" s="223"/>
      <c r="I138" s="224"/>
      <c r="J138" s="223"/>
      <c r="K138" s="224"/>
      <c r="L138" s="225"/>
      <c r="M138" s="225"/>
      <c r="N138" s="225"/>
      <c r="O138" s="225"/>
      <c r="P138" s="225"/>
      <c r="Q138" s="225"/>
      <c r="R138" s="145"/>
      <c r="S138" s="145"/>
      <c r="T138" s="145"/>
      <c r="U138" s="146" t="str">
        <f t="shared" si="24"/>
        <v>Muy Corrosivo</v>
      </c>
      <c r="V138" s="146" t="str">
        <f t="shared" si="25"/>
        <v>Muy Corrosivo</v>
      </c>
      <c r="W138" s="146" t="str">
        <f t="shared" si="26"/>
        <v>Muy Corrosivo</v>
      </c>
    </row>
    <row r="139" spans="1:23" ht="20.25" hidden="1" customHeight="1">
      <c r="A139" s="143"/>
      <c r="B139" s="144"/>
      <c r="C139" s="210"/>
      <c r="D139" s="210"/>
      <c r="E139" s="211"/>
      <c r="F139" s="223"/>
      <c r="G139" s="224"/>
      <c r="H139" s="223"/>
      <c r="I139" s="224"/>
      <c r="J139" s="223"/>
      <c r="K139" s="224"/>
      <c r="L139" s="225"/>
      <c r="M139" s="225"/>
      <c r="N139" s="225"/>
      <c r="O139" s="225"/>
      <c r="P139" s="225"/>
      <c r="Q139" s="225"/>
      <c r="R139" s="145"/>
      <c r="S139" s="145"/>
      <c r="T139" s="145"/>
      <c r="U139" s="146" t="str">
        <f t="shared" si="24"/>
        <v>Muy Corrosivo</v>
      </c>
      <c r="V139" s="146" t="str">
        <f t="shared" si="25"/>
        <v>Muy Corrosivo</v>
      </c>
      <c r="W139" s="146" t="str">
        <f t="shared" si="26"/>
        <v>Muy Corrosivo</v>
      </c>
    </row>
    <row r="140" spans="1:23" ht="20.25" hidden="1" customHeight="1">
      <c r="A140" s="143"/>
      <c r="B140" s="144"/>
      <c r="C140" s="210"/>
      <c r="D140" s="210"/>
      <c r="E140" s="211"/>
      <c r="F140" s="223"/>
      <c r="G140" s="224"/>
      <c r="H140" s="223"/>
      <c r="I140" s="224"/>
      <c r="J140" s="223"/>
      <c r="K140" s="224"/>
      <c r="L140" s="225"/>
      <c r="M140" s="225"/>
      <c r="N140" s="225"/>
      <c r="O140" s="225"/>
      <c r="P140" s="225"/>
      <c r="Q140" s="225"/>
      <c r="R140" s="145"/>
      <c r="S140" s="145"/>
      <c r="T140" s="145"/>
      <c r="U140" s="146" t="str">
        <f t="shared" si="24"/>
        <v>Muy Corrosivo</v>
      </c>
      <c r="V140" s="146" t="str">
        <f t="shared" si="25"/>
        <v>Muy Corrosivo</v>
      </c>
      <c r="W140" s="146" t="str">
        <f t="shared" si="26"/>
        <v>Muy Corrosivo</v>
      </c>
    </row>
    <row r="141" spans="1:23" ht="20.25" hidden="1" customHeight="1">
      <c r="A141" s="143"/>
      <c r="B141" s="144"/>
      <c r="C141" s="210"/>
      <c r="D141" s="210"/>
      <c r="E141" s="211"/>
      <c r="F141" s="223"/>
      <c r="G141" s="224"/>
      <c r="H141" s="223"/>
      <c r="I141" s="224"/>
      <c r="J141" s="223"/>
      <c r="K141" s="224"/>
      <c r="L141" s="225"/>
      <c r="M141" s="225"/>
      <c r="N141" s="225"/>
      <c r="O141" s="225"/>
      <c r="P141" s="225"/>
      <c r="Q141" s="225"/>
      <c r="R141" s="145"/>
      <c r="S141" s="145"/>
      <c r="T141" s="145"/>
      <c r="U141" s="146" t="str">
        <f t="shared" si="24"/>
        <v>Muy Corrosivo</v>
      </c>
      <c r="V141" s="146" t="str">
        <f t="shared" si="25"/>
        <v>Muy Corrosivo</v>
      </c>
      <c r="W141" s="146" t="str">
        <f t="shared" si="26"/>
        <v>Muy Corrosivo</v>
      </c>
    </row>
    <row r="142" spans="1:23" ht="20.25" hidden="1" customHeight="1">
      <c r="A142" s="143"/>
      <c r="B142" s="144"/>
      <c r="C142" s="210"/>
      <c r="D142" s="210"/>
      <c r="E142" s="211"/>
      <c r="F142" s="223"/>
      <c r="G142" s="224"/>
      <c r="H142" s="223"/>
      <c r="I142" s="224"/>
      <c r="J142" s="223"/>
      <c r="K142" s="224"/>
      <c r="L142" s="225"/>
      <c r="M142" s="225"/>
      <c r="N142" s="225"/>
      <c r="O142" s="225"/>
      <c r="P142" s="225"/>
      <c r="Q142" s="225"/>
      <c r="R142" s="145"/>
      <c r="S142" s="145"/>
      <c r="T142" s="145"/>
      <c r="U142" s="146" t="str">
        <f t="shared" si="23"/>
        <v>Muy Corrosivo</v>
      </c>
      <c r="V142" s="146" t="str">
        <f t="shared" si="6"/>
        <v>Muy Corrosivo</v>
      </c>
      <c r="W142" s="146" t="str">
        <f t="shared" si="6"/>
        <v>Muy Corrosivo</v>
      </c>
    </row>
    <row r="143" spans="1:23" ht="20.25" hidden="1" customHeight="1">
      <c r="A143" s="143"/>
      <c r="B143" s="144"/>
      <c r="C143" s="210"/>
      <c r="D143" s="210"/>
      <c r="E143" s="211"/>
      <c r="F143" s="223"/>
      <c r="G143" s="224"/>
      <c r="H143" s="223"/>
      <c r="I143" s="224"/>
      <c r="J143" s="223"/>
      <c r="K143" s="224"/>
      <c r="L143" s="225"/>
      <c r="M143" s="225"/>
      <c r="N143" s="225"/>
      <c r="O143" s="225"/>
      <c r="P143" s="225"/>
      <c r="Q143" s="225"/>
      <c r="R143" s="145"/>
      <c r="S143" s="145"/>
      <c r="T143" s="145"/>
      <c r="U143" s="146" t="str">
        <f t="shared" si="23"/>
        <v>Muy Corrosivo</v>
      </c>
      <c r="V143" s="146" t="str">
        <f t="shared" si="6"/>
        <v>Muy Corrosivo</v>
      </c>
      <c r="W143" s="146" t="str">
        <f t="shared" si="6"/>
        <v>Muy Corrosivo</v>
      </c>
    </row>
    <row r="144" spans="1:23" ht="20.25" hidden="1" customHeight="1">
      <c r="A144" s="143"/>
      <c r="B144" s="144"/>
      <c r="C144" s="210"/>
      <c r="D144" s="210"/>
      <c r="E144" s="211"/>
      <c r="F144" s="223"/>
      <c r="G144" s="224"/>
      <c r="H144" s="223"/>
      <c r="I144" s="224"/>
      <c r="J144" s="223"/>
      <c r="K144" s="224"/>
      <c r="L144" s="225"/>
      <c r="M144" s="225"/>
      <c r="N144" s="225"/>
      <c r="O144" s="225"/>
      <c r="P144" s="225"/>
      <c r="Q144" s="225"/>
      <c r="R144" s="145"/>
      <c r="S144" s="145"/>
      <c r="T144" s="145"/>
      <c r="U144" s="146" t="str">
        <f t="shared" si="23"/>
        <v>Muy Corrosivo</v>
      </c>
      <c r="V144" s="146" t="str">
        <f t="shared" si="6"/>
        <v>Muy Corrosivo</v>
      </c>
      <c r="W144" s="146" t="str">
        <f t="shared" si="6"/>
        <v>Muy Corrosivo</v>
      </c>
    </row>
    <row r="145" spans="1:23" ht="20.25" hidden="1" customHeight="1">
      <c r="A145" s="143"/>
      <c r="B145" s="144"/>
      <c r="C145" s="210"/>
      <c r="D145" s="210"/>
      <c r="E145" s="211"/>
      <c r="F145" s="223"/>
      <c r="G145" s="224"/>
      <c r="H145" s="223"/>
      <c r="I145" s="224"/>
      <c r="J145" s="223"/>
      <c r="K145" s="224"/>
      <c r="L145" s="225"/>
      <c r="M145" s="225"/>
      <c r="N145" s="225"/>
      <c r="O145" s="225"/>
      <c r="P145" s="225"/>
      <c r="Q145" s="225"/>
      <c r="R145" s="145"/>
      <c r="S145" s="145"/>
      <c r="T145" s="145"/>
      <c r="U145" s="146" t="str">
        <f t="shared" si="23"/>
        <v>Muy Corrosivo</v>
      </c>
      <c r="V145" s="146" t="str">
        <f t="shared" si="6"/>
        <v>Muy Corrosivo</v>
      </c>
      <c r="W145" s="146" t="str">
        <f t="shared" si="6"/>
        <v>Muy Corrosivo</v>
      </c>
    </row>
    <row r="146" spans="1:23" ht="20.25" hidden="1" customHeight="1">
      <c r="A146" s="143"/>
      <c r="B146" s="144"/>
      <c r="C146" s="210"/>
      <c r="D146" s="210"/>
      <c r="E146" s="211"/>
      <c r="F146" s="223"/>
      <c r="G146" s="224"/>
      <c r="H146" s="223"/>
      <c r="I146" s="224"/>
      <c r="J146" s="223"/>
      <c r="K146" s="224"/>
      <c r="L146" s="225"/>
      <c r="M146" s="225"/>
      <c r="N146" s="225"/>
      <c r="O146" s="225"/>
      <c r="P146" s="225"/>
      <c r="Q146" s="225"/>
      <c r="R146" s="145"/>
      <c r="S146" s="145"/>
      <c r="T146" s="145"/>
      <c r="U146" s="146" t="str">
        <f t="shared" si="23"/>
        <v>Muy Corrosivo</v>
      </c>
      <c r="V146" s="146" t="str">
        <f t="shared" si="6"/>
        <v>Muy Corrosivo</v>
      </c>
      <c r="W146" s="146" t="str">
        <f t="shared" si="6"/>
        <v>Muy Corrosivo</v>
      </c>
    </row>
    <row r="147" spans="1:23" ht="20.25" hidden="1" customHeight="1">
      <c r="A147" s="143"/>
      <c r="B147" s="144"/>
      <c r="C147" s="210"/>
      <c r="D147" s="210"/>
      <c r="E147" s="211"/>
      <c r="F147" s="223"/>
      <c r="G147" s="224"/>
      <c r="H147" s="223"/>
      <c r="I147" s="224"/>
      <c r="J147" s="223"/>
      <c r="K147" s="224"/>
      <c r="L147" s="225"/>
      <c r="M147" s="225"/>
      <c r="N147" s="225"/>
      <c r="O147" s="225"/>
      <c r="P147" s="225"/>
      <c r="Q147" s="225"/>
      <c r="R147" s="145"/>
      <c r="S147" s="145"/>
      <c r="T147" s="145"/>
      <c r="U147" s="146" t="str">
        <f t="shared" si="23"/>
        <v>Muy Corrosivo</v>
      </c>
      <c r="V147" s="146" t="str">
        <f t="shared" si="6"/>
        <v>Muy Corrosivo</v>
      </c>
      <c r="W147" s="146" t="str">
        <f t="shared" si="6"/>
        <v>Muy Corrosivo</v>
      </c>
    </row>
    <row r="148" spans="1:23" ht="20.25" hidden="1" customHeight="1">
      <c r="A148" s="143"/>
      <c r="B148" s="144"/>
      <c r="C148" s="210"/>
      <c r="D148" s="210"/>
      <c r="E148" s="211"/>
      <c r="F148" s="223"/>
      <c r="G148" s="224"/>
      <c r="H148" s="223"/>
      <c r="I148" s="224"/>
      <c r="J148" s="223"/>
      <c r="K148" s="224"/>
      <c r="L148" s="225"/>
      <c r="M148" s="225"/>
      <c r="N148" s="225"/>
      <c r="O148" s="225"/>
      <c r="P148" s="225"/>
      <c r="Q148" s="225"/>
      <c r="R148" s="145"/>
      <c r="S148" s="145"/>
      <c r="T148" s="145"/>
      <c r="U148" s="146" t="str">
        <f t="shared" si="23"/>
        <v>Muy Corrosivo</v>
      </c>
      <c r="V148" s="146" t="str">
        <f t="shared" si="6"/>
        <v>Muy Corrosivo</v>
      </c>
      <c r="W148" s="146" t="str">
        <f t="shared" si="6"/>
        <v>Muy Corrosivo</v>
      </c>
    </row>
    <row r="149" spans="1:23" ht="20.25" hidden="1" customHeight="1">
      <c r="A149" s="143"/>
      <c r="B149" s="144"/>
      <c r="C149" s="210"/>
      <c r="D149" s="210"/>
      <c r="E149" s="211"/>
      <c r="F149" s="223"/>
      <c r="G149" s="224"/>
      <c r="H149" s="223"/>
      <c r="I149" s="224"/>
      <c r="J149" s="223"/>
      <c r="K149" s="224"/>
      <c r="L149" s="225"/>
      <c r="M149" s="225"/>
      <c r="N149" s="225"/>
      <c r="O149" s="225"/>
      <c r="P149" s="225"/>
      <c r="Q149" s="225"/>
      <c r="R149" s="145"/>
      <c r="S149" s="145"/>
      <c r="T149" s="145"/>
      <c r="U149" s="146" t="str">
        <f t="shared" si="23"/>
        <v>Muy Corrosivo</v>
      </c>
      <c r="V149" s="146" t="str">
        <f t="shared" si="6"/>
        <v>Muy Corrosivo</v>
      </c>
      <c r="W149" s="146" t="str">
        <f t="shared" si="6"/>
        <v>Muy Corrosivo</v>
      </c>
    </row>
    <row r="150" spans="1:23" ht="20.25" hidden="1" customHeight="1">
      <c r="A150" s="143"/>
      <c r="B150" s="144"/>
      <c r="C150" s="210"/>
      <c r="D150" s="210"/>
      <c r="E150" s="211"/>
      <c r="F150" s="223"/>
      <c r="G150" s="224"/>
      <c r="H150" s="223"/>
      <c r="I150" s="224"/>
      <c r="J150" s="223"/>
      <c r="K150" s="224"/>
      <c r="L150" s="225"/>
      <c r="M150" s="225"/>
      <c r="N150" s="225"/>
      <c r="O150" s="225"/>
      <c r="P150" s="225"/>
      <c r="Q150" s="225"/>
      <c r="R150" s="145"/>
      <c r="S150" s="145"/>
      <c r="T150" s="145"/>
      <c r="U150" s="146" t="str">
        <f t="shared" si="23"/>
        <v>Muy Corrosivo</v>
      </c>
      <c r="V150" s="146" t="str">
        <f t="shared" si="6"/>
        <v>Muy Corrosivo</v>
      </c>
      <c r="W150" s="146" t="str">
        <f t="shared" si="6"/>
        <v>Muy Corrosivo</v>
      </c>
    </row>
    <row r="151" spans="1:23" ht="20.25" hidden="1" customHeight="1">
      <c r="A151" s="143"/>
      <c r="B151" s="144"/>
      <c r="C151" s="210"/>
      <c r="D151" s="210"/>
      <c r="E151" s="211"/>
      <c r="F151" s="223"/>
      <c r="G151" s="224"/>
      <c r="H151" s="223"/>
      <c r="I151" s="224"/>
      <c r="J151" s="223"/>
      <c r="K151" s="224"/>
      <c r="L151" s="225"/>
      <c r="M151" s="225"/>
      <c r="N151" s="225"/>
      <c r="O151" s="225"/>
      <c r="P151" s="225"/>
      <c r="Q151" s="225"/>
      <c r="R151" s="145"/>
      <c r="S151" s="145"/>
      <c r="T151" s="145"/>
      <c r="U151" s="146" t="str">
        <f t="shared" si="23"/>
        <v>Muy Corrosivo</v>
      </c>
      <c r="V151" s="146" t="str">
        <f t="shared" si="6"/>
        <v>Muy Corrosivo</v>
      </c>
      <c r="W151" s="146" t="str">
        <f t="shared" si="6"/>
        <v>Muy Corrosivo</v>
      </c>
    </row>
    <row r="152" spans="1:23" ht="20.25" hidden="1" customHeight="1">
      <c r="A152" s="143"/>
      <c r="B152" s="144"/>
      <c r="C152" s="210"/>
      <c r="D152" s="210"/>
      <c r="E152" s="211"/>
      <c r="F152" s="223"/>
      <c r="G152" s="224"/>
      <c r="H152" s="223"/>
      <c r="I152" s="224"/>
      <c r="J152" s="223"/>
      <c r="K152" s="224"/>
      <c r="L152" s="225"/>
      <c r="M152" s="225"/>
      <c r="N152" s="225"/>
      <c r="O152" s="225"/>
      <c r="P152" s="225"/>
      <c r="Q152" s="225"/>
      <c r="R152" s="145"/>
      <c r="S152" s="145"/>
      <c r="T152" s="145"/>
      <c r="U152" s="146" t="str">
        <f t="shared" si="23"/>
        <v>Muy Corrosivo</v>
      </c>
      <c r="V152" s="146" t="str">
        <f t="shared" si="6"/>
        <v>Muy Corrosivo</v>
      </c>
      <c r="W152" s="146" t="str">
        <f t="shared" si="6"/>
        <v>Muy Corrosivo</v>
      </c>
    </row>
    <row r="153" spans="1:23" ht="20.25" hidden="1" customHeight="1">
      <c r="A153" s="143"/>
      <c r="B153" s="144"/>
      <c r="C153" s="210"/>
      <c r="D153" s="210"/>
      <c r="E153" s="211"/>
      <c r="F153" s="223"/>
      <c r="G153" s="224"/>
      <c r="H153" s="223"/>
      <c r="I153" s="224"/>
      <c r="J153" s="223"/>
      <c r="K153" s="224"/>
      <c r="L153" s="225"/>
      <c r="M153" s="225"/>
      <c r="N153" s="225"/>
      <c r="O153" s="225"/>
      <c r="P153" s="225"/>
      <c r="Q153" s="225"/>
      <c r="R153" s="145"/>
      <c r="S153" s="145"/>
      <c r="T153" s="145"/>
      <c r="U153" s="146" t="str">
        <f t="shared" si="23"/>
        <v>Muy Corrosivo</v>
      </c>
      <c r="V153" s="146" t="str">
        <f t="shared" si="6"/>
        <v>Muy Corrosivo</v>
      </c>
      <c r="W153" s="146" t="str">
        <f t="shared" si="6"/>
        <v>Muy Corrosivo</v>
      </c>
    </row>
    <row r="154" spans="1:23" ht="20.25" hidden="1" customHeight="1">
      <c r="A154" s="143"/>
      <c r="B154" s="144"/>
      <c r="C154" s="210"/>
      <c r="D154" s="210"/>
      <c r="E154" s="211"/>
      <c r="F154" s="223"/>
      <c r="G154" s="224"/>
      <c r="H154" s="223"/>
      <c r="I154" s="224"/>
      <c r="J154" s="223"/>
      <c r="K154" s="224"/>
      <c r="L154" s="225"/>
      <c r="M154" s="225"/>
      <c r="N154" s="225"/>
      <c r="O154" s="225"/>
      <c r="P154" s="225"/>
      <c r="Q154" s="225"/>
      <c r="R154" s="145"/>
      <c r="S154" s="145"/>
      <c r="T154" s="145"/>
      <c r="U154" s="146" t="str">
        <f t="shared" si="23"/>
        <v>Muy Corrosivo</v>
      </c>
      <c r="V154" s="146" t="str">
        <f t="shared" si="6"/>
        <v>Muy Corrosivo</v>
      </c>
      <c r="W154" s="146" t="str">
        <f t="shared" si="6"/>
        <v>Muy Corrosivo</v>
      </c>
    </row>
    <row r="155" spans="1:23" ht="20.25" hidden="1" customHeight="1">
      <c r="A155" s="143"/>
      <c r="B155" s="144"/>
      <c r="C155" s="210"/>
      <c r="D155" s="210"/>
      <c r="E155" s="211"/>
      <c r="F155" s="223"/>
      <c r="G155" s="224"/>
      <c r="H155" s="223"/>
      <c r="I155" s="224"/>
      <c r="J155" s="223"/>
      <c r="K155" s="224"/>
      <c r="L155" s="225"/>
      <c r="M155" s="225"/>
      <c r="N155" s="225"/>
      <c r="O155" s="225"/>
      <c r="P155" s="225"/>
      <c r="Q155" s="225"/>
      <c r="R155" s="145"/>
      <c r="S155" s="145"/>
      <c r="T155" s="145"/>
      <c r="U155" s="146" t="str">
        <f t="shared" si="23"/>
        <v>Muy Corrosivo</v>
      </c>
      <c r="V155" s="146" t="str">
        <f t="shared" si="6"/>
        <v>Muy Corrosivo</v>
      </c>
      <c r="W155" s="146" t="str">
        <f t="shared" si="6"/>
        <v>Muy Corrosivo</v>
      </c>
    </row>
    <row r="156" spans="1:23" ht="20.25" hidden="1" customHeight="1">
      <c r="A156" s="143"/>
      <c r="B156" s="144"/>
      <c r="C156" s="210"/>
      <c r="D156" s="210"/>
      <c r="E156" s="211"/>
      <c r="F156" s="223"/>
      <c r="G156" s="224"/>
      <c r="H156" s="223"/>
      <c r="I156" s="224"/>
      <c r="J156" s="223"/>
      <c r="K156" s="224"/>
      <c r="L156" s="225"/>
      <c r="M156" s="225"/>
      <c r="N156" s="225"/>
      <c r="O156" s="225"/>
      <c r="P156" s="225"/>
      <c r="Q156" s="225"/>
      <c r="R156" s="145"/>
      <c r="S156" s="145"/>
      <c r="T156" s="145"/>
      <c r="U156" s="146" t="str">
        <f t="shared" si="23"/>
        <v>Muy Corrosivo</v>
      </c>
      <c r="V156" s="146" t="str">
        <f t="shared" si="6"/>
        <v>Muy Corrosivo</v>
      </c>
      <c r="W156" s="146" t="str">
        <f t="shared" si="6"/>
        <v>Muy Corrosivo</v>
      </c>
    </row>
    <row r="157" spans="1:23" ht="20.25" hidden="1" customHeight="1">
      <c r="A157" s="143"/>
      <c r="B157" s="144"/>
      <c r="C157" s="210"/>
      <c r="D157" s="210"/>
      <c r="E157" s="211"/>
      <c r="F157" s="223"/>
      <c r="G157" s="224"/>
      <c r="H157" s="223"/>
      <c r="I157" s="224"/>
      <c r="J157" s="223"/>
      <c r="K157" s="224"/>
      <c r="L157" s="225"/>
      <c r="M157" s="225"/>
      <c r="N157" s="225"/>
      <c r="O157" s="225"/>
      <c r="P157" s="225"/>
      <c r="Q157" s="225"/>
      <c r="R157" s="145"/>
      <c r="S157" s="145"/>
      <c r="T157" s="145"/>
      <c r="U157" s="146" t="str">
        <f t="shared" si="23"/>
        <v>Muy Corrosivo</v>
      </c>
      <c r="V157" s="146" t="str">
        <f t="shared" si="6"/>
        <v>Muy Corrosivo</v>
      </c>
      <c r="W157" s="146" t="str">
        <f t="shared" si="6"/>
        <v>Muy Corrosivo</v>
      </c>
    </row>
    <row r="158" spans="1:23" ht="20.25" hidden="1" customHeight="1">
      <c r="A158" s="143"/>
      <c r="B158" s="144"/>
      <c r="C158" s="210"/>
      <c r="D158" s="210"/>
      <c r="E158" s="211"/>
      <c r="F158" s="223"/>
      <c r="G158" s="224"/>
      <c r="H158" s="223"/>
      <c r="I158" s="224"/>
      <c r="J158" s="223"/>
      <c r="K158" s="224"/>
      <c r="L158" s="225"/>
      <c r="M158" s="225"/>
      <c r="N158" s="225"/>
      <c r="O158" s="225"/>
      <c r="P158" s="225"/>
      <c r="Q158" s="225"/>
      <c r="R158" s="145"/>
      <c r="S158" s="145"/>
      <c r="T158" s="145"/>
      <c r="U158" s="146" t="str">
        <f t="shared" si="23"/>
        <v>Muy Corrosivo</v>
      </c>
      <c r="V158" s="146" t="str">
        <f t="shared" si="23"/>
        <v>Muy Corrosivo</v>
      </c>
      <c r="W158" s="146" t="str">
        <f t="shared" si="23"/>
        <v>Muy Corrosivo</v>
      </c>
    </row>
    <row r="159" spans="1:23" ht="20.25" hidden="1" customHeight="1">
      <c r="A159" s="143"/>
      <c r="B159" s="144"/>
      <c r="C159" s="210"/>
      <c r="D159" s="210"/>
      <c r="E159" s="211"/>
      <c r="F159" s="223"/>
      <c r="G159" s="224"/>
      <c r="H159" s="223"/>
      <c r="I159" s="224"/>
      <c r="J159" s="223"/>
      <c r="K159" s="224"/>
      <c r="L159" s="225"/>
      <c r="M159" s="225"/>
      <c r="N159" s="225"/>
      <c r="O159" s="225"/>
      <c r="P159" s="225"/>
      <c r="Q159" s="225"/>
      <c r="R159" s="145"/>
      <c r="S159" s="145"/>
      <c r="T159" s="145"/>
      <c r="U159" s="146" t="str">
        <f t="shared" si="23"/>
        <v>Muy Corrosivo</v>
      </c>
      <c r="V159" s="146" t="str">
        <f t="shared" si="6"/>
        <v>Muy Corrosivo</v>
      </c>
      <c r="W159" s="146" t="str">
        <f t="shared" si="6"/>
        <v>Muy Corrosivo</v>
      </c>
    </row>
    <row r="160" spans="1:23" ht="20.25" hidden="1" customHeight="1">
      <c r="A160" s="143"/>
      <c r="B160" s="144"/>
      <c r="C160" s="210"/>
      <c r="D160" s="210"/>
      <c r="E160" s="211"/>
      <c r="F160" s="223"/>
      <c r="G160" s="224"/>
      <c r="H160" s="223"/>
      <c r="I160" s="224"/>
      <c r="J160" s="223"/>
      <c r="K160" s="224"/>
      <c r="L160" s="225"/>
      <c r="M160" s="225"/>
      <c r="N160" s="225"/>
      <c r="O160" s="225"/>
      <c r="P160" s="225"/>
      <c r="Q160" s="225"/>
      <c r="R160" s="145"/>
      <c r="S160" s="145"/>
      <c r="T160" s="145"/>
      <c r="U160" s="146" t="str">
        <f t="shared" si="23"/>
        <v>Muy Corrosivo</v>
      </c>
      <c r="V160" s="146" t="str">
        <f t="shared" si="23"/>
        <v>Muy Corrosivo</v>
      </c>
      <c r="W160" s="146" t="str">
        <f t="shared" si="23"/>
        <v>Muy Corrosivo</v>
      </c>
    </row>
    <row r="161" spans="1:23" ht="20.25" hidden="1" customHeight="1">
      <c r="A161" s="143"/>
      <c r="B161" s="144"/>
      <c r="C161" s="210"/>
      <c r="D161" s="210"/>
      <c r="E161" s="211"/>
      <c r="F161" s="223"/>
      <c r="G161" s="224"/>
      <c r="H161" s="223"/>
      <c r="I161" s="224"/>
      <c r="J161" s="223"/>
      <c r="K161" s="224"/>
      <c r="L161" s="225"/>
      <c r="M161" s="225"/>
      <c r="N161" s="225"/>
      <c r="O161" s="225"/>
      <c r="P161" s="225"/>
      <c r="Q161" s="225"/>
      <c r="R161" s="145"/>
      <c r="S161" s="145"/>
      <c r="T161" s="145"/>
      <c r="U161" s="146" t="str">
        <f t="shared" si="23"/>
        <v>Muy Corrosivo</v>
      </c>
      <c r="V161" s="146" t="str">
        <f t="shared" si="23"/>
        <v>Muy Corrosivo</v>
      </c>
      <c r="W161" s="146" t="str">
        <f t="shared" si="23"/>
        <v>Muy Corrosivo</v>
      </c>
    </row>
    <row r="162" spans="1:23" ht="20.25" hidden="1" customHeight="1">
      <c r="A162" s="143"/>
      <c r="B162" s="144"/>
      <c r="C162" s="210"/>
      <c r="D162" s="210"/>
      <c r="E162" s="211"/>
      <c r="F162" s="223"/>
      <c r="G162" s="224"/>
      <c r="H162" s="223"/>
      <c r="I162" s="224"/>
      <c r="J162" s="223"/>
      <c r="K162" s="224"/>
      <c r="L162" s="225"/>
      <c r="M162" s="225"/>
      <c r="N162" s="225"/>
      <c r="O162" s="225"/>
      <c r="P162" s="225"/>
      <c r="Q162" s="225"/>
      <c r="R162" s="145"/>
      <c r="S162" s="145"/>
      <c r="T162" s="145"/>
      <c r="U162" s="146" t="str">
        <f t="shared" si="23"/>
        <v>Muy Corrosivo</v>
      </c>
      <c r="V162" s="146" t="str">
        <f t="shared" si="23"/>
        <v>Muy Corrosivo</v>
      </c>
      <c r="W162" s="146" t="str">
        <f t="shared" si="23"/>
        <v>Muy Corrosivo</v>
      </c>
    </row>
    <row r="163" spans="1:23" ht="20.25" hidden="1" customHeight="1">
      <c r="A163" s="143"/>
      <c r="B163" s="144"/>
      <c r="C163" s="210"/>
      <c r="D163" s="210"/>
      <c r="E163" s="211"/>
      <c r="F163" s="223"/>
      <c r="G163" s="224"/>
      <c r="H163" s="223"/>
      <c r="I163" s="224"/>
      <c r="J163" s="223"/>
      <c r="K163" s="224"/>
      <c r="L163" s="225"/>
      <c r="M163" s="225"/>
      <c r="N163" s="225"/>
      <c r="O163" s="225"/>
      <c r="P163" s="225"/>
      <c r="Q163" s="225"/>
      <c r="R163" s="145"/>
      <c r="S163" s="145"/>
      <c r="T163" s="145"/>
      <c r="U163" s="146" t="str">
        <f t="shared" si="23"/>
        <v>Muy Corrosivo</v>
      </c>
      <c r="V163" s="146" t="str">
        <f t="shared" si="23"/>
        <v>Muy Corrosivo</v>
      </c>
      <c r="W163" s="146" t="str">
        <f t="shared" si="23"/>
        <v>Muy Corrosivo</v>
      </c>
    </row>
    <row r="164" spans="1:23" ht="20.25" hidden="1" customHeight="1">
      <c r="A164" s="143"/>
      <c r="B164" s="144"/>
      <c r="C164" s="210"/>
      <c r="D164" s="210"/>
      <c r="E164" s="211"/>
      <c r="F164" s="223"/>
      <c r="G164" s="224"/>
      <c r="H164" s="223"/>
      <c r="I164" s="224"/>
      <c r="J164" s="223"/>
      <c r="K164" s="224"/>
      <c r="L164" s="225"/>
      <c r="M164" s="225"/>
      <c r="N164" s="225"/>
      <c r="O164" s="225"/>
      <c r="P164" s="225"/>
      <c r="Q164" s="225"/>
      <c r="R164" s="145"/>
      <c r="S164" s="145"/>
      <c r="T164" s="145"/>
      <c r="U164" s="146" t="str">
        <f t="shared" si="23"/>
        <v>Muy Corrosivo</v>
      </c>
      <c r="V164" s="146" t="str">
        <f t="shared" si="23"/>
        <v>Muy Corrosivo</v>
      </c>
      <c r="W164" s="146" t="str">
        <f t="shared" si="23"/>
        <v>Muy Corrosivo</v>
      </c>
    </row>
    <row r="165" spans="1:23" ht="20.25" hidden="1" customHeight="1">
      <c r="A165" s="143"/>
      <c r="B165" s="144"/>
      <c r="C165" s="210"/>
      <c r="D165" s="210"/>
      <c r="E165" s="211"/>
      <c r="F165" s="223"/>
      <c r="G165" s="224"/>
      <c r="H165" s="223"/>
      <c r="I165" s="224"/>
      <c r="J165" s="223"/>
      <c r="K165" s="224"/>
      <c r="L165" s="225"/>
      <c r="M165" s="225"/>
      <c r="N165" s="225"/>
      <c r="O165" s="225"/>
      <c r="P165" s="225"/>
      <c r="Q165" s="225"/>
      <c r="R165" s="145"/>
      <c r="S165" s="145"/>
      <c r="T165" s="145"/>
      <c r="U165" s="146" t="str">
        <f t="shared" si="23"/>
        <v>Muy Corrosivo</v>
      </c>
      <c r="V165" s="146" t="str">
        <f t="shared" si="23"/>
        <v>Muy Corrosivo</v>
      </c>
      <c r="W165" s="146" t="str">
        <f t="shared" si="23"/>
        <v>Muy Corrosivo</v>
      </c>
    </row>
    <row r="166" spans="1:23" ht="20.25" hidden="1" customHeight="1">
      <c r="A166" s="143"/>
      <c r="B166" s="144"/>
      <c r="C166" s="210"/>
      <c r="D166" s="210"/>
      <c r="E166" s="211"/>
      <c r="F166" s="223"/>
      <c r="G166" s="224"/>
      <c r="H166" s="223"/>
      <c r="I166" s="224"/>
      <c r="J166" s="223"/>
      <c r="K166" s="224"/>
      <c r="L166" s="225"/>
      <c r="M166" s="225"/>
      <c r="N166" s="225"/>
      <c r="O166" s="225"/>
      <c r="P166" s="225"/>
      <c r="Q166" s="225"/>
      <c r="R166" s="145"/>
      <c r="S166" s="145"/>
      <c r="T166" s="145"/>
      <c r="U166" s="146" t="str">
        <f t="shared" si="23"/>
        <v>Muy Corrosivo</v>
      </c>
      <c r="V166" s="146" t="str">
        <f t="shared" si="23"/>
        <v>Muy Corrosivo</v>
      </c>
      <c r="W166" s="146" t="str">
        <f t="shared" si="23"/>
        <v>Muy Corrosivo</v>
      </c>
    </row>
    <row r="167" spans="1:23" ht="20.25" hidden="1" customHeight="1">
      <c r="A167" s="143"/>
      <c r="B167" s="144"/>
      <c r="C167" s="210"/>
      <c r="D167" s="210"/>
      <c r="E167" s="211"/>
      <c r="F167" s="223"/>
      <c r="G167" s="224"/>
      <c r="H167" s="223"/>
      <c r="I167" s="224"/>
      <c r="J167" s="223"/>
      <c r="K167" s="224"/>
      <c r="L167" s="225"/>
      <c r="M167" s="225"/>
      <c r="N167" s="225"/>
      <c r="O167" s="225"/>
      <c r="P167" s="225"/>
      <c r="Q167" s="225"/>
      <c r="R167" s="145"/>
      <c r="S167" s="145"/>
      <c r="T167" s="145"/>
      <c r="U167" s="146" t="str">
        <f t="shared" si="23"/>
        <v>Muy Corrosivo</v>
      </c>
      <c r="V167" s="146" t="str">
        <f t="shared" si="23"/>
        <v>Muy Corrosivo</v>
      </c>
      <c r="W167" s="146" t="str">
        <f t="shared" si="23"/>
        <v>Muy Corrosivo</v>
      </c>
    </row>
    <row r="168" spans="1:23" ht="20.25" hidden="1" customHeight="1">
      <c r="A168" s="143"/>
      <c r="B168" s="144"/>
      <c r="C168" s="210"/>
      <c r="D168" s="210"/>
      <c r="E168" s="211"/>
      <c r="F168" s="223"/>
      <c r="G168" s="224"/>
      <c r="H168" s="223"/>
      <c r="I168" s="224"/>
      <c r="J168" s="223"/>
      <c r="K168" s="224"/>
      <c r="L168" s="225"/>
      <c r="M168" s="225"/>
      <c r="N168" s="225"/>
      <c r="O168" s="225"/>
      <c r="P168" s="225"/>
      <c r="Q168" s="225"/>
      <c r="R168" s="145"/>
      <c r="S168" s="145"/>
      <c r="T168" s="145"/>
      <c r="U168" s="146" t="str">
        <f t="shared" si="23"/>
        <v>Muy Corrosivo</v>
      </c>
      <c r="V168" s="146" t="str">
        <f t="shared" si="23"/>
        <v>Muy Corrosivo</v>
      </c>
      <c r="W168" s="146" t="str">
        <f t="shared" si="23"/>
        <v>Muy Corrosivo</v>
      </c>
    </row>
    <row r="169" spans="1:23" ht="20.25" hidden="1" customHeight="1">
      <c r="A169" s="143"/>
      <c r="B169" s="144"/>
      <c r="C169" s="210"/>
      <c r="D169" s="210"/>
      <c r="E169" s="211"/>
      <c r="F169" s="223"/>
      <c r="G169" s="224"/>
      <c r="H169" s="223"/>
      <c r="I169" s="224"/>
      <c r="J169" s="223"/>
      <c r="K169" s="224"/>
      <c r="L169" s="225"/>
      <c r="M169" s="225"/>
      <c r="N169" s="225"/>
      <c r="O169" s="225"/>
      <c r="P169" s="225"/>
      <c r="Q169" s="225"/>
      <c r="R169" s="145"/>
      <c r="S169" s="145"/>
      <c r="T169" s="145"/>
      <c r="U169" s="146" t="str">
        <f t="shared" si="23"/>
        <v>Muy Corrosivo</v>
      </c>
      <c r="V169" s="146" t="str">
        <f t="shared" si="23"/>
        <v>Muy Corrosivo</v>
      </c>
      <c r="W169" s="146" t="str">
        <f t="shared" si="23"/>
        <v>Muy Corrosivo</v>
      </c>
    </row>
    <row r="170" spans="1:23" ht="20.25" hidden="1" customHeight="1">
      <c r="A170" s="143"/>
      <c r="B170" s="144"/>
      <c r="C170" s="210"/>
      <c r="D170" s="210"/>
      <c r="E170" s="211"/>
      <c r="F170" s="223"/>
      <c r="G170" s="224"/>
      <c r="H170" s="223"/>
      <c r="I170" s="224"/>
      <c r="J170" s="223"/>
      <c r="K170" s="224"/>
      <c r="L170" s="225"/>
      <c r="M170" s="225"/>
      <c r="N170" s="225"/>
      <c r="O170" s="225"/>
      <c r="P170" s="225"/>
      <c r="Q170" s="225"/>
      <c r="R170" s="145"/>
      <c r="S170" s="145"/>
      <c r="T170" s="145"/>
      <c r="U170" s="146" t="str">
        <f t="shared" si="23"/>
        <v>Muy Corrosivo</v>
      </c>
      <c r="V170" s="146" t="str">
        <f t="shared" si="23"/>
        <v>Muy Corrosivo</v>
      </c>
      <c r="W170" s="146" t="str">
        <f t="shared" si="23"/>
        <v>Muy Corrosivo</v>
      </c>
    </row>
    <row r="171" spans="1:23" ht="20.25" hidden="1" customHeight="1">
      <c r="A171" s="143"/>
      <c r="B171" s="144"/>
      <c r="C171" s="210"/>
      <c r="D171" s="210"/>
      <c r="E171" s="211"/>
      <c r="F171" s="223"/>
      <c r="G171" s="224"/>
      <c r="H171" s="223"/>
      <c r="I171" s="224"/>
      <c r="J171" s="223"/>
      <c r="K171" s="224"/>
      <c r="L171" s="225"/>
      <c r="M171" s="225"/>
      <c r="N171" s="225"/>
      <c r="O171" s="225"/>
      <c r="P171" s="225"/>
      <c r="Q171" s="225"/>
      <c r="R171" s="145"/>
      <c r="S171" s="145"/>
      <c r="T171" s="145"/>
      <c r="U171" s="146" t="str">
        <f t="shared" si="23"/>
        <v>Muy Corrosivo</v>
      </c>
      <c r="V171" s="146" t="str">
        <f t="shared" si="23"/>
        <v>Muy Corrosivo</v>
      </c>
      <c r="W171" s="146" t="str">
        <f t="shared" si="23"/>
        <v>Muy Corrosivo</v>
      </c>
    </row>
    <row r="172" spans="1:23" ht="20.25" hidden="1" customHeight="1">
      <c r="A172" s="143"/>
      <c r="B172" s="144"/>
      <c r="C172" s="210"/>
      <c r="D172" s="210"/>
      <c r="E172" s="211"/>
      <c r="F172" s="223"/>
      <c r="G172" s="224"/>
      <c r="H172" s="223"/>
      <c r="I172" s="224"/>
      <c r="J172" s="223"/>
      <c r="K172" s="224"/>
      <c r="L172" s="225"/>
      <c r="M172" s="225"/>
      <c r="N172" s="225"/>
      <c r="O172" s="225"/>
      <c r="P172" s="225"/>
      <c r="Q172" s="225"/>
      <c r="R172" s="145"/>
      <c r="S172" s="145"/>
      <c r="T172" s="145"/>
      <c r="U172" s="146" t="str">
        <f t="shared" si="23"/>
        <v>Muy Corrosivo</v>
      </c>
      <c r="V172" s="146" t="str">
        <f t="shared" si="23"/>
        <v>Muy Corrosivo</v>
      </c>
      <c r="W172" s="146" t="str">
        <f t="shared" si="23"/>
        <v>Muy Corrosivo</v>
      </c>
    </row>
    <row r="173" spans="1:23" ht="20.25" hidden="1" customHeight="1">
      <c r="A173" s="143"/>
      <c r="B173" s="144"/>
      <c r="C173" s="210"/>
      <c r="D173" s="210"/>
      <c r="E173" s="211"/>
      <c r="F173" s="223"/>
      <c r="G173" s="224"/>
      <c r="H173" s="223"/>
      <c r="I173" s="224"/>
      <c r="J173" s="223"/>
      <c r="K173" s="224"/>
      <c r="L173" s="225"/>
      <c r="M173" s="225"/>
      <c r="N173" s="225"/>
      <c r="O173" s="225"/>
      <c r="P173" s="225"/>
      <c r="Q173" s="225"/>
      <c r="R173" s="145"/>
      <c r="S173" s="145"/>
      <c r="T173" s="145"/>
      <c r="U173" s="146" t="str">
        <f t="shared" si="23"/>
        <v>Muy Corrosivo</v>
      </c>
      <c r="V173" s="146" t="str">
        <f t="shared" si="23"/>
        <v>Muy Corrosivo</v>
      </c>
      <c r="W173" s="146" t="str">
        <f t="shared" si="23"/>
        <v>Muy Corrosivo</v>
      </c>
    </row>
    <row r="174" spans="1:23" ht="20.25" hidden="1" customHeight="1">
      <c r="A174" s="143"/>
      <c r="B174" s="144"/>
      <c r="C174" s="210"/>
      <c r="D174" s="210"/>
      <c r="E174" s="211"/>
      <c r="F174" s="223"/>
      <c r="G174" s="224"/>
      <c r="H174" s="223"/>
      <c r="I174" s="224"/>
      <c r="J174" s="223"/>
      <c r="K174" s="224"/>
      <c r="L174" s="225"/>
      <c r="M174" s="225"/>
      <c r="N174" s="225"/>
      <c r="O174" s="225"/>
      <c r="P174" s="225"/>
      <c r="Q174" s="225"/>
      <c r="R174" s="145"/>
      <c r="S174" s="145"/>
      <c r="T174" s="145"/>
      <c r="U174" s="146" t="str">
        <f t="shared" si="23"/>
        <v>Muy Corrosivo</v>
      </c>
      <c r="V174" s="146" t="str">
        <f t="shared" si="23"/>
        <v>Muy Corrosivo</v>
      </c>
      <c r="W174" s="146" t="str">
        <f t="shared" si="23"/>
        <v>Muy Corrosivo</v>
      </c>
    </row>
    <row r="175" spans="1:23" ht="20.25" hidden="1" customHeight="1">
      <c r="A175" s="143"/>
      <c r="B175" s="144"/>
      <c r="C175" s="210"/>
      <c r="D175" s="210"/>
      <c r="E175" s="211"/>
      <c r="F175" s="223"/>
      <c r="G175" s="224"/>
      <c r="H175" s="223"/>
      <c r="I175" s="224"/>
      <c r="J175" s="223"/>
      <c r="K175" s="224"/>
      <c r="L175" s="225"/>
      <c r="M175" s="225"/>
      <c r="N175" s="225"/>
      <c r="O175" s="225"/>
      <c r="P175" s="225"/>
      <c r="Q175" s="225"/>
      <c r="R175" s="145"/>
      <c r="S175" s="145"/>
      <c r="T175" s="145"/>
      <c r="U175" s="146" t="str">
        <f t="shared" si="23"/>
        <v>Muy Corrosivo</v>
      </c>
      <c r="V175" s="146" t="str">
        <f t="shared" si="23"/>
        <v>Muy Corrosivo</v>
      </c>
      <c r="W175" s="146" t="str">
        <f t="shared" si="23"/>
        <v>Muy Corrosivo</v>
      </c>
    </row>
    <row r="176" spans="1:23" ht="20.25" hidden="1" customHeight="1">
      <c r="A176" s="143"/>
      <c r="B176" s="144"/>
      <c r="C176" s="210"/>
      <c r="D176" s="210"/>
      <c r="E176" s="211"/>
      <c r="F176" s="223"/>
      <c r="G176" s="224"/>
      <c r="H176" s="223"/>
      <c r="I176" s="224"/>
      <c r="J176" s="223"/>
      <c r="K176" s="224"/>
      <c r="L176" s="225"/>
      <c r="M176" s="225"/>
      <c r="N176" s="225"/>
      <c r="O176" s="225"/>
      <c r="P176" s="225"/>
      <c r="Q176" s="225"/>
      <c r="R176" s="145"/>
      <c r="S176" s="145"/>
      <c r="T176" s="145"/>
      <c r="U176" s="146" t="str">
        <f t="shared" si="23"/>
        <v>Muy Corrosivo</v>
      </c>
      <c r="V176" s="146" t="str">
        <f t="shared" si="23"/>
        <v>Muy Corrosivo</v>
      </c>
      <c r="W176" s="146" t="str">
        <f t="shared" si="23"/>
        <v>Muy Corrosivo</v>
      </c>
    </row>
    <row r="177" spans="1:23" ht="20.25" hidden="1" customHeight="1">
      <c r="A177" s="143"/>
      <c r="B177" s="144"/>
      <c r="C177" s="210"/>
      <c r="D177" s="210"/>
      <c r="E177" s="211"/>
      <c r="F177" s="223"/>
      <c r="G177" s="224"/>
      <c r="H177" s="223"/>
      <c r="I177" s="224"/>
      <c r="J177" s="223"/>
      <c r="K177" s="224"/>
      <c r="L177" s="225"/>
      <c r="M177" s="225"/>
      <c r="N177" s="225"/>
      <c r="O177" s="225"/>
      <c r="P177" s="225"/>
      <c r="Q177" s="225"/>
      <c r="R177" s="145"/>
      <c r="S177" s="145"/>
      <c r="T177" s="145"/>
      <c r="U177" s="146" t="str">
        <f t="shared" si="23"/>
        <v>Muy Corrosivo</v>
      </c>
      <c r="V177" s="146" t="str">
        <f t="shared" si="23"/>
        <v>Muy Corrosivo</v>
      </c>
      <c r="W177" s="146" t="str">
        <f t="shared" si="23"/>
        <v>Muy Corrosivo</v>
      </c>
    </row>
    <row r="178" spans="1:23" ht="20.25" hidden="1" customHeight="1">
      <c r="A178" s="143"/>
      <c r="B178" s="144"/>
      <c r="C178" s="210"/>
      <c r="D178" s="210"/>
      <c r="E178" s="211"/>
      <c r="F178" s="223"/>
      <c r="G178" s="224"/>
      <c r="H178" s="223"/>
      <c r="I178" s="224"/>
      <c r="J178" s="223"/>
      <c r="K178" s="224"/>
      <c r="L178" s="225"/>
      <c r="M178" s="225"/>
      <c r="N178" s="225"/>
      <c r="O178" s="225"/>
      <c r="P178" s="225"/>
      <c r="Q178" s="225"/>
      <c r="R178" s="145"/>
      <c r="S178" s="145"/>
      <c r="T178" s="145"/>
      <c r="U178" s="146" t="str">
        <f t="shared" si="23"/>
        <v>Muy Corrosivo</v>
      </c>
      <c r="V178" s="146" t="str">
        <f t="shared" si="23"/>
        <v>Muy Corrosivo</v>
      </c>
      <c r="W178" s="146" t="str">
        <f t="shared" si="23"/>
        <v>Muy Corrosivo</v>
      </c>
    </row>
    <row r="179" spans="1:23" ht="20.25" hidden="1" customHeight="1">
      <c r="A179" s="143"/>
      <c r="B179" s="144"/>
      <c r="C179" s="210"/>
      <c r="D179" s="210"/>
      <c r="E179" s="211"/>
      <c r="F179" s="223"/>
      <c r="G179" s="224"/>
      <c r="H179" s="223"/>
      <c r="I179" s="224"/>
      <c r="J179" s="223"/>
      <c r="K179" s="224"/>
      <c r="L179" s="225"/>
      <c r="M179" s="225"/>
      <c r="N179" s="225"/>
      <c r="O179" s="225"/>
      <c r="P179" s="225"/>
      <c r="Q179" s="225"/>
      <c r="R179" s="145"/>
      <c r="S179" s="145"/>
      <c r="T179" s="145"/>
      <c r="U179" s="146" t="str">
        <f t="shared" si="23"/>
        <v>Muy Corrosivo</v>
      </c>
      <c r="V179" s="146" t="str">
        <f t="shared" si="23"/>
        <v>Muy Corrosivo</v>
      </c>
      <c r="W179" s="146" t="str">
        <f t="shared" si="23"/>
        <v>Muy Corrosivo</v>
      </c>
    </row>
    <row r="180" spans="1:23" ht="20.25" hidden="1" customHeight="1">
      <c r="A180" s="143"/>
      <c r="B180" s="144"/>
      <c r="C180" s="210"/>
      <c r="D180" s="210"/>
      <c r="E180" s="211"/>
      <c r="F180" s="223"/>
      <c r="G180" s="224"/>
      <c r="H180" s="223"/>
      <c r="I180" s="224"/>
      <c r="J180" s="223"/>
      <c r="K180" s="224"/>
      <c r="L180" s="225"/>
      <c r="M180" s="225"/>
      <c r="N180" s="225"/>
      <c r="O180" s="225"/>
      <c r="P180" s="225"/>
      <c r="Q180" s="225"/>
      <c r="R180" s="145"/>
      <c r="S180" s="145"/>
      <c r="T180" s="145"/>
      <c r="U180" s="146" t="str">
        <f t="shared" si="23"/>
        <v>Muy Corrosivo</v>
      </c>
      <c r="V180" s="146" t="str">
        <f t="shared" si="23"/>
        <v>Muy Corrosivo</v>
      </c>
      <c r="W180" s="146" t="str">
        <f t="shared" si="23"/>
        <v>Muy Corrosivo</v>
      </c>
    </row>
    <row r="181" spans="1:23" ht="20.25" hidden="1" customHeight="1">
      <c r="A181" s="143"/>
      <c r="B181" s="144"/>
      <c r="C181" s="210"/>
      <c r="D181" s="210"/>
      <c r="E181" s="211"/>
      <c r="F181" s="223"/>
      <c r="G181" s="224"/>
      <c r="H181" s="223"/>
      <c r="I181" s="224"/>
      <c r="J181" s="223"/>
      <c r="K181" s="224"/>
      <c r="L181" s="225"/>
      <c r="M181" s="225"/>
      <c r="N181" s="225"/>
      <c r="O181" s="225"/>
      <c r="P181" s="225"/>
      <c r="Q181" s="225"/>
      <c r="R181" s="145"/>
      <c r="S181" s="145"/>
      <c r="T181" s="145"/>
      <c r="U181" s="146" t="str">
        <f t="shared" si="23"/>
        <v>Muy Corrosivo</v>
      </c>
      <c r="V181" s="146" t="str">
        <f t="shared" si="23"/>
        <v>Muy Corrosivo</v>
      </c>
      <c r="W181" s="146" t="str">
        <f t="shared" si="23"/>
        <v>Muy Corrosivo</v>
      </c>
    </row>
    <row r="182" spans="1:23" ht="20.25" hidden="1" customHeight="1">
      <c r="A182" s="143"/>
      <c r="B182" s="144"/>
      <c r="C182" s="210"/>
      <c r="D182" s="210"/>
      <c r="E182" s="211"/>
      <c r="F182" s="223"/>
      <c r="G182" s="224"/>
      <c r="H182" s="223"/>
      <c r="I182" s="224"/>
      <c r="J182" s="223"/>
      <c r="K182" s="224"/>
      <c r="L182" s="225"/>
      <c r="M182" s="225"/>
      <c r="N182" s="225"/>
      <c r="O182" s="225"/>
      <c r="P182" s="225"/>
      <c r="Q182" s="225"/>
      <c r="R182" s="145"/>
      <c r="S182" s="145"/>
      <c r="T182" s="145"/>
      <c r="U182" s="146" t="str">
        <f t="shared" si="23"/>
        <v>Muy Corrosivo</v>
      </c>
      <c r="V182" s="146" t="str">
        <f t="shared" si="23"/>
        <v>Muy Corrosivo</v>
      </c>
      <c r="W182" s="146" t="str">
        <f t="shared" si="23"/>
        <v>Muy Corrosivo</v>
      </c>
    </row>
    <row r="183" spans="1:23" ht="20.25" hidden="1" customHeight="1">
      <c r="A183" s="143"/>
      <c r="B183" s="144"/>
      <c r="C183" s="210"/>
      <c r="D183" s="210"/>
      <c r="E183" s="211"/>
      <c r="F183" s="223"/>
      <c r="G183" s="224"/>
      <c r="H183" s="223"/>
      <c r="I183" s="224"/>
      <c r="J183" s="223"/>
      <c r="K183" s="224"/>
      <c r="L183" s="225"/>
      <c r="M183" s="225"/>
      <c r="N183" s="225"/>
      <c r="O183" s="225"/>
      <c r="P183" s="225"/>
      <c r="Q183" s="225"/>
      <c r="R183" s="145"/>
      <c r="S183" s="145"/>
      <c r="T183" s="145"/>
      <c r="U183" s="146" t="str">
        <f t="shared" si="23"/>
        <v>Muy Corrosivo</v>
      </c>
      <c r="V183" s="146" t="str">
        <f t="shared" si="23"/>
        <v>Muy Corrosivo</v>
      </c>
      <c r="W183" s="146" t="str">
        <f t="shared" si="23"/>
        <v>Muy Corrosivo</v>
      </c>
    </row>
    <row r="184" spans="1:23" ht="20.25" hidden="1" customHeight="1">
      <c r="A184" s="143"/>
      <c r="B184" s="144"/>
      <c r="C184" s="210"/>
      <c r="D184" s="210"/>
      <c r="E184" s="211"/>
      <c r="F184" s="223"/>
      <c r="G184" s="224"/>
      <c r="H184" s="223"/>
      <c r="I184" s="224"/>
      <c r="J184" s="223"/>
      <c r="K184" s="224"/>
      <c r="L184" s="225"/>
      <c r="M184" s="225"/>
      <c r="N184" s="225"/>
      <c r="O184" s="225"/>
      <c r="P184" s="225"/>
      <c r="Q184" s="225"/>
      <c r="R184" s="145"/>
      <c r="S184" s="145"/>
      <c r="T184" s="145"/>
      <c r="U184" s="146" t="str">
        <f t="shared" si="23"/>
        <v>Muy Corrosivo</v>
      </c>
      <c r="V184" s="146" t="str">
        <f t="shared" si="23"/>
        <v>Muy Corrosivo</v>
      </c>
      <c r="W184" s="146" t="str">
        <f t="shared" si="23"/>
        <v>Muy Corrosivo</v>
      </c>
    </row>
    <row r="185" spans="1:23" ht="20.25" hidden="1" customHeight="1">
      <c r="A185" s="143"/>
      <c r="B185" s="144"/>
      <c r="C185" s="210"/>
      <c r="D185" s="210"/>
      <c r="E185" s="211"/>
      <c r="F185" s="223"/>
      <c r="G185" s="224"/>
      <c r="H185" s="223"/>
      <c r="I185" s="224"/>
      <c r="J185" s="223"/>
      <c r="K185" s="224"/>
      <c r="L185" s="225"/>
      <c r="M185" s="225"/>
      <c r="N185" s="225"/>
      <c r="O185" s="225"/>
      <c r="P185" s="225"/>
      <c r="Q185" s="225"/>
      <c r="R185" s="145"/>
      <c r="S185" s="145"/>
      <c r="T185" s="145"/>
      <c r="U185" s="146" t="str">
        <f t="shared" si="23"/>
        <v>Muy Corrosivo</v>
      </c>
      <c r="V185" s="146" t="str">
        <f t="shared" si="23"/>
        <v>Muy Corrosivo</v>
      </c>
      <c r="W185" s="146" t="str">
        <f t="shared" si="23"/>
        <v>Muy Corrosivo</v>
      </c>
    </row>
    <row r="186" spans="1:23" ht="20.25" hidden="1" customHeight="1">
      <c r="A186" s="143"/>
      <c r="B186" s="144"/>
      <c r="C186" s="210"/>
      <c r="D186" s="210"/>
      <c r="E186" s="211"/>
      <c r="F186" s="223"/>
      <c r="G186" s="224"/>
      <c r="H186" s="223"/>
      <c r="I186" s="224"/>
      <c r="J186" s="223"/>
      <c r="K186" s="224"/>
      <c r="L186" s="225"/>
      <c r="M186" s="225"/>
      <c r="N186" s="225"/>
      <c r="O186" s="225"/>
      <c r="P186" s="225"/>
      <c r="Q186" s="225"/>
      <c r="R186" s="145"/>
      <c r="S186" s="145"/>
      <c r="T186" s="145"/>
      <c r="U186" s="146" t="str">
        <f t="shared" si="23"/>
        <v>Muy Corrosivo</v>
      </c>
      <c r="V186" s="146" t="str">
        <f t="shared" si="23"/>
        <v>Muy Corrosivo</v>
      </c>
      <c r="W186" s="146" t="str">
        <f t="shared" si="23"/>
        <v>Muy Corrosivo</v>
      </c>
    </row>
    <row r="187" spans="1:23" ht="20.25" hidden="1" customHeight="1">
      <c r="A187" s="143"/>
      <c r="B187" s="144"/>
      <c r="C187" s="210"/>
      <c r="D187" s="210"/>
      <c r="E187" s="211"/>
      <c r="F187" s="223"/>
      <c r="G187" s="224"/>
      <c r="H187" s="223"/>
      <c r="I187" s="224"/>
      <c r="J187" s="223"/>
      <c r="K187" s="224"/>
      <c r="L187" s="225"/>
      <c r="M187" s="225"/>
      <c r="N187" s="225"/>
      <c r="O187" s="225"/>
      <c r="P187" s="225"/>
      <c r="Q187" s="225"/>
      <c r="R187" s="145"/>
      <c r="S187" s="145"/>
      <c r="T187" s="145"/>
      <c r="U187" s="146" t="str">
        <f t="shared" si="23"/>
        <v>Muy Corrosivo</v>
      </c>
      <c r="V187" s="146" t="str">
        <f t="shared" si="23"/>
        <v>Muy Corrosivo</v>
      </c>
      <c r="W187" s="146" t="str">
        <f t="shared" si="23"/>
        <v>Muy Corrosivo</v>
      </c>
    </row>
    <row r="188" spans="1:23" ht="20.25" hidden="1" customHeight="1">
      <c r="A188" s="143"/>
      <c r="B188" s="144"/>
      <c r="C188" s="210"/>
      <c r="D188" s="210"/>
      <c r="E188" s="211"/>
      <c r="F188" s="223"/>
      <c r="G188" s="224"/>
      <c r="H188" s="223"/>
      <c r="I188" s="224"/>
      <c r="J188" s="223"/>
      <c r="K188" s="224"/>
      <c r="L188" s="225"/>
      <c r="M188" s="225"/>
      <c r="N188" s="225"/>
      <c r="O188" s="225"/>
      <c r="P188" s="225"/>
      <c r="Q188" s="225"/>
      <c r="R188" s="145"/>
      <c r="S188" s="145"/>
      <c r="T188" s="145"/>
      <c r="U188" s="146" t="str">
        <f t="shared" si="23"/>
        <v>Muy Corrosivo</v>
      </c>
      <c r="V188" s="146" t="str">
        <f t="shared" si="23"/>
        <v>Muy Corrosivo</v>
      </c>
      <c r="W188" s="146" t="str">
        <f t="shared" si="23"/>
        <v>Muy Corrosivo</v>
      </c>
    </row>
    <row r="189" spans="1:23" ht="20.25" hidden="1" customHeight="1">
      <c r="A189" s="143"/>
      <c r="B189" s="144"/>
      <c r="C189" s="210"/>
      <c r="D189" s="210"/>
      <c r="E189" s="211"/>
      <c r="F189" s="223"/>
      <c r="G189" s="224"/>
      <c r="H189" s="223"/>
      <c r="I189" s="224"/>
      <c r="J189" s="223"/>
      <c r="K189" s="224"/>
      <c r="L189" s="225"/>
      <c r="M189" s="225"/>
      <c r="N189" s="225"/>
      <c r="O189" s="225"/>
      <c r="P189" s="225"/>
      <c r="Q189" s="225"/>
      <c r="R189" s="145"/>
      <c r="S189" s="145"/>
      <c r="T189" s="145"/>
      <c r="U189" s="146" t="str">
        <f t="shared" si="23"/>
        <v>Muy Corrosivo</v>
      </c>
      <c r="V189" s="146" t="str">
        <f t="shared" si="23"/>
        <v>Muy Corrosivo</v>
      </c>
      <c r="W189" s="146" t="str">
        <f t="shared" si="23"/>
        <v>Muy Corrosivo</v>
      </c>
    </row>
    <row r="190" spans="1:23" ht="20.25" hidden="1" customHeight="1">
      <c r="A190" s="143"/>
      <c r="B190" s="144"/>
      <c r="C190" s="210"/>
      <c r="D190" s="210"/>
      <c r="E190" s="211"/>
      <c r="F190" s="223"/>
      <c r="G190" s="224"/>
      <c r="H190" s="223"/>
      <c r="I190" s="224"/>
      <c r="J190" s="223"/>
      <c r="K190" s="224"/>
      <c r="L190" s="225"/>
      <c r="M190" s="225"/>
      <c r="N190" s="225"/>
      <c r="O190" s="225"/>
      <c r="P190" s="225"/>
      <c r="Q190" s="225"/>
      <c r="R190" s="145"/>
      <c r="S190" s="145"/>
      <c r="T190" s="145"/>
      <c r="U190" s="146" t="str">
        <f t="shared" si="23"/>
        <v>Muy Corrosivo</v>
      </c>
      <c r="V190" s="146" t="str">
        <f t="shared" si="23"/>
        <v>Muy Corrosivo</v>
      </c>
      <c r="W190" s="146" t="str">
        <f t="shared" si="23"/>
        <v>Muy Corrosivo</v>
      </c>
    </row>
    <row r="191" spans="1:23" ht="20.25" hidden="1" customHeight="1">
      <c r="A191" s="143"/>
      <c r="B191" s="144"/>
      <c r="C191" s="210"/>
      <c r="D191" s="210"/>
      <c r="E191" s="211"/>
      <c r="F191" s="223"/>
      <c r="G191" s="224"/>
      <c r="H191" s="223"/>
      <c r="I191" s="224"/>
      <c r="J191" s="223"/>
      <c r="K191" s="224"/>
      <c r="L191" s="225"/>
      <c r="M191" s="225"/>
      <c r="N191" s="225"/>
      <c r="O191" s="225"/>
      <c r="P191" s="225"/>
      <c r="Q191" s="225"/>
      <c r="R191" s="145"/>
      <c r="S191" s="145"/>
      <c r="T191" s="145"/>
      <c r="U191" s="146" t="str">
        <f t="shared" si="23"/>
        <v>Muy Corrosivo</v>
      </c>
      <c r="V191" s="146" t="str">
        <f t="shared" si="23"/>
        <v>Muy Corrosivo</v>
      </c>
      <c r="W191" s="146" t="str">
        <f t="shared" si="23"/>
        <v>Muy Corrosivo</v>
      </c>
    </row>
    <row r="192" spans="1:23" ht="20.25" hidden="1" customHeight="1">
      <c r="A192" s="143"/>
      <c r="B192" s="144"/>
      <c r="C192" s="210"/>
      <c r="D192" s="210"/>
      <c r="E192" s="211"/>
      <c r="F192" s="223"/>
      <c r="G192" s="224"/>
      <c r="H192" s="223"/>
      <c r="I192" s="224"/>
      <c r="J192" s="223"/>
      <c r="K192" s="224"/>
      <c r="L192" s="225"/>
      <c r="M192" s="225"/>
      <c r="N192" s="225"/>
      <c r="O192" s="225"/>
      <c r="P192" s="225"/>
      <c r="Q192" s="225"/>
      <c r="R192" s="145"/>
      <c r="S192" s="145"/>
      <c r="T192" s="145"/>
      <c r="U192" s="146" t="str">
        <f t="shared" si="23"/>
        <v>Muy Corrosivo</v>
      </c>
      <c r="V192" s="146" t="str">
        <f t="shared" si="23"/>
        <v>Muy Corrosivo</v>
      </c>
      <c r="W192" s="146" t="str">
        <f t="shared" si="23"/>
        <v>Muy Corrosivo</v>
      </c>
    </row>
    <row r="193" spans="1:23" ht="20.25" hidden="1" customHeight="1">
      <c r="A193" s="143"/>
      <c r="B193" s="144"/>
      <c r="C193" s="210"/>
      <c r="D193" s="210"/>
      <c r="E193" s="211"/>
      <c r="F193" s="223"/>
      <c r="G193" s="224"/>
      <c r="H193" s="223"/>
      <c r="I193" s="224"/>
      <c r="J193" s="223"/>
      <c r="K193" s="224"/>
      <c r="L193" s="225"/>
      <c r="M193" s="225"/>
      <c r="N193" s="225"/>
      <c r="O193" s="225"/>
      <c r="P193" s="225"/>
      <c r="Q193" s="225"/>
      <c r="R193" s="145"/>
      <c r="S193" s="145"/>
      <c r="T193" s="145"/>
      <c r="U193" s="146" t="str">
        <f t="shared" si="23"/>
        <v>Muy Corrosivo</v>
      </c>
      <c r="V193" s="146" t="str">
        <f t="shared" si="23"/>
        <v>Muy Corrosivo</v>
      </c>
      <c r="W193" s="146" t="str">
        <f t="shared" si="23"/>
        <v>Muy Corrosivo</v>
      </c>
    </row>
    <row r="194" spans="1:23" ht="20.25" hidden="1" customHeight="1">
      <c r="A194" s="143"/>
      <c r="B194" s="144"/>
      <c r="C194" s="210"/>
      <c r="D194" s="210"/>
      <c r="E194" s="211"/>
      <c r="F194" s="223"/>
      <c r="G194" s="224"/>
      <c r="H194" s="223"/>
      <c r="I194" s="224"/>
      <c r="J194" s="223"/>
      <c r="K194" s="224"/>
      <c r="L194" s="225"/>
      <c r="M194" s="225"/>
      <c r="N194" s="225"/>
      <c r="O194" s="225"/>
      <c r="P194" s="225"/>
      <c r="Q194" s="225"/>
      <c r="R194" s="145"/>
      <c r="S194" s="145"/>
      <c r="T194" s="145"/>
      <c r="U194" s="146" t="str">
        <f t="shared" si="23"/>
        <v>Muy Corrosivo</v>
      </c>
      <c r="V194" s="146" t="str">
        <f t="shared" si="23"/>
        <v>Muy Corrosivo</v>
      </c>
      <c r="W194" s="146" t="str">
        <f t="shared" si="23"/>
        <v>Muy Corrosivo</v>
      </c>
    </row>
    <row r="195" spans="1:23" ht="20.25" hidden="1" customHeight="1">
      <c r="A195" s="143"/>
      <c r="B195" s="144"/>
      <c r="C195" s="210"/>
      <c r="D195" s="210"/>
      <c r="E195" s="211"/>
      <c r="F195" s="223"/>
      <c r="G195" s="224"/>
      <c r="H195" s="223"/>
      <c r="I195" s="224"/>
      <c r="J195" s="223"/>
      <c r="K195" s="224"/>
      <c r="L195" s="225"/>
      <c r="M195" s="225"/>
      <c r="N195" s="225"/>
      <c r="O195" s="225"/>
      <c r="P195" s="225"/>
      <c r="Q195" s="225"/>
      <c r="R195" s="145"/>
      <c r="S195" s="145"/>
      <c r="T195" s="145"/>
      <c r="U195" s="146" t="str">
        <f t="shared" si="23"/>
        <v>Muy Corrosivo</v>
      </c>
      <c r="V195" s="146" t="str">
        <f t="shared" si="23"/>
        <v>Muy Corrosivo</v>
      </c>
      <c r="W195" s="146" t="str">
        <f t="shared" si="23"/>
        <v>Muy Corrosivo</v>
      </c>
    </row>
    <row r="196" spans="1:23" ht="20.25" hidden="1" customHeight="1">
      <c r="A196" s="143"/>
      <c r="B196" s="144"/>
      <c r="C196" s="210"/>
      <c r="D196" s="210"/>
      <c r="E196" s="211"/>
      <c r="F196" s="223"/>
      <c r="G196" s="224"/>
      <c r="H196" s="223"/>
      <c r="I196" s="224"/>
      <c r="J196" s="223"/>
      <c r="K196" s="224"/>
      <c r="L196" s="225"/>
      <c r="M196" s="225"/>
      <c r="N196" s="225"/>
      <c r="O196" s="225"/>
      <c r="P196" s="225"/>
      <c r="Q196" s="225"/>
      <c r="R196" s="145"/>
      <c r="S196" s="145"/>
      <c r="T196" s="145"/>
      <c r="U196" s="146" t="str">
        <f t="shared" si="23"/>
        <v>Muy Corrosivo</v>
      </c>
      <c r="V196" s="146" t="str">
        <f t="shared" si="23"/>
        <v>Muy Corrosivo</v>
      </c>
      <c r="W196" s="146" t="str">
        <f t="shared" si="23"/>
        <v>Muy Corrosivo</v>
      </c>
    </row>
    <row r="197" spans="1:23" ht="20.25" hidden="1" customHeight="1">
      <c r="A197" s="143"/>
      <c r="B197" s="144"/>
      <c r="C197" s="210"/>
      <c r="D197" s="210"/>
      <c r="E197" s="211"/>
      <c r="F197" s="223"/>
      <c r="G197" s="224"/>
      <c r="H197" s="223"/>
      <c r="I197" s="224"/>
      <c r="J197" s="223"/>
      <c r="K197" s="224"/>
      <c r="L197" s="225"/>
      <c r="M197" s="225"/>
      <c r="N197" s="225"/>
      <c r="O197" s="225"/>
      <c r="P197" s="225"/>
      <c r="Q197" s="225"/>
      <c r="R197" s="145"/>
      <c r="S197" s="145"/>
      <c r="T197" s="145"/>
      <c r="U197" s="146" t="str">
        <f t="shared" si="23"/>
        <v>Muy Corrosivo</v>
      </c>
      <c r="V197" s="146" t="str">
        <f t="shared" si="23"/>
        <v>Muy Corrosivo</v>
      </c>
      <c r="W197" s="146" t="str">
        <f t="shared" si="23"/>
        <v>Muy Corrosivo</v>
      </c>
    </row>
    <row r="198" spans="1:23" ht="20.25" hidden="1" customHeight="1">
      <c r="A198" s="143"/>
      <c r="B198" s="144"/>
      <c r="C198" s="210"/>
      <c r="D198" s="210"/>
      <c r="E198" s="211"/>
      <c r="F198" s="223"/>
      <c r="G198" s="224"/>
      <c r="H198" s="223"/>
      <c r="I198" s="224"/>
      <c r="J198" s="223"/>
      <c r="K198" s="224"/>
      <c r="L198" s="225"/>
      <c r="M198" s="225"/>
      <c r="N198" s="225"/>
      <c r="O198" s="225"/>
      <c r="P198" s="225"/>
      <c r="Q198" s="225"/>
      <c r="R198" s="145"/>
      <c r="S198" s="145"/>
      <c r="T198" s="145"/>
      <c r="U198" s="146" t="str">
        <f t="shared" si="23"/>
        <v>Muy Corrosivo</v>
      </c>
      <c r="V198" s="146" t="str">
        <f t="shared" si="23"/>
        <v>Muy Corrosivo</v>
      </c>
      <c r="W198" s="146" t="str">
        <f t="shared" si="23"/>
        <v>Muy Corrosivo</v>
      </c>
    </row>
    <row r="199" spans="1:23" ht="20.25" hidden="1" customHeight="1">
      <c r="A199" s="143"/>
      <c r="B199" s="144"/>
      <c r="C199" s="210"/>
      <c r="D199" s="210"/>
      <c r="E199" s="211"/>
      <c r="F199" s="223"/>
      <c r="G199" s="224"/>
      <c r="H199" s="223"/>
      <c r="I199" s="224"/>
      <c r="J199" s="223"/>
      <c r="K199" s="224"/>
      <c r="L199" s="225"/>
      <c r="M199" s="225"/>
      <c r="N199" s="225"/>
      <c r="O199" s="225"/>
      <c r="P199" s="225"/>
      <c r="Q199" s="225"/>
      <c r="R199" s="145"/>
      <c r="S199" s="145"/>
      <c r="T199" s="145"/>
      <c r="U199" s="146" t="str">
        <f t="shared" si="23"/>
        <v>Muy Corrosivo</v>
      </c>
      <c r="V199" s="146" t="str">
        <f t="shared" si="23"/>
        <v>Muy Corrosivo</v>
      </c>
      <c r="W199" s="146" t="str">
        <f t="shared" si="23"/>
        <v>Muy Corrosivo</v>
      </c>
    </row>
    <row r="200" spans="1:23" ht="20.25" hidden="1" customHeight="1">
      <c r="A200" s="143"/>
      <c r="B200" s="144"/>
      <c r="C200" s="210"/>
      <c r="D200" s="210"/>
      <c r="E200" s="211"/>
      <c r="F200" s="223"/>
      <c r="G200" s="224"/>
      <c r="H200" s="223"/>
      <c r="I200" s="224"/>
      <c r="J200" s="223"/>
      <c r="K200" s="224"/>
      <c r="L200" s="225"/>
      <c r="M200" s="225"/>
      <c r="N200" s="225"/>
      <c r="O200" s="225"/>
      <c r="P200" s="225"/>
      <c r="Q200" s="225"/>
      <c r="R200" s="145"/>
      <c r="S200" s="145"/>
      <c r="T200" s="145"/>
      <c r="U200" s="146" t="str">
        <f t="shared" si="23"/>
        <v>Muy Corrosivo</v>
      </c>
      <c r="V200" s="146" t="str">
        <f t="shared" si="23"/>
        <v>Muy Corrosivo</v>
      </c>
      <c r="W200" s="146" t="str">
        <f t="shared" si="23"/>
        <v>Muy Corrosivo</v>
      </c>
    </row>
    <row r="201" spans="1:23" ht="20.25" hidden="1" customHeight="1">
      <c r="A201" s="143"/>
      <c r="B201" s="144"/>
      <c r="C201" s="210"/>
      <c r="D201" s="210"/>
      <c r="E201" s="211"/>
      <c r="F201" s="223"/>
      <c r="G201" s="224"/>
      <c r="H201" s="223"/>
      <c r="I201" s="224"/>
      <c r="J201" s="223"/>
      <c r="K201" s="224"/>
      <c r="L201" s="225"/>
      <c r="M201" s="225"/>
      <c r="N201" s="225"/>
      <c r="O201" s="225"/>
      <c r="P201" s="225"/>
      <c r="Q201" s="225"/>
      <c r="R201" s="145"/>
      <c r="S201" s="145"/>
      <c r="T201" s="145"/>
      <c r="U201" s="146" t="str">
        <f t="shared" si="23"/>
        <v>Muy Corrosivo</v>
      </c>
      <c r="V201" s="146" t="str">
        <f t="shared" si="23"/>
        <v>Muy Corrosivo</v>
      </c>
      <c r="W201" s="146" t="str">
        <f t="shared" si="23"/>
        <v>Muy Corrosivo</v>
      </c>
    </row>
    <row r="202" spans="1:23" ht="20.25" hidden="1" customHeight="1">
      <c r="A202" s="143"/>
      <c r="B202" s="144"/>
      <c r="C202" s="210"/>
      <c r="D202" s="210"/>
      <c r="E202" s="211"/>
      <c r="F202" s="223"/>
      <c r="G202" s="224"/>
      <c r="H202" s="223"/>
      <c r="I202" s="224"/>
      <c r="J202" s="223"/>
      <c r="K202" s="224"/>
      <c r="L202" s="225"/>
      <c r="M202" s="225"/>
      <c r="N202" s="225"/>
      <c r="O202" s="225"/>
      <c r="P202" s="225"/>
      <c r="Q202" s="225"/>
      <c r="R202" s="145"/>
      <c r="S202" s="145"/>
      <c r="T202" s="145"/>
      <c r="U202" s="146" t="str">
        <f t="shared" ref="U202:W244" si="27">IF(R202&lt;=500,"Muy Corrosivo",IF(R202&lt;=1000,"Corrosivo",IF(R202&lt;=2000,"Moderadamente Corrosivo",IF(R202&lt;=10000,"Medianamente Corrosivo",IF(R202&gt;10000,"Despreciable","N/A")))))</f>
        <v>Muy Corrosivo</v>
      </c>
      <c r="V202" s="146" t="str">
        <f t="shared" si="27"/>
        <v>Muy Corrosivo</v>
      </c>
      <c r="W202" s="146" t="str">
        <f t="shared" si="27"/>
        <v>Muy Corrosivo</v>
      </c>
    </row>
    <row r="203" spans="1:23" ht="20.25" hidden="1" customHeight="1">
      <c r="A203" s="143"/>
      <c r="B203" s="144"/>
      <c r="C203" s="210"/>
      <c r="D203" s="210"/>
      <c r="E203" s="211"/>
      <c r="F203" s="223"/>
      <c r="G203" s="224"/>
      <c r="H203" s="223"/>
      <c r="I203" s="224"/>
      <c r="J203" s="223"/>
      <c r="K203" s="224"/>
      <c r="L203" s="225"/>
      <c r="M203" s="225"/>
      <c r="N203" s="225"/>
      <c r="O203" s="225"/>
      <c r="P203" s="225"/>
      <c r="Q203" s="225"/>
      <c r="R203" s="145"/>
      <c r="S203" s="145"/>
      <c r="T203" s="145"/>
      <c r="U203" s="146" t="str">
        <f t="shared" si="27"/>
        <v>Muy Corrosivo</v>
      </c>
      <c r="V203" s="146" t="str">
        <f t="shared" si="27"/>
        <v>Muy Corrosivo</v>
      </c>
      <c r="W203" s="146" t="str">
        <f t="shared" si="27"/>
        <v>Muy Corrosivo</v>
      </c>
    </row>
    <row r="204" spans="1:23" ht="20.25" hidden="1" customHeight="1">
      <c r="A204" s="143"/>
      <c r="B204" s="144"/>
      <c r="C204" s="210"/>
      <c r="D204" s="210"/>
      <c r="E204" s="211"/>
      <c r="F204" s="223"/>
      <c r="G204" s="224"/>
      <c r="H204" s="223"/>
      <c r="I204" s="224"/>
      <c r="J204" s="223"/>
      <c r="K204" s="224"/>
      <c r="L204" s="225"/>
      <c r="M204" s="225"/>
      <c r="N204" s="225"/>
      <c r="O204" s="225"/>
      <c r="P204" s="225"/>
      <c r="Q204" s="225"/>
      <c r="R204" s="145"/>
      <c r="S204" s="145"/>
      <c r="T204" s="145"/>
      <c r="U204" s="146" t="str">
        <f t="shared" si="27"/>
        <v>Muy Corrosivo</v>
      </c>
      <c r="V204" s="146" t="str">
        <f t="shared" si="27"/>
        <v>Muy Corrosivo</v>
      </c>
      <c r="W204" s="146" t="str">
        <f t="shared" si="27"/>
        <v>Muy Corrosivo</v>
      </c>
    </row>
    <row r="205" spans="1:23" ht="20.25" hidden="1" customHeight="1">
      <c r="A205" s="143"/>
      <c r="B205" s="144"/>
      <c r="C205" s="210"/>
      <c r="D205" s="210"/>
      <c r="E205" s="211"/>
      <c r="F205" s="223"/>
      <c r="G205" s="224"/>
      <c r="H205" s="223"/>
      <c r="I205" s="224"/>
      <c r="J205" s="223"/>
      <c r="K205" s="224"/>
      <c r="L205" s="225"/>
      <c r="M205" s="225"/>
      <c r="N205" s="225"/>
      <c r="O205" s="225"/>
      <c r="P205" s="225"/>
      <c r="Q205" s="225"/>
      <c r="R205" s="145"/>
      <c r="S205" s="145"/>
      <c r="T205" s="145"/>
      <c r="U205" s="146" t="str">
        <f t="shared" si="27"/>
        <v>Muy Corrosivo</v>
      </c>
      <c r="V205" s="146" t="str">
        <f t="shared" si="27"/>
        <v>Muy Corrosivo</v>
      </c>
      <c r="W205" s="146" t="str">
        <f t="shared" si="27"/>
        <v>Muy Corrosivo</v>
      </c>
    </row>
    <row r="206" spans="1:23" ht="20.25" hidden="1" customHeight="1">
      <c r="A206" s="143"/>
      <c r="B206" s="144"/>
      <c r="C206" s="210"/>
      <c r="D206" s="210"/>
      <c r="E206" s="211"/>
      <c r="F206" s="223"/>
      <c r="G206" s="224"/>
      <c r="H206" s="223"/>
      <c r="I206" s="224"/>
      <c r="J206" s="223"/>
      <c r="K206" s="224"/>
      <c r="L206" s="225"/>
      <c r="M206" s="225"/>
      <c r="N206" s="225"/>
      <c r="O206" s="225"/>
      <c r="P206" s="225"/>
      <c r="Q206" s="225"/>
      <c r="R206" s="145"/>
      <c r="S206" s="145"/>
      <c r="T206" s="145"/>
      <c r="U206" s="146" t="str">
        <f t="shared" si="27"/>
        <v>Muy Corrosivo</v>
      </c>
      <c r="V206" s="146" t="str">
        <f t="shared" si="27"/>
        <v>Muy Corrosivo</v>
      </c>
      <c r="W206" s="146" t="str">
        <f t="shared" si="27"/>
        <v>Muy Corrosivo</v>
      </c>
    </row>
    <row r="207" spans="1:23" ht="20.25" hidden="1" customHeight="1">
      <c r="A207" s="143"/>
      <c r="B207" s="144"/>
      <c r="C207" s="210"/>
      <c r="D207" s="210"/>
      <c r="E207" s="211"/>
      <c r="F207" s="223"/>
      <c r="G207" s="224"/>
      <c r="H207" s="223"/>
      <c r="I207" s="224"/>
      <c r="J207" s="223"/>
      <c r="K207" s="224"/>
      <c r="L207" s="225"/>
      <c r="M207" s="225"/>
      <c r="N207" s="225"/>
      <c r="O207" s="225"/>
      <c r="P207" s="225"/>
      <c r="Q207" s="225"/>
      <c r="R207" s="145"/>
      <c r="S207" s="145"/>
      <c r="T207" s="145"/>
      <c r="U207" s="146" t="str">
        <f t="shared" si="27"/>
        <v>Muy Corrosivo</v>
      </c>
      <c r="V207" s="146" t="str">
        <f t="shared" si="27"/>
        <v>Muy Corrosivo</v>
      </c>
      <c r="W207" s="146" t="str">
        <f t="shared" si="27"/>
        <v>Muy Corrosivo</v>
      </c>
    </row>
    <row r="208" spans="1:23" ht="20.25" hidden="1" customHeight="1">
      <c r="A208" s="143"/>
      <c r="B208" s="144"/>
      <c r="C208" s="210"/>
      <c r="D208" s="210"/>
      <c r="E208" s="211"/>
      <c r="F208" s="223"/>
      <c r="G208" s="224"/>
      <c r="H208" s="223"/>
      <c r="I208" s="224"/>
      <c r="J208" s="223"/>
      <c r="K208" s="224"/>
      <c r="L208" s="225"/>
      <c r="M208" s="225"/>
      <c r="N208" s="225"/>
      <c r="O208" s="225"/>
      <c r="P208" s="225"/>
      <c r="Q208" s="225"/>
      <c r="R208" s="145"/>
      <c r="S208" s="145"/>
      <c r="T208" s="145"/>
      <c r="U208" s="146" t="str">
        <f t="shared" si="27"/>
        <v>Muy Corrosivo</v>
      </c>
      <c r="V208" s="146" t="str">
        <f t="shared" si="27"/>
        <v>Muy Corrosivo</v>
      </c>
      <c r="W208" s="146" t="str">
        <f t="shared" si="27"/>
        <v>Muy Corrosivo</v>
      </c>
    </row>
    <row r="209" spans="1:23" ht="20.25" hidden="1" customHeight="1">
      <c r="A209" s="143"/>
      <c r="B209" s="144"/>
      <c r="C209" s="210"/>
      <c r="D209" s="210"/>
      <c r="E209" s="211"/>
      <c r="F209" s="223"/>
      <c r="G209" s="224"/>
      <c r="H209" s="223"/>
      <c r="I209" s="224"/>
      <c r="J209" s="223"/>
      <c r="K209" s="224"/>
      <c r="L209" s="225"/>
      <c r="M209" s="225"/>
      <c r="N209" s="225"/>
      <c r="O209" s="225"/>
      <c r="P209" s="225"/>
      <c r="Q209" s="225"/>
      <c r="R209" s="145"/>
      <c r="S209" s="145"/>
      <c r="T209" s="145"/>
      <c r="U209" s="146" t="str">
        <f t="shared" si="27"/>
        <v>Muy Corrosivo</v>
      </c>
      <c r="V209" s="146" t="str">
        <f t="shared" si="27"/>
        <v>Muy Corrosivo</v>
      </c>
      <c r="W209" s="146" t="str">
        <f t="shared" si="27"/>
        <v>Muy Corrosivo</v>
      </c>
    </row>
    <row r="210" spans="1:23" ht="20.25" hidden="1" customHeight="1">
      <c r="A210" s="143"/>
      <c r="B210" s="144"/>
      <c r="C210" s="210"/>
      <c r="D210" s="210"/>
      <c r="E210" s="211"/>
      <c r="F210" s="223"/>
      <c r="G210" s="224"/>
      <c r="H210" s="223"/>
      <c r="I210" s="224"/>
      <c r="J210" s="223"/>
      <c r="K210" s="224"/>
      <c r="L210" s="225"/>
      <c r="M210" s="225"/>
      <c r="N210" s="225"/>
      <c r="O210" s="225"/>
      <c r="P210" s="225"/>
      <c r="Q210" s="225"/>
      <c r="R210" s="145"/>
      <c r="S210" s="145"/>
      <c r="T210" s="145"/>
      <c r="U210" s="146" t="str">
        <f t="shared" si="27"/>
        <v>Muy Corrosivo</v>
      </c>
      <c r="V210" s="146" t="str">
        <f t="shared" si="27"/>
        <v>Muy Corrosivo</v>
      </c>
      <c r="W210" s="146" t="str">
        <f t="shared" si="27"/>
        <v>Muy Corrosivo</v>
      </c>
    </row>
    <row r="211" spans="1:23" ht="20.25" hidden="1" customHeight="1">
      <c r="A211" s="143"/>
      <c r="B211" s="144"/>
      <c r="C211" s="210"/>
      <c r="D211" s="210"/>
      <c r="E211" s="211"/>
      <c r="F211" s="223"/>
      <c r="G211" s="224"/>
      <c r="H211" s="223"/>
      <c r="I211" s="224"/>
      <c r="J211" s="223"/>
      <c r="K211" s="224"/>
      <c r="L211" s="225"/>
      <c r="M211" s="225"/>
      <c r="N211" s="225"/>
      <c r="O211" s="225"/>
      <c r="P211" s="225"/>
      <c r="Q211" s="225"/>
      <c r="R211" s="145"/>
      <c r="S211" s="145"/>
      <c r="T211" s="145"/>
      <c r="U211" s="146" t="str">
        <f t="shared" si="27"/>
        <v>Muy Corrosivo</v>
      </c>
      <c r="V211" s="146" t="str">
        <f t="shared" si="27"/>
        <v>Muy Corrosivo</v>
      </c>
      <c r="W211" s="146" t="str">
        <f t="shared" si="27"/>
        <v>Muy Corrosivo</v>
      </c>
    </row>
    <row r="212" spans="1:23" ht="20.25" hidden="1" customHeight="1">
      <c r="A212" s="143"/>
      <c r="B212" s="144"/>
      <c r="C212" s="210"/>
      <c r="D212" s="210"/>
      <c r="E212" s="211"/>
      <c r="F212" s="223"/>
      <c r="G212" s="224"/>
      <c r="H212" s="223"/>
      <c r="I212" s="224"/>
      <c r="J212" s="223"/>
      <c r="K212" s="224"/>
      <c r="L212" s="225"/>
      <c r="M212" s="225"/>
      <c r="N212" s="225"/>
      <c r="O212" s="225"/>
      <c r="P212" s="225"/>
      <c r="Q212" s="225"/>
      <c r="R212" s="145"/>
      <c r="S212" s="145"/>
      <c r="T212" s="145"/>
      <c r="U212" s="146" t="str">
        <f t="shared" si="27"/>
        <v>Muy Corrosivo</v>
      </c>
      <c r="V212" s="146" t="str">
        <f t="shared" si="27"/>
        <v>Muy Corrosivo</v>
      </c>
      <c r="W212" s="146" t="str">
        <f t="shared" si="27"/>
        <v>Muy Corrosivo</v>
      </c>
    </row>
    <row r="213" spans="1:23" ht="20.25" hidden="1" customHeight="1">
      <c r="A213" s="143"/>
      <c r="B213" s="144"/>
      <c r="C213" s="210"/>
      <c r="D213" s="210"/>
      <c r="E213" s="211"/>
      <c r="F213" s="223"/>
      <c r="G213" s="224"/>
      <c r="H213" s="223"/>
      <c r="I213" s="224"/>
      <c r="J213" s="223"/>
      <c r="K213" s="224"/>
      <c r="L213" s="225"/>
      <c r="M213" s="225"/>
      <c r="N213" s="225"/>
      <c r="O213" s="225"/>
      <c r="P213" s="225"/>
      <c r="Q213" s="225"/>
      <c r="R213" s="145"/>
      <c r="S213" s="145"/>
      <c r="T213" s="145"/>
      <c r="U213" s="146" t="str">
        <f t="shared" si="27"/>
        <v>Muy Corrosivo</v>
      </c>
      <c r="V213" s="146" t="str">
        <f t="shared" si="27"/>
        <v>Muy Corrosivo</v>
      </c>
      <c r="W213" s="146" t="str">
        <f t="shared" si="27"/>
        <v>Muy Corrosivo</v>
      </c>
    </row>
    <row r="214" spans="1:23" ht="20.25" hidden="1" customHeight="1">
      <c r="A214" s="143"/>
      <c r="B214" s="144"/>
      <c r="C214" s="210"/>
      <c r="D214" s="210"/>
      <c r="E214" s="211"/>
      <c r="F214" s="223"/>
      <c r="G214" s="224"/>
      <c r="H214" s="223"/>
      <c r="I214" s="224"/>
      <c r="J214" s="223"/>
      <c r="K214" s="224"/>
      <c r="L214" s="225"/>
      <c r="M214" s="225"/>
      <c r="N214" s="225"/>
      <c r="O214" s="225"/>
      <c r="P214" s="225"/>
      <c r="Q214" s="225"/>
      <c r="R214" s="145"/>
      <c r="S214" s="145"/>
      <c r="T214" s="145"/>
      <c r="U214" s="146" t="str">
        <f t="shared" si="27"/>
        <v>Muy Corrosivo</v>
      </c>
      <c r="V214" s="146" t="str">
        <f t="shared" si="27"/>
        <v>Muy Corrosivo</v>
      </c>
      <c r="W214" s="146" t="str">
        <f t="shared" si="27"/>
        <v>Muy Corrosivo</v>
      </c>
    </row>
    <row r="215" spans="1:23" ht="20.25" hidden="1" customHeight="1">
      <c r="A215" s="143"/>
      <c r="B215" s="144"/>
      <c r="C215" s="210"/>
      <c r="D215" s="210"/>
      <c r="E215" s="211"/>
      <c r="F215" s="223"/>
      <c r="G215" s="224"/>
      <c r="H215" s="223"/>
      <c r="I215" s="224"/>
      <c r="J215" s="223"/>
      <c r="K215" s="224"/>
      <c r="L215" s="225"/>
      <c r="M215" s="225"/>
      <c r="N215" s="225"/>
      <c r="O215" s="225"/>
      <c r="P215" s="225"/>
      <c r="Q215" s="225"/>
      <c r="R215" s="145"/>
      <c r="S215" s="145"/>
      <c r="T215" s="145"/>
      <c r="U215" s="146" t="str">
        <f t="shared" si="27"/>
        <v>Muy Corrosivo</v>
      </c>
      <c r="V215" s="146" t="str">
        <f t="shared" si="27"/>
        <v>Muy Corrosivo</v>
      </c>
      <c r="W215" s="146" t="str">
        <f t="shared" si="27"/>
        <v>Muy Corrosivo</v>
      </c>
    </row>
    <row r="216" spans="1:23" ht="20.25" hidden="1" customHeight="1">
      <c r="A216" s="143"/>
      <c r="B216" s="144"/>
      <c r="C216" s="210"/>
      <c r="D216" s="210"/>
      <c r="E216" s="211"/>
      <c r="F216" s="223"/>
      <c r="G216" s="224"/>
      <c r="H216" s="223"/>
      <c r="I216" s="224"/>
      <c r="J216" s="223"/>
      <c r="K216" s="224"/>
      <c r="L216" s="225"/>
      <c r="M216" s="225"/>
      <c r="N216" s="225"/>
      <c r="O216" s="225"/>
      <c r="P216" s="225"/>
      <c r="Q216" s="225"/>
      <c r="R216" s="145"/>
      <c r="S216" s="145"/>
      <c r="T216" s="145"/>
      <c r="U216" s="146" t="str">
        <f t="shared" si="27"/>
        <v>Muy Corrosivo</v>
      </c>
      <c r="V216" s="146" t="str">
        <f t="shared" si="27"/>
        <v>Muy Corrosivo</v>
      </c>
      <c r="W216" s="146" t="str">
        <f t="shared" si="27"/>
        <v>Muy Corrosivo</v>
      </c>
    </row>
    <row r="217" spans="1:23" ht="20.25" hidden="1" customHeight="1">
      <c r="A217" s="143"/>
      <c r="B217" s="144"/>
      <c r="C217" s="210"/>
      <c r="D217" s="210"/>
      <c r="E217" s="211"/>
      <c r="F217" s="223"/>
      <c r="G217" s="224"/>
      <c r="H217" s="223"/>
      <c r="I217" s="224"/>
      <c r="J217" s="223"/>
      <c r="K217" s="224"/>
      <c r="L217" s="225"/>
      <c r="M217" s="225"/>
      <c r="N217" s="225"/>
      <c r="O217" s="225"/>
      <c r="P217" s="225"/>
      <c r="Q217" s="225"/>
      <c r="R217" s="145"/>
      <c r="S217" s="145"/>
      <c r="T217" s="145"/>
      <c r="U217" s="146" t="str">
        <f t="shared" si="27"/>
        <v>Muy Corrosivo</v>
      </c>
      <c r="V217" s="146" t="str">
        <f t="shared" si="27"/>
        <v>Muy Corrosivo</v>
      </c>
      <c r="W217" s="146" t="str">
        <f t="shared" si="27"/>
        <v>Muy Corrosivo</v>
      </c>
    </row>
    <row r="218" spans="1:23" ht="20.25" hidden="1" customHeight="1">
      <c r="A218" s="143"/>
      <c r="B218" s="144"/>
      <c r="C218" s="210"/>
      <c r="D218" s="210"/>
      <c r="E218" s="211"/>
      <c r="F218" s="223"/>
      <c r="G218" s="224"/>
      <c r="H218" s="223"/>
      <c r="I218" s="224"/>
      <c r="J218" s="223"/>
      <c r="K218" s="224"/>
      <c r="L218" s="225"/>
      <c r="M218" s="225"/>
      <c r="N218" s="225"/>
      <c r="O218" s="225"/>
      <c r="P218" s="225"/>
      <c r="Q218" s="225"/>
      <c r="R218" s="145"/>
      <c r="S218" s="145"/>
      <c r="T218" s="145"/>
      <c r="U218" s="146" t="str">
        <f t="shared" si="27"/>
        <v>Muy Corrosivo</v>
      </c>
      <c r="V218" s="146" t="str">
        <f t="shared" si="27"/>
        <v>Muy Corrosivo</v>
      </c>
      <c r="W218" s="146" t="str">
        <f t="shared" si="27"/>
        <v>Muy Corrosivo</v>
      </c>
    </row>
    <row r="219" spans="1:23" ht="20.25" hidden="1" customHeight="1">
      <c r="A219" s="143"/>
      <c r="B219" s="144"/>
      <c r="C219" s="210"/>
      <c r="D219" s="210"/>
      <c r="E219" s="211"/>
      <c r="F219" s="223"/>
      <c r="G219" s="224"/>
      <c r="H219" s="223"/>
      <c r="I219" s="224"/>
      <c r="J219" s="223"/>
      <c r="K219" s="224"/>
      <c r="L219" s="225"/>
      <c r="M219" s="225"/>
      <c r="N219" s="225"/>
      <c r="O219" s="225"/>
      <c r="P219" s="225"/>
      <c r="Q219" s="225"/>
      <c r="R219" s="145"/>
      <c r="S219" s="145"/>
      <c r="T219" s="145"/>
      <c r="U219" s="146" t="str">
        <f t="shared" si="27"/>
        <v>Muy Corrosivo</v>
      </c>
      <c r="V219" s="146" t="str">
        <f t="shared" si="27"/>
        <v>Muy Corrosivo</v>
      </c>
      <c r="W219" s="146" t="str">
        <f t="shared" si="27"/>
        <v>Muy Corrosivo</v>
      </c>
    </row>
    <row r="220" spans="1:23" ht="20.25" hidden="1" customHeight="1">
      <c r="A220" s="143"/>
      <c r="B220" s="144"/>
      <c r="C220" s="210"/>
      <c r="D220" s="210"/>
      <c r="E220" s="211"/>
      <c r="F220" s="223"/>
      <c r="G220" s="224"/>
      <c r="H220" s="223"/>
      <c r="I220" s="224"/>
      <c r="J220" s="223"/>
      <c r="K220" s="224"/>
      <c r="L220" s="225"/>
      <c r="M220" s="225"/>
      <c r="N220" s="225"/>
      <c r="O220" s="225"/>
      <c r="P220" s="225"/>
      <c r="Q220" s="225"/>
      <c r="R220" s="145"/>
      <c r="S220" s="145"/>
      <c r="T220" s="145"/>
      <c r="U220" s="146" t="str">
        <f t="shared" si="27"/>
        <v>Muy Corrosivo</v>
      </c>
      <c r="V220" s="146" t="str">
        <f t="shared" si="27"/>
        <v>Muy Corrosivo</v>
      </c>
      <c r="W220" s="146" t="str">
        <f t="shared" si="27"/>
        <v>Muy Corrosivo</v>
      </c>
    </row>
    <row r="221" spans="1:23" ht="20.25" hidden="1" customHeight="1">
      <c r="A221" s="143"/>
      <c r="B221" s="144"/>
      <c r="C221" s="210"/>
      <c r="D221" s="210"/>
      <c r="E221" s="211"/>
      <c r="F221" s="223"/>
      <c r="G221" s="224"/>
      <c r="H221" s="223"/>
      <c r="I221" s="224"/>
      <c r="J221" s="223"/>
      <c r="K221" s="224"/>
      <c r="L221" s="225"/>
      <c r="M221" s="225"/>
      <c r="N221" s="225"/>
      <c r="O221" s="225"/>
      <c r="P221" s="225"/>
      <c r="Q221" s="225"/>
      <c r="R221" s="145"/>
      <c r="S221" s="145"/>
      <c r="T221" s="145"/>
      <c r="U221" s="146" t="str">
        <f t="shared" si="27"/>
        <v>Muy Corrosivo</v>
      </c>
      <c r="V221" s="146" t="str">
        <f t="shared" si="27"/>
        <v>Muy Corrosivo</v>
      </c>
      <c r="W221" s="146" t="str">
        <f t="shared" si="27"/>
        <v>Muy Corrosivo</v>
      </c>
    </row>
    <row r="222" spans="1:23" ht="20.25" hidden="1" customHeight="1">
      <c r="A222" s="143"/>
      <c r="B222" s="144"/>
      <c r="C222" s="210"/>
      <c r="D222" s="210"/>
      <c r="E222" s="211"/>
      <c r="F222" s="223"/>
      <c r="G222" s="224"/>
      <c r="H222" s="223"/>
      <c r="I222" s="224"/>
      <c r="J222" s="223"/>
      <c r="K222" s="224"/>
      <c r="L222" s="225"/>
      <c r="M222" s="225"/>
      <c r="N222" s="225"/>
      <c r="O222" s="225"/>
      <c r="P222" s="225"/>
      <c r="Q222" s="225"/>
      <c r="R222" s="145"/>
      <c r="S222" s="145"/>
      <c r="T222" s="145"/>
      <c r="U222" s="146" t="str">
        <f t="shared" si="27"/>
        <v>Muy Corrosivo</v>
      </c>
      <c r="V222" s="146" t="str">
        <f t="shared" si="27"/>
        <v>Muy Corrosivo</v>
      </c>
      <c r="W222" s="146" t="str">
        <f t="shared" si="27"/>
        <v>Muy Corrosivo</v>
      </c>
    </row>
    <row r="223" spans="1:23" ht="20.25" hidden="1" customHeight="1">
      <c r="A223" s="143"/>
      <c r="B223" s="144"/>
      <c r="C223" s="210"/>
      <c r="D223" s="210"/>
      <c r="E223" s="211"/>
      <c r="F223" s="223"/>
      <c r="G223" s="224"/>
      <c r="H223" s="223"/>
      <c r="I223" s="224"/>
      <c r="J223" s="223"/>
      <c r="K223" s="224"/>
      <c r="L223" s="225"/>
      <c r="M223" s="225"/>
      <c r="N223" s="225"/>
      <c r="O223" s="225"/>
      <c r="P223" s="225"/>
      <c r="Q223" s="225"/>
      <c r="R223" s="145"/>
      <c r="S223" s="145"/>
      <c r="T223" s="145"/>
      <c r="U223" s="146" t="str">
        <f t="shared" si="27"/>
        <v>Muy Corrosivo</v>
      </c>
      <c r="V223" s="146" t="str">
        <f t="shared" si="27"/>
        <v>Muy Corrosivo</v>
      </c>
      <c r="W223" s="146" t="str">
        <f t="shared" si="27"/>
        <v>Muy Corrosivo</v>
      </c>
    </row>
    <row r="224" spans="1:23" ht="20.25" hidden="1" customHeight="1">
      <c r="A224" s="143"/>
      <c r="B224" s="144"/>
      <c r="C224" s="210"/>
      <c r="D224" s="210"/>
      <c r="E224" s="211"/>
      <c r="F224" s="223"/>
      <c r="G224" s="224"/>
      <c r="H224" s="223"/>
      <c r="I224" s="224"/>
      <c r="J224" s="223"/>
      <c r="K224" s="224"/>
      <c r="L224" s="225"/>
      <c r="M224" s="225"/>
      <c r="N224" s="225"/>
      <c r="O224" s="225"/>
      <c r="P224" s="225"/>
      <c r="Q224" s="225"/>
      <c r="R224" s="145"/>
      <c r="S224" s="145"/>
      <c r="T224" s="145"/>
      <c r="U224" s="146" t="str">
        <f t="shared" si="27"/>
        <v>Muy Corrosivo</v>
      </c>
      <c r="V224" s="146" t="str">
        <f t="shared" si="27"/>
        <v>Muy Corrosivo</v>
      </c>
      <c r="W224" s="146" t="str">
        <f t="shared" si="27"/>
        <v>Muy Corrosivo</v>
      </c>
    </row>
    <row r="225" spans="1:23" ht="20.25" hidden="1" customHeight="1">
      <c r="A225" s="143"/>
      <c r="B225" s="144"/>
      <c r="C225" s="210"/>
      <c r="D225" s="210"/>
      <c r="E225" s="211"/>
      <c r="F225" s="223"/>
      <c r="G225" s="224"/>
      <c r="H225" s="223"/>
      <c r="I225" s="224"/>
      <c r="J225" s="223"/>
      <c r="K225" s="224"/>
      <c r="L225" s="225"/>
      <c r="M225" s="225"/>
      <c r="N225" s="225"/>
      <c r="O225" s="225"/>
      <c r="P225" s="225"/>
      <c r="Q225" s="225"/>
      <c r="R225" s="145"/>
      <c r="S225" s="145"/>
      <c r="T225" s="145"/>
      <c r="U225" s="146" t="str">
        <f t="shared" si="27"/>
        <v>Muy Corrosivo</v>
      </c>
      <c r="V225" s="146" t="str">
        <f t="shared" si="27"/>
        <v>Muy Corrosivo</v>
      </c>
      <c r="W225" s="146" t="str">
        <f t="shared" si="27"/>
        <v>Muy Corrosivo</v>
      </c>
    </row>
    <row r="226" spans="1:23" ht="20.25" hidden="1" customHeight="1">
      <c r="A226" s="143"/>
      <c r="B226" s="144"/>
      <c r="C226" s="210"/>
      <c r="D226" s="210"/>
      <c r="E226" s="211"/>
      <c r="F226" s="223"/>
      <c r="G226" s="224"/>
      <c r="H226" s="223"/>
      <c r="I226" s="224"/>
      <c r="J226" s="223"/>
      <c r="K226" s="224"/>
      <c r="L226" s="225"/>
      <c r="M226" s="225"/>
      <c r="N226" s="225"/>
      <c r="O226" s="225"/>
      <c r="P226" s="225"/>
      <c r="Q226" s="225"/>
      <c r="R226" s="145"/>
      <c r="S226" s="145"/>
      <c r="T226" s="145"/>
      <c r="U226" s="146" t="str">
        <f t="shared" si="27"/>
        <v>Muy Corrosivo</v>
      </c>
      <c r="V226" s="146" t="str">
        <f t="shared" si="27"/>
        <v>Muy Corrosivo</v>
      </c>
      <c r="W226" s="146" t="str">
        <f t="shared" si="27"/>
        <v>Muy Corrosivo</v>
      </c>
    </row>
    <row r="227" spans="1:23" ht="20.25" hidden="1" customHeight="1">
      <c r="A227" s="143"/>
      <c r="B227" s="144"/>
      <c r="C227" s="210"/>
      <c r="D227" s="210"/>
      <c r="E227" s="211"/>
      <c r="F227" s="223"/>
      <c r="G227" s="224"/>
      <c r="H227" s="223"/>
      <c r="I227" s="224"/>
      <c r="J227" s="223"/>
      <c r="K227" s="224"/>
      <c r="L227" s="225"/>
      <c r="M227" s="225"/>
      <c r="N227" s="225"/>
      <c r="O227" s="225"/>
      <c r="P227" s="225"/>
      <c r="Q227" s="225"/>
      <c r="R227" s="145"/>
      <c r="S227" s="145"/>
      <c r="T227" s="145"/>
      <c r="U227" s="146" t="str">
        <f t="shared" si="27"/>
        <v>Muy Corrosivo</v>
      </c>
      <c r="V227" s="146" t="str">
        <f t="shared" si="27"/>
        <v>Muy Corrosivo</v>
      </c>
      <c r="W227" s="146" t="str">
        <f t="shared" si="27"/>
        <v>Muy Corrosivo</v>
      </c>
    </row>
    <row r="228" spans="1:23" ht="20.25" hidden="1" customHeight="1">
      <c r="A228" s="143"/>
      <c r="B228" s="144"/>
      <c r="C228" s="210"/>
      <c r="D228" s="210"/>
      <c r="E228" s="211"/>
      <c r="F228" s="223"/>
      <c r="G228" s="224"/>
      <c r="H228" s="223"/>
      <c r="I228" s="224"/>
      <c r="J228" s="223"/>
      <c r="K228" s="224"/>
      <c r="L228" s="225"/>
      <c r="M228" s="225"/>
      <c r="N228" s="225"/>
      <c r="O228" s="225"/>
      <c r="P228" s="225"/>
      <c r="Q228" s="225"/>
      <c r="R228" s="145"/>
      <c r="S228" s="145"/>
      <c r="T228" s="145"/>
      <c r="U228" s="146" t="str">
        <f t="shared" si="27"/>
        <v>Muy Corrosivo</v>
      </c>
      <c r="V228" s="146" t="str">
        <f t="shared" si="27"/>
        <v>Muy Corrosivo</v>
      </c>
      <c r="W228" s="146" t="str">
        <f t="shared" si="27"/>
        <v>Muy Corrosivo</v>
      </c>
    </row>
    <row r="229" spans="1:23" ht="20.25" hidden="1" customHeight="1">
      <c r="A229" s="143"/>
      <c r="B229" s="144"/>
      <c r="C229" s="210"/>
      <c r="D229" s="210"/>
      <c r="E229" s="211"/>
      <c r="F229" s="223"/>
      <c r="G229" s="224"/>
      <c r="H229" s="223"/>
      <c r="I229" s="224"/>
      <c r="J229" s="223"/>
      <c r="K229" s="224"/>
      <c r="L229" s="225"/>
      <c r="M229" s="225"/>
      <c r="N229" s="225"/>
      <c r="O229" s="225"/>
      <c r="P229" s="225"/>
      <c r="Q229" s="225"/>
      <c r="R229" s="145"/>
      <c r="S229" s="145"/>
      <c r="T229" s="145"/>
      <c r="U229" s="146" t="str">
        <f t="shared" si="27"/>
        <v>Muy Corrosivo</v>
      </c>
      <c r="V229" s="146" t="str">
        <f t="shared" si="27"/>
        <v>Muy Corrosivo</v>
      </c>
      <c r="W229" s="146" t="str">
        <f t="shared" si="27"/>
        <v>Muy Corrosivo</v>
      </c>
    </row>
    <row r="230" spans="1:23" ht="20.25" hidden="1" customHeight="1">
      <c r="A230" s="143"/>
      <c r="B230" s="144"/>
      <c r="C230" s="210"/>
      <c r="D230" s="210"/>
      <c r="E230" s="211"/>
      <c r="F230" s="223"/>
      <c r="G230" s="224"/>
      <c r="H230" s="223"/>
      <c r="I230" s="224"/>
      <c r="J230" s="223"/>
      <c r="K230" s="224"/>
      <c r="L230" s="225"/>
      <c r="M230" s="225"/>
      <c r="N230" s="225"/>
      <c r="O230" s="225"/>
      <c r="P230" s="225"/>
      <c r="Q230" s="225"/>
      <c r="R230" s="145"/>
      <c r="S230" s="145"/>
      <c r="T230" s="145"/>
      <c r="U230" s="146" t="str">
        <f t="shared" si="27"/>
        <v>Muy Corrosivo</v>
      </c>
      <c r="V230" s="146" t="str">
        <f t="shared" si="27"/>
        <v>Muy Corrosivo</v>
      </c>
      <c r="W230" s="146" t="str">
        <f t="shared" si="27"/>
        <v>Muy Corrosivo</v>
      </c>
    </row>
    <row r="231" spans="1:23" ht="20.25" hidden="1" customHeight="1">
      <c r="A231" s="143"/>
      <c r="B231" s="144"/>
      <c r="C231" s="210"/>
      <c r="D231" s="210"/>
      <c r="E231" s="211"/>
      <c r="F231" s="223"/>
      <c r="G231" s="224"/>
      <c r="H231" s="223"/>
      <c r="I231" s="224"/>
      <c r="J231" s="223"/>
      <c r="K231" s="224"/>
      <c r="L231" s="225"/>
      <c r="M231" s="225"/>
      <c r="N231" s="225"/>
      <c r="O231" s="225"/>
      <c r="P231" s="225"/>
      <c r="Q231" s="225"/>
      <c r="R231" s="145"/>
      <c r="S231" s="145"/>
      <c r="T231" s="145"/>
      <c r="U231" s="146" t="str">
        <f t="shared" si="27"/>
        <v>Muy Corrosivo</v>
      </c>
      <c r="V231" s="146" t="str">
        <f t="shared" si="27"/>
        <v>Muy Corrosivo</v>
      </c>
      <c r="W231" s="146" t="str">
        <f t="shared" si="27"/>
        <v>Muy Corrosivo</v>
      </c>
    </row>
    <row r="232" spans="1:23" ht="20.25" hidden="1" customHeight="1">
      <c r="A232" s="143"/>
      <c r="B232" s="144"/>
      <c r="C232" s="210"/>
      <c r="D232" s="210"/>
      <c r="E232" s="211"/>
      <c r="F232" s="223"/>
      <c r="G232" s="224"/>
      <c r="H232" s="223"/>
      <c r="I232" s="224"/>
      <c r="J232" s="223"/>
      <c r="K232" s="224"/>
      <c r="L232" s="225"/>
      <c r="M232" s="225"/>
      <c r="N232" s="225"/>
      <c r="O232" s="225"/>
      <c r="P232" s="225"/>
      <c r="Q232" s="225"/>
      <c r="R232" s="145"/>
      <c r="S232" s="145"/>
      <c r="T232" s="145"/>
      <c r="U232" s="146" t="str">
        <f t="shared" si="27"/>
        <v>Muy Corrosivo</v>
      </c>
      <c r="V232" s="146" t="str">
        <f t="shared" si="27"/>
        <v>Muy Corrosivo</v>
      </c>
      <c r="W232" s="146" t="str">
        <f t="shared" si="27"/>
        <v>Muy Corrosivo</v>
      </c>
    </row>
    <row r="233" spans="1:23" ht="20.25" hidden="1" customHeight="1">
      <c r="A233" s="143"/>
      <c r="B233" s="144"/>
      <c r="C233" s="210"/>
      <c r="D233" s="210"/>
      <c r="E233" s="211"/>
      <c r="F233" s="223"/>
      <c r="G233" s="224"/>
      <c r="H233" s="223"/>
      <c r="I233" s="224"/>
      <c r="J233" s="223"/>
      <c r="K233" s="224"/>
      <c r="L233" s="225"/>
      <c r="M233" s="225"/>
      <c r="N233" s="225"/>
      <c r="O233" s="225"/>
      <c r="P233" s="225"/>
      <c r="Q233" s="225"/>
      <c r="R233" s="145"/>
      <c r="S233" s="145"/>
      <c r="T233" s="145"/>
      <c r="U233" s="146" t="str">
        <f t="shared" si="27"/>
        <v>Muy Corrosivo</v>
      </c>
      <c r="V233" s="146" t="str">
        <f t="shared" si="27"/>
        <v>Muy Corrosivo</v>
      </c>
      <c r="W233" s="146" t="str">
        <f t="shared" si="27"/>
        <v>Muy Corrosivo</v>
      </c>
    </row>
    <row r="234" spans="1:23" ht="20.25" hidden="1" customHeight="1">
      <c r="A234" s="143"/>
      <c r="B234" s="144"/>
      <c r="C234" s="210"/>
      <c r="D234" s="210"/>
      <c r="E234" s="211"/>
      <c r="F234" s="223"/>
      <c r="G234" s="224"/>
      <c r="H234" s="223"/>
      <c r="I234" s="224"/>
      <c r="J234" s="223"/>
      <c r="K234" s="224"/>
      <c r="L234" s="225"/>
      <c r="M234" s="225"/>
      <c r="N234" s="225"/>
      <c r="O234" s="225"/>
      <c r="P234" s="225"/>
      <c r="Q234" s="225"/>
      <c r="R234" s="145"/>
      <c r="S234" s="145"/>
      <c r="T234" s="145"/>
      <c r="U234" s="146" t="str">
        <f t="shared" si="27"/>
        <v>Muy Corrosivo</v>
      </c>
      <c r="V234" s="146" t="str">
        <f t="shared" si="27"/>
        <v>Muy Corrosivo</v>
      </c>
      <c r="W234" s="146" t="str">
        <f t="shared" si="27"/>
        <v>Muy Corrosivo</v>
      </c>
    </row>
    <row r="235" spans="1:23" ht="20.25" hidden="1" customHeight="1">
      <c r="A235" s="143"/>
      <c r="B235" s="144"/>
      <c r="C235" s="210"/>
      <c r="D235" s="210"/>
      <c r="E235" s="211"/>
      <c r="F235" s="223"/>
      <c r="G235" s="224"/>
      <c r="H235" s="223"/>
      <c r="I235" s="224"/>
      <c r="J235" s="223"/>
      <c r="K235" s="224"/>
      <c r="L235" s="225"/>
      <c r="M235" s="225"/>
      <c r="N235" s="225"/>
      <c r="O235" s="225"/>
      <c r="P235" s="225"/>
      <c r="Q235" s="225"/>
      <c r="R235" s="145"/>
      <c r="S235" s="145"/>
      <c r="T235" s="145"/>
      <c r="U235" s="146" t="str">
        <f t="shared" si="27"/>
        <v>Muy Corrosivo</v>
      </c>
      <c r="V235" s="146" t="str">
        <f t="shared" si="27"/>
        <v>Muy Corrosivo</v>
      </c>
      <c r="W235" s="146" t="str">
        <f t="shared" si="27"/>
        <v>Muy Corrosivo</v>
      </c>
    </row>
    <row r="236" spans="1:23" ht="20.25" hidden="1" customHeight="1">
      <c r="A236" s="143"/>
      <c r="B236" s="144"/>
      <c r="C236" s="210"/>
      <c r="D236" s="210"/>
      <c r="E236" s="211"/>
      <c r="F236" s="223"/>
      <c r="G236" s="224"/>
      <c r="H236" s="223"/>
      <c r="I236" s="224"/>
      <c r="J236" s="223"/>
      <c r="K236" s="224"/>
      <c r="L236" s="225"/>
      <c r="M236" s="225"/>
      <c r="N236" s="225"/>
      <c r="O236" s="225"/>
      <c r="P236" s="225"/>
      <c r="Q236" s="225"/>
      <c r="R236" s="145"/>
      <c r="S236" s="145"/>
      <c r="T236" s="145"/>
      <c r="U236" s="146" t="str">
        <f t="shared" si="27"/>
        <v>Muy Corrosivo</v>
      </c>
      <c r="V236" s="146" t="str">
        <f t="shared" si="27"/>
        <v>Muy Corrosivo</v>
      </c>
      <c r="W236" s="146" t="str">
        <f t="shared" si="27"/>
        <v>Muy Corrosivo</v>
      </c>
    </row>
    <row r="237" spans="1:23" ht="20.25" hidden="1" customHeight="1">
      <c r="A237" s="143"/>
      <c r="B237" s="144"/>
      <c r="C237" s="210"/>
      <c r="D237" s="210"/>
      <c r="E237" s="211"/>
      <c r="F237" s="223"/>
      <c r="G237" s="224"/>
      <c r="H237" s="223"/>
      <c r="I237" s="224"/>
      <c r="J237" s="223"/>
      <c r="K237" s="224"/>
      <c r="L237" s="225"/>
      <c r="M237" s="225"/>
      <c r="N237" s="225"/>
      <c r="O237" s="225"/>
      <c r="P237" s="225"/>
      <c r="Q237" s="225"/>
      <c r="R237" s="145"/>
      <c r="S237" s="145"/>
      <c r="T237" s="145"/>
      <c r="U237" s="146" t="str">
        <f t="shared" si="27"/>
        <v>Muy Corrosivo</v>
      </c>
      <c r="V237" s="146" t="str">
        <f t="shared" si="27"/>
        <v>Muy Corrosivo</v>
      </c>
      <c r="W237" s="146" t="str">
        <f t="shared" si="27"/>
        <v>Muy Corrosivo</v>
      </c>
    </row>
    <row r="238" spans="1:23" ht="20.25" hidden="1" customHeight="1">
      <c r="A238" s="143"/>
      <c r="B238" s="144"/>
      <c r="C238" s="210"/>
      <c r="D238" s="210"/>
      <c r="E238" s="211"/>
      <c r="F238" s="223"/>
      <c r="G238" s="224"/>
      <c r="H238" s="223"/>
      <c r="I238" s="224"/>
      <c r="J238" s="223"/>
      <c r="K238" s="224"/>
      <c r="L238" s="225"/>
      <c r="M238" s="225"/>
      <c r="N238" s="225"/>
      <c r="O238" s="225"/>
      <c r="P238" s="225"/>
      <c r="Q238" s="225"/>
      <c r="R238" s="145"/>
      <c r="S238" s="145"/>
      <c r="T238" s="145"/>
      <c r="U238" s="146" t="str">
        <f t="shared" si="27"/>
        <v>Muy Corrosivo</v>
      </c>
      <c r="V238" s="146" t="str">
        <f t="shared" si="27"/>
        <v>Muy Corrosivo</v>
      </c>
      <c r="W238" s="146" t="str">
        <f t="shared" si="27"/>
        <v>Muy Corrosivo</v>
      </c>
    </row>
    <row r="239" spans="1:23" ht="20.25" hidden="1" customHeight="1">
      <c r="A239" s="143"/>
      <c r="B239" s="144"/>
      <c r="C239" s="210"/>
      <c r="D239" s="210"/>
      <c r="E239" s="211"/>
      <c r="F239" s="223"/>
      <c r="G239" s="224"/>
      <c r="H239" s="223"/>
      <c r="I239" s="224"/>
      <c r="J239" s="223"/>
      <c r="K239" s="224"/>
      <c r="L239" s="225"/>
      <c r="M239" s="225"/>
      <c r="N239" s="225"/>
      <c r="O239" s="225"/>
      <c r="P239" s="225"/>
      <c r="Q239" s="225"/>
      <c r="R239" s="145"/>
      <c r="S239" s="145"/>
      <c r="T239" s="145"/>
      <c r="U239" s="146" t="str">
        <f t="shared" si="27"/>
        <v>Muy Corrosivo</v>
      </c>
      <c r="V239" s="146" t="str">
        <f t="shared" si="27"/>
        <v>Muy Corrosivo</v>
      </c>
      <c r="W239" s="146" t="str">
        <f t="shared" si="27"/>
        <v>Muy Corrosivo</v>
      </c>
    </row>
    <row r="240" spans="1:23" ht="20.25" hidden="1" customHeight="1">
      <c r="A240" s="143"/>
      <c r="B240" s="144"/>
      <c r="C240" s="210"/>
      <c r="D240" s="210"/>
      <c r="E240" s="211"/>
      <c r="F240" s="223"/>
      <c r="G240" s="224"/>
      <c r="H240" s="223"/>
      <c r="I240" s="224"/>
      <c r="J240" s="223"/>
      <c r="K240" s="224"/>
      <c r="L240" s="225"/>
      <c r="M240" s="225"/>
      <c r="N240" s="225"/>
      <c r="O240" s="225"/>
      <c r="P240" s="225"/>
      <c r="Q240" s="225"/>
      <c r="R240" s="145"/>
      <c r="S240" s="145"/>
      <c r="T240" s="145"/>
      <c r="U240" s="146" t="str">
        <f t="shared" si="27"/>
        <v>Muy Corrosivo</v>
      </c>
      <c r="V240" s="146" t="str">
        <f t="shared" si="27"/>
        <v>Muy Corrosivo</v>
      </c>
      <c r="W240" s="146" t="str">
        <f t="shared" si="27"/>
        <v>Muy Corrosivo</v>
      </c>
    </row>
    <row r="241" spans="1:23" ht="20.25" hidden="1" customHeight="1">
      <c r="A241" s="143"/>
      <c r="B241" s="144"/>
      <c r="C241" s="210"/>
      <c r="D241" s="210"/>
      <c r="E241" s="211"/>
      <c r="F241" s="223"/>
      <c r="G241" s="224"/>
      <c r="H241" s="223"/>
      <c r="I241" s="224"/>
      <c r="J241" s="223"/>
      <c r="K241" s="224"/>
      <c r="L241" s="225"/>
      <c r="M241" s="225"/>
      <c r="N241" s="225"/>
      <c r="O241" s="225"/>
      <c r="P241" s="225"/>
      <c r="Q241" s="225"/>
      <c r="R241" s="145"/>
      <c r="S241" s="145"/>
      <c r="T241" s="145"/>
      <c r="U241" s="146" t="str">
        <f t="shared" si="27"/>
        <v>Muy Corrosivo</v>
      </c>
      <c r="V241" s="146" t="str">
        <f t="shared" si="27"/>
        <v>Muy Corrosivo</v>
      </c>
      <c r="W241" s="146" t="str">
        <f t="shared" si="27"/>
        <v>Muy Corrosivo</v>
      </c>
    </row>
    <row r="242" spans="1:23" ht="20.25" hidden="1" customHeight="1">
      <c r="A242" s="143"/>
      <c r="B242" s="144"/>
      <c r="C242" s="210"/>
      <c r="D242" s="210"/>
      <c r="E242" s="211"/>
      <c r="F242" s="223"/>
      <c r="G242" s="224"/>
      <c r="H242" s="223"/>
      <c r="I242" s="224"/>
      <c r="J242" s="223"/>
      <c r="K242" s="224"/>
      <c r="L242" s="225"/>
      <c r="M242" s="225"/>
      <c r="N242" s="225"/>
      <c r="O242" s="225"/>
      <c r="P242" s="225"/>
      <c r="Q242" s="225"/>
      <c r="R242" s="145"/>
      <c r="S242" s="145"/>
      <c r="T242" s="145"/>
      <c r="U242" s="146" t="str">
        <f t="shared" si="27"/>
        <v>Muy Corrosivo</v>
      </c>
      <c r="V242" s="146" t="str">
        <f t="shared" si="27"/>
        <v>Muy Corrosivo</v>
      </c>
      <c r="W242" s="146" t="str">
        <f t="shared" si="27"/>
        <v>Muy Corrosivo</v>
      </c>
    </row>
    <row r="243" spans="1:23" ht="20.25" hidden="1" customHeight="1">
      <c r="A243" s="143"/>
      <c r="B243" s="144"/>
      <c r="C243" s="210"/>
      <c r="D243" s="210"/>
      <c r="E243" s="211"/>
      <c r="F243" s="223"/>
      <c r="G243" s="224"/>
      <c r="H243" s="223"/>
      <c r="I243" s="224"/>
      <c r="J243" s="223"/>
      <c r="K243" s="224"/>
      <c r="L243" s="225"/>
      <c r="M243" s="225"/>
      <c r="N243" s="225"/>
      <c r="O243" s="225"/>
      <c r="P243" s="225"/>
      <c r="Q243" s="225"/>
      <c r="R243" s="145"/>
      <c r="S243" s="145"/>
      <c r="T243" s="145"/>
      <c r="U243" s="146" t="str">
        <f t="shared" si="27"/>
        <v>Muy Corrosivo</v>
      </c>
      <c r="V243" s="146" t="str">
        <f t="shared" si="27"/>
        <v>Muy Corrosivo</v>
      </c>
      <c r="W243" s="146" t="str">
        <f t="shared" si="27"/>
        <v>Muy Corrosivo</v>
      </c>
    </row>
    <row r="244" spans="1:23" ht="20.25" hidden="1" customHeight="1">
      <c r="A244" s="143"/>
      <c r="B244" s="144"/>
      <c r="C244" s="210"/>
      <c r="D244" s="210"/>
      <c r="E244" s="211"/>
      <c r="F244" s="223"/>
      <c r="G244" s="224"/>
      <c r="H244" s="223"/>
      <c r="I244" s="224"/>
      <c r="J244" s="223"/>
      <c r="K244" s="224"/>
      <c r="L244" s="225"/>
      <c r="M244" s="225"/>
      <c r="N244" s="225"/>
      <c r="O244" s="225"/>
      <c r="P244" s="225"/>
      <c r="Q244" s="225"/>
      <c r="R244" s="145"/>
      <c r="S244" s="145"/>
      <c r="T244" s="145"/>
      <c r="U244" s="146" t="str">
        <f t="shared" si="27"/>
        <v>Muy Corrosivo</v>
      </c>
      <c r="V244" s="146" t="str">
        <f t="shared" si="27"/>
        <v>Muy Corrosivo</v>
      </c>
      <c r="W244" s="146" t="str">
        <f t="shared" si="27"/>
        <v>Muy Corrosivo</v>
      </c>
    </row>
    <row r="245" spans="1:23" ht="20.25" hidden="1" customHeight="1">
      <c r="A245" s="143"/>
      <c r="B245" s="144" t="s">
        <v>240</v>
      </c>
      <c r="C245" s="144"/>
      <c r="D245" s="144"/>
      <c r="E245" s="164"/>
      <c r="F245" s="223"/>
      <c r="G245" s="224"/>
      <c r="H245" s="223"/>
      <c r="I245" s="224"/>
      <c r="J245" s="223"/>
      <c r="K245" s="224"/>
      <c r="L245" s="237"/>
      <c r="M245" s="237"/>
      <c r="N245" s="237"/>
      <c r="O245" s="237"/>
      <c r="P245" s="225">
        <f t="shared" ref="P245:P289" si="28">2*PI()*J245*300</f>
        <v>0</v>
      </c>
      <c r="Q245" s="225"/>
      <c r="R245" s="145">
        <f t="shared" ref="R245:R253" si="29">2*PI()*F245*100</f>
        <v>0</v>
      </c>
      <c r="S245" s="147"/>
      <c r="T245" s="148"/>
    </row>
    <row r="246" spans="1:23" ht="20.25" hidden="1" customHeight="1">
      <c r="A246" s="143"/>
      <c r="B246" s="144" t="s">
        <v>241</v>
      </c>
      <c r="C246" s="144"/>
      <c r="D246" s="144"/>
      <c r="E246" s="164"/>
      <c r="F246" s="223"/>
      <c r="G246" s="224"/>
      <c r="H246" s="223"/>
      <c r="I246" s="224"/>
      <c r="J246" s="223"/>
      <c r="K246" s="224"/>
      <c r="L246" s="237"/>
      <c r="M246" s="237"/>
      <c r="N246" s="237"/>
      <c r="O246" s="237"/>
      <c r="P246" s="225">
        <f t="shared" si="28"/>
        <v>0</v>
      </c>
      <c r="Q246" s="225"/>
      <c r="R246" s="145">
        <f t="shared" si="29"/>
        <v>0</v>
      </c>
      <c r="S246" s="147"/>
      <c r="T246" s="148"/>
      <c r="U246" s="136">
        <f>COUNTIF($U$9:$U$244,"Despreciable")</f>
        <v>0</v>
      </c>
      <c r="V246" s="136">
        <f>(U246/236)*100</f>
        <v>0</v>
      </c>
    </row>
    <row r="247" spans="1:23" ht="20.25" hidden="1" customHeight="1">
      <c r="A247" s="143"/>
      <c r="B247" s="144" t="s">
        <v>241</v>
      </c>
      <c r="C247" s="144"/>
      <c r="D247" s="144"/>
      <c r="E247" s="164"/>
      <c r="F247" s="223"/>
      <c r="G247" s="224"/>
      <c r="H247" s="223"/>
      <c r="I247" s="224"/>
      <c r="J247" s="223"/>
      <c r="K247" s="224"/>
      <c r="L247" s="237"/>
      <c r="M247" s="237"/>
      <c r="N247" s="237"/>
      <c r="O247" s="237"/>
      <c r="P247" s="225">
        <f t="shared" si="28"/>
        <v>0</v>
      </c>
      <c r="Q247" s="225"/>
      <c r="R247" s="145">
        <f t="shared" si="29"/>
        <v>0</v>
      </c>
      <c r="S247" s="147"/>
      <c r="T247" s="148"/>
      <c r="U247" s="136">
        <f>COUNTIF($U$9:$U$244,"Medianamente Corrosivo")</f>
        <v>0</v>
      </c>
      <c r="V247" s="136">
        <f t="shared" ref="V247:V250" si="30">(U247/236)*100</f>
        <v>0</v>
      </c>
    </row>
    <row r="248" spans="1:23" ht="20.25" hidden="1" customHeight="1">
      <c r="A248" s="143"/>
      <c r="B248" s="144" t="s">
        <v>241</v>
      </c>
      <c r="C248" s="144"/>
      <c r="D248" s="144"/>
      <c r="E248" s="164"/>
      <c r="F248" s="223"/>
      <c r="G248" s="224"/>
      <c r="H248" s="223"/>
      <c r="I248" s="224"/>
      <c r="J248" s="223"/>
      <c r="K248" s="224"/>
      <c r="L248" s="237"/>
      <c r="M248" s="237"/>
      <c r="N248" s="237"/>
      <c r="O248" s="237"/>
      <c r="P248" s="225">
        <f t="shared" si="28"/>
        <v>0</v>
      </c>
      <c r="Q248" s="225"/>
      <c r="R248" s="145">
        <f t="shared" si="29"/>
        <v>0</v>
      </c>
      <c r="S248" s="147"/>
      <c r="T248" s="148"/>
      <c r="U248" s="136">
        <f>COUNTIF($U$9:$U$244,"Moderadamente Corrosivo")</f>
        <v>0</v>
      </c>
      <c r="V248" s="136">
        <f t="shared" si="30"/>
        <v>0</v>
      </c>
    </row>
    <row r="249" spans="1:23" ht="20.25" hidden="1" customHeight="1">
      <c r="A249" s="143"/>
      <c r="B249" s="144" t="s">
        <v>240</v>
      </c>
      <c r="C249" s="144"/>
      <c r="D249" s="144"/>
      <c r="E249" s="164"/>
      <c r="F249" s="223"/>
      <c r="G249" s="224"/>
      <c r="H249" s="223"/>
      <c r="I249" s="224"/>
      <c r="J249" s="223"/>
      <c r="K249" s="224"/>
      <c r="L249" s="237"/>
      <c r="M249" s="237"/>
      <c r="N249" s="237"/>
      <c r="O249" s="237"/>
      <c r="P249" s="225">
        <f t="shared" si="28"/>
        <v>0</v>
      </c>
      <c r="Q249" s="225"/>
      <c r="R249" s="145">
        <f t="shared" si="29"/>
        <v>0</v>
      </c>
      <c r="S249" s="147"/>
      <c r="T249" s="148"/>
      <c r="U249" s="136">
        <f>COUNTIF($U$9:$U$244,"Muy corrosivo")</f>
        <v>236</v>
      </c>
      <c r="V249" s="136">
        <f t="shared" si="30"/>
        <v>100</v>
      </c>
    </row>
    <row r="250" spans="1:23" ht="20.25" hidden="1" customHeight="1">
      <c r="A250" s="143"/>
      <c r="B250" s="144" t="s">
        <v>241</v>
      </c>
      <c r="C250" s="144"/>
      <c r="D250" s="144"/>
      <c r="E250" s="164"/>
      <c r="F250" s="223"/>
      <c r="G250" s="224"/>
      <c r="H250" s="223"/>
      <c r="I250" s="224"/>
      <c r="J250" s="223"/>
      <c r="K250" s="224"/>
      <c r="L250" s="237"/>
      <c r="M250" s="237"/>
      <c r="N250" s="237"/>
      <c r="O250" s="237"/>
      <c r="P250" s="225">
        <f t="shared" si="28"/>
        <v>0</v>
      </c>
      <c r="Q250" s="225"/>
      <c r="R250" s="145">
        <f t="shared" si="29"/>
        <v>0</v>
      </c>
      <c r="S250" s="147"/>
      <c r="T250" s="148"/>
      <c r="U250" s="136">
        <f>COUNTIF($U$9:$U$244,"corrosivo")</f>
        <v>0</v>
      </c>
      <c r="V250" s="136">
        <f t="shared" si="30"/>
        <v>0</v>
      </c>
    </row>
    <row r="251" spans="1:23" ht="20.25" hidden="1" customHeight="1">
      <c r="A251" s="143"/>
      <c r="B251" s="144" t="s">
        <v>241</v>
      </c>
      <c r="C251" s="144"/>
      <c r="D251" s="144"/>
      <c r="E251" s="164"/>
      <c r="F251" s="223"/>
      <c r="G251" s="224"/>
      <c r="H251" s="223"/>
      <c r="I251" s="224"/>
      <c r="J251" s="223"/>
      <c r="K251" s="224"/>
      <c r="L251" s="237"/>
      <c r="M251" s="237"/>
      <c r="N251" s="237"/>
      <c r="O251" s="237"/>
      <c r="P251" s="225">
        <f t="shared" si="28"/>
        <v>0</v>
      </c>
      <c r="Q251" s="225"/>
      <c r="R251" s="145">
        <f t="shared" si="29"/>
        <v>0</v>
      </c>
      <c r="S251" s="147"/>
      <c r="T251" s="148"/>
    </row>
    <row r="252" spans="1:23" ht="20.25" hidden="1" customHeight="1">
      <c r="A252" s="143"/>
      <c r="B252" s="144" t="s">
        <v>241</v>
      </c>
      <c r="C252" s="144"/>
      <c r="D252" s="144"/>
      <c r="E252" s="164"/>
      <c r="F252" s="223"/>
      <c r="G252" s="224"/>
      <c r="H252" s="223"/>
      <c r="I252" s="224"/>
      <c r="J252" s="223"/>
      <c r="K252" s="224"/>
      <c r="L252" s="237"/>
      <c r="M252" s="237"/>
      <c r="N252" s="237"/>
      <c r="O252" s="237"/>
      <c r="P252" s="225">
        <f t="shared" si="28"/>
        <v>0</v>
      </c>
      <c r="Q252" s="225"/>
      <c r="R252" s="145">
        <f t="shared" si="29"/>
        <v>0</v>
      </c>
      <c r="S252" s="147"/>
      <c r="T252" s="148"/>
    </row>
    <row r="253" spans="1:23" ht="20.25" hidden="1" customHeight="1">
      <c r="A253" s="143"/>
      <c r="B253" s="144" t="s">
        <v>240</v>
      </c>
      <c r="C253" s="144"/>
      <c r="D253" s="144"/>
      <c r="E253" s="164"/>
      <c r="F253" s="223"/>
      <c r="G253" s="224"/>
      <c r="H253" s="223"/>
      <c r="I253" s="224"/>
      <c r="J253" s="223"/>
      <c r="K253" s="224"/>
      <c r="L253" s="237"/>
      <c r="M253" s="237"/>
      <c r="N253" s="237"/>
      <c r="O253" s="237"/>
      <c r="P253" s="225">
        <f t="shared" si="28"/>
        <v>0</v>
      </c>
      <c r="Q253" s="225"/>
      <c r="R253" s="145">
        <f t="shared" si="29"/>
        <v>0</v>
      </c>
      <c r="S253" s="147"/>
      <c r="T253" s="148"/>
    </row>
    <row r="254" spans="1:23" ht="20.25" hidden="1" customHeight="1">
      <c r="A254" s="143"/>
      <c r="B254" s="144" t="s">
        <v>241</v>
      </c>
      <c r="C254" s="144"/>
      <c r="D254" s="144"/>
      <c r="E254" s="164"/>
      <c r="F254" s="223"/>
      <c r="G254" s="224"/>
      <c r="H254" s="223"/>
      <c r="I254" s="224"/>
      <c r="J254" s="223"/>
      <c r="K254" s="224"/>
      <c r="L254" s="237"/>
      <c r="M254" s="237"/>
      <c r="N254" s="237"/>
      <c r="O254" s="237"/>
      <c r="P254" s="225">
        <f t="shared" si="28"/>
        <v>0</v>
      </c>
      <c r="Q254" s="225"/>
      <c r="R254" s="145">
        <f t="shared" ref="R254:R289" si="31">2*PI()*F254*100</f>
        <v>0</v>
      </c>
      <c r="S254" s="147"/>
      <c r="T254" s="148"/>
    </row>
    <row r="255" spans="1:23" ht="20.25" hidden="1" customHeight="1">
      <c r="A255" s="143"/>
      <c r="B255" s="144" t="s">
        <v>241</v>
      </c>
      <c r="C255" s="144"/>
      <c r="D255" s="144"/>
      <c r="E255" s="164"/>
      <c r="F255" s="223"/>
      <c r="G255" s="224"/>
      <c r="H255" s="223"/>
      <c r="I255" s="224"/>
      <c r="J255" s="223"/>
      <c r="K255" s="224"/>
      <c r="L255" s="237"/>
      <c r="M255" s="237"/>
      <c r="N255" s="237"/>
      <c r="O255" s="237"/>
      <c r="P255" s="225">
        <f t="shared" si="28"/>
        <v>0</v>
      </c>
      <c r="Q255" s="225"/>
      <c r="R255" s="145">
        <f t="shared" si="31"/>
        <v>0</v>
      </c>
      <c r="S255" s="147"/>
      <c r="T255" s="148"/>
    </row>
    <row r="256" spans="1:23" ht="20.25" hidden="1" customHeight="1">
      <c r="A256" s="143"/>
      <c r="B256" s="144" t="s">
        <v>241</v>
      </c>
      <c r="C256" s="144"/>
      <c r="D256" s="144"/>
      <c r="E256" s="164"/>
      <c r="F256" s="223"/>
      <c r="G256" s="224"/>
      <c r="H256" s="223"/>
      <c r="I256" s="224"/>
      <c r="J256" s="223"/>
      <c r="K256" s="224"/>
      <c r="L256" s="237"/>
      <c r="M256" s="237"/>
      <c r="N256" s="237"/>
      <c r="O256" s="237"/>
      <c r="P256" s="225">
        <f t="shared" si="28"/>
        <v>0</v>
      </c>
      <c r="Q256" s="225"/>
      <c r="R256" s="145">
        <f t="shared" si="31"/>
        <v>0</v>
      </c>
      <c r="S256" s="147"/>
      <c r="T256" s="148"/>
    </row>
    <row r="257" spans="1:20" ht="20.25" hidden="1" customHeight="1">
      <c r="A257" s="143"/>
      <c r="B257" s="144" t="s">
        <v>240</v>
      </c>
      <c r="C257" s="144"/>
      <c r="D257" s="144"/>
      <c r="E257" s="164"/>
      <c r="F257" s="223"/>
      <c r="G257" s="224"/>
      <c r="H257" s="223"/>
      <c r="I257" s="224"/>
      <c r="J257" s="223"/>
      <c r="K257" s="224"/>
      <c r="L257" s="237"/>
      <c r="M257" s="237"/>
      <c r="N257" s="237"/>
      <c r="O257" s="237"/>
      <c r="P257" s="225">
        <f t="shared" si="28"/>
        <v>0</v>
      </c>
      <c r="Q257" s="225"/>
      <c r="R257" s="145">
        <f t="shared" si="31"/>
        <v>0</v>
      </c>
      <c r="S257" s="147"/>
      <c r="T257" s="148"/>
    </row>
    <row r="258" spans="1:20" ht="20.25" hidden="1" customHeight="1">
      <c r="A258" s="143"/>
      <c r="B258" s="144" t="s">
        <v>241</v>
      </c>
      <c r="C258" s="144"/>
      <c r="D258" s="144"/>
      <c r="E258" s="164"/>
      <c r="F258" s="223"/>
      <c r="G258" s="224"/>
      <c r="H258" s="223"/>
      <c r="I258" s="224"/>
      <c r="J258" s="223"/>
      <c r="K258" s="224"/>
      <c r="L258" s="237"/>
      <c r="M258" s="237"/>
      <c r="N258" s="237"/>
      <c r="O258" s="237"/>
      <c r="P258" s="225">
        <f t="shared" si="28"/>
        <v>0</v>
      </c>
      <c r="Q258" s="225"/>
      <c r="R258" s="145">
        <f t="shared" si="31"/>
        <v>0</v>
      </c>
      <c r="S258" s="147"/>
      <c r="T258" s="148"/>
    </row>
    <row r="259" spans="1:20" ht="20.25" hidden="1" customHeight="1">
      <c r="A259" s="143"/>
      <c r="B259" s="144" t="s">
        <v>241</v>
      </c>
      <c r="C259" s="144"/>
      <c r="D259" s="144"/>
      <c r="E259" s="164"/>
      <c r="F259" s="223"/>
      <c r="G259" s="224"/>
      <c r="H259" s="223"/>
      <c r="I259" s="224"/>
      <c r="J259" s="223"/>
      <c r="K259" s="224"/>
      <c r="L259" s="237"/>
      <c r="M259" s="237"/>
      <c r="N259" s="237"/>
      <c r="O259" s="237"/>
      <c r="P259" s="225">
        <f t="shared" si="28"/>
        <v>0</v>
      </c>
      <c r="Q259" s="225"/>
      <c r="R259" s="145">
        <f t="shared" si="31"/>
        <v>0</v>
      </c>
      <c r="S259" s="147"/>
      <c r="T259" s="148"/>
    </row>
    <row r="260" spans="1:20" ht="20.25" hidden="1" customHeight="1">
      <c r="A260" s="143"/>
      <c r="B260" s="144" t="s">
        <v>241</v>
      </c>
      <c r="C260" s="144"/>
      <c r="D260" s="144"/>
      <c r="E260" s="164"/>
      <c r="F260" s="223"/>
      <c r="G260" s="224"/>
      <c r="H260" s="223"/>
      <c r="I260" s="224"/>
      <c r="J260" s="223"/>
      <c r="K260" s="224"/>
      <c r="L260" s="237"/>
      <c r="M260" s="237"/>
      <c r="N260" s="237"/>
      <c r="O260" s="237"/>
      <c r="P260" s="225">
        <f t="shared" si="28"/>
        <v>0</v>
      </c>
      <c r="Q260" s="225"/>
      <c r="R260" s="145">
        <f t="shared" si="31"/>
        <v>0</v>
      </c>
      <c r="S260" s="147"/>
      <c r="T260" s="148"/>
    </row>
    <row r="261" spans="1:20" ht="20.25" hidden="1" customHeight="1">
      <c r="A261" s="143"/>
      <c r="B261" s="144" t="s">
        <v>240</v>
      </c>
      <c r="C261" s="144"/>
      <c r="D261" s="144"/>
      <c r="E261" s="164"/>
      <c r="F261" s="223"/>
      <c r="G261" s="224"/>
      <c r="H261" s="223"/>
      <c r="I261" s="224"/>
      <c r="J261" s="223"/>
      <c r="K261" s="224"/>
      <c r="L261" s="237"/>
      <c r="M261" s="237"/>
      <c r="N261" s="237"/>
      <c r="O261" s="237"/>
      <c r="P261" s="225">
        <f t="shared" si="28"/>
        <v>0</v>
      </c>
      <c r="Q261" s="225"/>
      <c r="R261" s="145">
        <f t="shared" si="31"/>
        <v>0</v>
      </c>
      <c r="S261" s="147"/>
      <c r="T261" s="148"/>
    </row>
    <row r="262" spans="1:20" ht="20.25" hidden="1" customHeight="1">
      <c r="A262" s="143"/>
      <c r="B262" s="144" t="s">
        <v>240</v>
      </c>
      <c r="C262" s="144"/>
      <c r="D262" s="144"/>
      <c r="E262" s="164"/>
      <c r="F262" s="223"/>
      <c r="G262" s="224"/>
      <c r="H262" s="223"/>
      <c r="I262" s="224"/>
      <c r="J262" s="223"/>
      <c r="K262" s="224"/>
      <c r="L262" s="237"/>
      <c r="M262" s="237"/>
      <c r="N262" s="237"/>
      <c r="O262" s="237"/>
      <c r="P262" s="225">
        <f t="shared" si="28"/>
        <v>0</v>
      </c>
      <c r="Q262" s="225"/>
      <c r="R262" s="145">
        <f t="shared" si="31"/>
        <v>0</v>
      </c>
      <c r="S262" s="147"/>
      <c r="T262" s="148"/>
    </row>
    <row r="263" spans="1:20" ht="20.25" hidden="1" customHeight="1">
      <c r="A263" s="143"/>
      <c r="B263" s="144" t="s">
        <v>241</v>
      </c>
      <c r="C263" s="144"/>
      <c r="D263" s="144"/>
      <c r="E263" s="164"/>
      <c r="F263" s="223"/>
      <c r="G263" s="224"/>
      <c r="H263" s="223"/>
      <c r="I263" s="224"/>
      <c r="J263" s="223"/>
      <c r="K263" s="224"/>
      <c r="L263" s="237"/>
      <c r="M263" s="237"/>
      <c r="N263" s="237"/>
      <c r="O263" s="237"/>
      <c r="P263" s="225">
        <f t="shared" si="28"/>
        <v>0</v>
      </c>
      <c r="Q263" s="225"/>
      <c r="R263" s="145">
        <f t="shared" si="31"/>
        <v>0</v>
      </c>
      <c r="S263" s="147"/>
      <c r="T263" s="148"/>
    </row>
    <row r="264" spans="1:20" ht="20.25" hidden="1" customHeight="1">
      <c r="A264" s="143"/>
      <c r="B264" s="144" t="s">
        <v>241</v>
      </c>
      <c r="C264" s="144"/>
      <c r="D264" s="144"/>
      <c r="E264" s="164"/>
      <c r="F264" s="223"/>
      <c r="G264" s="224"/>
      <c r="H264" s="223"/>
      <c r="I264" s="224"/>
      <c r="J264" s="223"/>
      <c r="K264" s="224"/>
      <c r="L264" s="237"/>
      <c r="M264" s="237"/>
      <c r="N264" s="237"/>
      <c r="O264" s="237"/>
      <c r="P264" s="225">
        <f t="shared" si="28"/>
        <v>0</v>
      </c>
      <c r="Q264" s="225"/>
      <c r="R264" s="145">
        <f t="shared" si="31"/>
        <v>0</v>
      </c>
      <c r="S264" s="147"/>
      <c r="T264" s="148"/>
    </row>
    <row r="265" spans="1:20" ht="20.25" hidden="1" customHeight="1">
      <c r="A265" s="143"/>
      <c r="B265" s="144" t="s">
        <v>241</v>
      </c>
      <c r="C265" s="144"/>
      <c r="D265" s="144"/>
      <c r="E265" s="164"/>
      <c r="F265" s="223"/>
      <c r="G265" s="224"/>
      <c r="H265" s="223"/>
      <c r="I265" s="224"/>
      <c r="J265" s="223"/>
      <c r="K265" s="224"/>
      <c r="L265" s="237"/>
      <c r="M265" s="237"/>
      <c r="N265" s="237"/>
      <c r="O265" s="237"/>
      <c r="P265" s="225">
        <f t="shared" si="28"/>
        <v>0</v>
      </c>
      <c r="Q265" s="225"/>
      <c r="R265" s="145">
        <f t="shared" si="31"/>
        <v>0</v>
      </c>
      <c r="S265" s="147"/>
      <c r="T265" s="148"/>
    </row>
    <row r="266" spans="1:20" ht="20.25" hidden="1" customHeight="1">
      <c r="A266" s="143"/>
      <c r="B266" s="144" t="s">
        <v>240</v>
      </c>
      <c r="C266" s="144"/>
      <c r="D266" s="144"/>
      <c r="E266" s="164"/>
      <c r="F266" s="223"/>
      <c r="G266" s="224"/>
      <c r="H266" s="223"/>
      <c r="I266" s="224"/>
      <c r="J266" s="223"/>
      <c r="K266" s="224"/>
      <c r="L266" s="237"/>
      <c r="M266" s="237"/>
      <c r="N266" s="237"/>
      <c r="O266" s="237"/>
      <c r="P266" s="225">
        <f t="shared" si="28"/>
        <v>0</v>
      </c>
      <c r="Q266" s="225"/>
      <c r="R266" s="145">
        <f t="shared" si="31"/>
        <v>0</v>
      </c>
      <c r="S266" s="147"/>
      <c r="T266" s="148"/>
    </row>
    <row r="267" spans="1:20" ht="20.25" hidden="1" customHeight="1">
      <c r="A267" s="143"/>
      <c r="B267" s="144" t="s">
        <v>241</v>
      </c>
      <c r="C267" s="144"/>
      <c r="D267" s="144"/>
      <c r="E267" s="164"/>
      <c r="F267" s="223"/>
      <c r="G267" s="224"/>
      <c r="H267" s="223"/>
      <c r="I267" s="224"/>
      <c r="J267" s="223"/>
      <c r="K267" s="224"/>
      <c r="L267" s="237"/>
      <c r="M267" s="237"/>
      <c r="N267" s="237"/>
      <c r="O267" s="237"/>
      <c r="P267" s="225">
        <f t="shared" si="28"/>
        <v>0</v>
      </c>
      <c r="Q267" s="225"/>
      <c r="R267" s="145">
        <f t="shared" si="31"/>
        <v>0</v>
      </c>
      <c r="S267" s="147"/>
      <c r="T267" s="148"/>
    </row>
    <row r="268" spans="1:20" ht="20.25" hidden="1" customHeight="1">
      <c r="A268" s="143"/>
      <c r="B268" s="144" t="s">
        <v>241</v>
      </c>
      <c r="C268" s="144"/>
      <c r="D268" s="144"/>
      <c r="E268" s="164"/>
      <c r="F268" s="223"/>
      <c r="G268" s="224"/>
      <c r="H268" s="223"/>
      <c r="I268" s="224"/>
      <c r="J268" s="223"/>
      <c r="K268" s="224"/>
      <c r="L268" s="237"/>
      <c r="M268" s="237"/>
      <c r="N268" s="237"/>
      <c r="O268" s="237"/>
      <c r="P268" s="225">
        <f t="shared" si="28"/>
        <v>0</v>
      </c>
      <c r="Q268" s="225"/>
      <c r="R268" s="145">
        <f t="shared" si="31"/>
        <v>0</v>
      </c>
      <c r="S268" s="147"/>
      <c r="T268" s="148"/>
    </row>
    <row r="269" spans="1:20" ht="20.25" hidden="1" customHeight="1">
      <c r="A269" s="143"/>
      <c r="B269" s="144" t="s">
        <v>241</v>
      </c>
      <c r="C269" s="144"/>
      <c r="D269" s="144"/>
      <c r="E269" s="164"/>
      <c r="F269" s="223"/>
      <c r="G269" s="224"/>
      <c r="H269" s="223"/>
      <c r="I269" s="224"/>
      <c r="J269" s="223"/>
      <c r="K269" s="224"/>
      <c r="L269" s="237"/>
      <c r="M269" s="237"/>
      <c r="N269" s="237"/>
      <c r="O269" s="237"/>
      <c r="P269" s="225">
        <f t="shared" si="28"/>
        <v>0</v>
      </c>
      <c r="Q269" s="225"/>
      <c r="R269" s="145">
        <f t="shared" si="31"/>
        <v>0</v>
      </c>
      <c r="S269" s="147"/>
      <c r="T269" s="148"/>
    </row>
    <row r="270" spans="1:20" ht="20.25" hidden="1" customHeight="1">
      <c r="A270" s="143"/>
      <c r="B270" s="144" t="s">
        <v>240</v>
      </c>
      <c r="C270" s="144"/>
      <c r="D270" s="144"/>
      <c r="E270" s="164"/>
      <c r="F270" s="223"/>
      <c r="G270" s="224"/>
      <c r="H270" s="223"/>
      <c r="I270" s="224"/>
      <c r="J270" s="223"/>
      <c r="K270" s="224"/>
      <c r="L270" s="237"/>
      <c r="M270" s="237"/>
      <c r="N270" s="237"/>
      <c r="O270" s="237"/>
      <c r="P270" s="225">
        <f t="shared" si="28"/>
        <v>0</v>
      </c>
      <c r="Q270" s="225"/>
      <c r="R270" s="145">
        <f t="shared" si="31"/>
        <v>0</v>
      </c>
      <c r="S270" s="147"/>
      <c r="T270" s="148"/>
    </row>
    <row r="271" spans="1:20" ht="20.25" hidden="1" customHeight="1">
      <c r="A271" s="143"/>
      <c r="B271" s="144" t="s">
        <v>241</v>
      </c>
      <c r="C271" s="144"/>
      <c r="D271" s="144"/>
      <c r="E271" s="164"/>
      <c r="F271" s="223"/>
      <c r="G271" s="224"/>
      <c r="H271" s="223"/>
      <c r="I271" s="224"/>
      <c r="J271" s="223"/>
      <c r="K271" s="224"/>
      <c r="L271" s="237"/>
      <c r="M271" s="237"/>
      <c r="N271" s="237"/>
      <c r="O271" s="237"/>
      <c r="P271" s="225">
        <f t="shared" si="28"/>
        <v>0</v>
      </c>
      <c r="Q271" s="225"/>
      <c r="R271" s="145">
        <f t="shared" si="31"/>
        <v>0</v>
      </c>
      <c r="S271" s="147"/>
      <c r="T271" s="148"/>
    </row>
    <row r="272" spans="1:20" ht="20.25" hidden="1" customHeight="1">
      <c r="A272" s="143"/>
      <c r="B272" s="144" t="s">
        <v>241</v>
      </c>
      <c r="C272" s="144"/>
      <c r="D272" s="144"/>
      <c r="E272" s="164"/>
      <c r="F272" s="223"/>
      <c r="G272" s="224"/>
      <c r="H272" s="223"/>
      <c r="I272" s="224"/>
      <c r="J272" s="223"/>
      <c r="K272" s="224"/>
      <c r="L272" s="237"/>
      <c r="M272" s="237"/>
      <c r="N272" s="237"/>
      <c r="O272" s="237"/>
      <c r="P272" s="225">
        <f t="shared" si="28"/>
        <v>0</v>
      </c>
      <c r="Q272" s="225"/>
      <c r="R272" s="145">
        <f t="shared" si="31"/>
        <v>0</v>
      </c>
      <c r="S272" s="147"/>
      <c r="T272" s="148"/>
    </row>
    <row r="273" spans="1:20" ht="20.25" hidden="1" customHeight="1">
      <c r="A273" s="143"/>
      <c r="B273" s="144" t="s">
        <v>241</v>
      </c>
      <c r="C273" s="144"/>
      <c r="D273" s="144"/>
      <c r="E273" s="164"/>
      <c r="F273" s="223"/>
      <c r="G273" s="224"/>
      <c r="H273" s="223"/>
      <c r="I273" s="224"/>
      <c r="J273" s="223"/>
      <c r="K273" s="224"/>
      <c r="L273" s="237"/>
      <c r="M273" s="237"/>
      <c r="N273" s="237"/>
      <c r="O273" s="237"/>
      <c r="P273" s="225">
        <f t="shared" si="28"/>
        <v>0</v>
      </c>
      <c r="Q273" s="225"/>
      <c r="R273" s="145">
        <f t="shared" si="31"/>
        <v>0</v>
      </c>
      <c r="S273" s="147"/>
      <c r="T273" s="148"/>
    </row>
    <row r="274" spans="1:20" ht="20.25" hidden="1" customHeight="1">
      <c r="A274" s="143"/>
      <c r="B274" s="144" t="s">
        <v>240</v>
      </c>
      <c r="C274" s="144"/>
      <c r="D274" s="144"/>
      <c r="E274" s="164"/>
      <c r="F274" s="223"/>
      <c r="G274" s="224"/>
      <c r="H274" s="223"/>
      <c r="I274" s="224"/>
      <c r="J274" s="223"/>
      <c r="K274" s="224"/>
      <c r="L274" s="237"/>
      <c r="M274" s="237"/>
      <c r="N274" s="237"/>
      <c r="O274" s="237"/>
      <c r="P274" s="225">
        <f t="shared" si="28"/>
        <v>0</v>
      </c>
      <c r="Q274" s="225"/>
      <c r="R274" s="145">
        <f t="shared" si="31"/>
        <v>0</v>
      </c>
      <c r="S274" s="147"/>
      <c r="T274" s="148"/>
    </row>
    <row r="275" spans="1:20" ht="20.25" hidden="1" customHeight="1">
      <c r="A275" s="143"/>
      <c r="B275" s="144" t="s">
        <v>241</v>
      </c>
      <c r="C275" s="144"/>
      <c r="D275" s="144"/>
      <c r="E275" s="164"/>
      <c r="F275" s="223"/>
      <c r="G275" s="224"/>
      <c r="H275" s="223"/>
      <c r="I275" s="224"/>
      <c r="J275" s="223"/>
      <c r="K275" s="224"/>
      <c r="L275" s="237"/>
      <c r="M275" s="237"/>
      <c r="N275" s="237"/>
      <c r="O275" s="237"/>
      <c r="P275" s="225">
        <f t="shared" si="28"/>
        <v>0</v>
      </c>
      <c r="Q275" s="225"/>
      <c r="R275" s="145">
        <f t="shared" si="31"/>
        <v>0</v>
      </c>
      <c r="S275" s="147"/>
      <c r="T275" s="148"/>
    </row>
    <row r="276" spans="1:20" ht="20.25" hidden="1" customHeight="1">
      <c r="A276" s="143"/>
      <c r="B276" s="144" t="s">
        <v>241</v>
      </c>
      <c r="C276" s="144"/>
      <c r="D276" s="144"/>
      <c r="E276" s="164"/>
      <c r="F276" s="223"/>
      <c r="G276" s="224"/>
      <c r="H276" s="223"/>
      <c r="I276" s="224"/>
      <c r="J276" s="223"/>
      <c r="K276" s="224"/>
      <c r="L276" s="237"/>
      <c r="M276" s="237"/>
      <c r="N276" s="237"/>
      <c r="O276" s="237"/>
      <c r="P276" s="225">
        <f t="shared" si="28"/>
        <v>0</v>
      </c>
      <c r="Q276" s="225"/>
      <c r="R276" s="145">
        <f t="shared" si="31"/>
        <v>0</v>
      </c>
      <c r="S276" s="147"/>
      <c r="T276" s="148"/>
    </row>
    <row r="277" spans="1:20" ht="20.25" hidden="1" customHeight="1">
      <c r="A277" s="143"/>
      <c r="B277" s="144" t="s">
        <v>241</v>
      </c>
      <c r="C277" s="144"/>
      <c r="D277" s="144"/>
      <c r="E277" s="164"/>
      <c r="F277" s="223"/>
      <c r="G277" s="224"/>
      <c r="H277" s="223"/>
      <c r="I277" s="224"/>
      <c r="J277" s="223"/>
      <c r="K277" s="224"/>
      <c r="L277" s="237"/>
      <c r="M277" s="237"/>
      <c r="N277" s="237"/>
      <c r="O277" s="237"/>
      <c r="P277" s="225">
        <f t="shared" si="28"/>
        <v>0</v>
      </c>
      <c r="Q277" s="225"/>
      <c r="R277" s="145">
        <f t="shared" si="31"/>
        <v>0</v>
      </c>
      <c r="S277" s="147"/>
      <c r="T277" s="148"/>
    </row>
    <row r="278" spans="1:20" ht="20.25" hidden="1" customHeight="1">
      <c r="A278" s="143"/>
      <c r="B278" s="144" t="s">
        <v>240</v>
      </c>
      <c r="C278" s="144"/>
      <c r="D278" s="144"/>
      <c r="E278" s="164"/>
      <c r="F278" s="223"/>
      <c r="G278" s="224"/>
      <c r="H278" s="223"/>
      <c r="I278" s="224"/>
      <c r="J278" s="223"/>
      <c r="K278" s="224"/>
      <c r="L278" s="237"/>
      <c r="M278" s="237"/>
      <c r="N278" s="237"/>
      <c r="O278" s="237"/>
      <c r="P278" s="225">
        <f t="shared" si="28"/>
        <v>0</v>
      </c>
      <c r="Q278" s="225"/>
      <c r="R278" s="145">
        <f t="shared" si="31"/>
        <v>0</v>
      </c>
      <c r="S278" s="147"/>
      <c r="T278" s="148"/>
    </row>
    <row r="279" spans="1:20" ht="20.25" hidden="1" customHeight="1">
      <c r="A279" s="143"/>
      <c r="B279" s="144" t="s">
        <v>241</v>
      </c>
      <c r="C279" s="144"/>
      <c r="D279" s="144"/>
      <c r="E279" s="164"/>
      <c r="F279" s="223"/>
      <c r="G279" s="224"/>
      <c r="H279" s="223"/>
      <c r="I279" s="224"/>
      <c r="J279" s="223"/>
      <c r="K279" s="224"/>
      <c r="L279" s="237"/>
      <c r="M279" s="237"/>
      <c r="N279" s="237"/>
      <c r="O279" s="237"/>
      <c r="P279" s="225">
        <f t="shared" si="28"/>
        <v>0</v>
      </c>
      <c r="Q279" s="225"/>
      <c r="R279" s="145">
        <f t="shared" si="31"/>
        <v>0</v>
      </c>
      <c r="S279" s="147"/>
      <c r="T279" s="148"/>
    </row>
    <row r="280" spans="1:20" ht="20.25" hidden="1" customHeight="1">
      <c r="A280" s="143"/>
      <c r="B280" s="144" t="s">
        <v>241</v>
      </c>
      <c r="C280" s="144"/>
      <c r="D280" s="144"/>
      <c r="E280" s="164"/>
      <c r="F280" s="223"/>
      <c r="G280" s="224"/>
      <c r="H280" s="223"/>
      <c r="I280" s="224"/>
      <c r="J280" s="223"/>
      <c r="K280" s="224"/>
      <c r="L280" s="237"/>
      <c r="M280" s="237"/>
      <c r="N280" s="237"/>
      <c r="O280" s="237"/>
      <c r="P280" s="225">
        <f t="shared" si="28"/>
        <v>0</v>
      </c>
      <c r="Q280" s="225"/>
      <c r="R280" s="145">
        <f t="shared" si="31"/>
        <v>0</v>
      </c>
      <c r="S280" s="147"/>
      <c r="T280" s="148"/>
    </row>
    <row r="281" spans="1:20" ht="20.25" hidden="1" customHeight="1">
      <c r="A281" s="143"/>
      <c r="B281" s="144" t="s">
        <v>241</v>
      </c>
      <c r="C281" s="144"/>
      <c r="D281" s="144"/>
      <c r="E281" s="164"/>
      <c r="F281" s="223"/>
      <c r="G281" s="224"/>
      <c r="H281" s="223"/>
      <c r="I281" s="224"/>
      <c r="J281" s="223"/>
      <c r="K281" s="224"/>
      <c r="L281" s="237"/>
      <c r="M281" s="237"/>
      <c r="N281" s="237"/>
      <c r="O281" s="237"/>
      <c r="P281" s="225">
        <f t="shared" si="28"/>
        <v>0</v>
      </c>
      <c r="Q281" s="225"/>
      <c r="R281" s="145">
        <f t="shared" si="31"/>
        <v>0</v>
      </c>
      <c r="S281" s="147"/>
      <c r="T281" s="148"/>
    </row>
    <row r="282" spans="1:20" ht="20.25" hidden="1" customHeight="1">
      <c r="A282" s="143"/>
      <c r="B282" s="144" t="s">
        <v>240</v>
      </c>
      <c r="C282" s="144"/>
      <c r="D282" s="144"/>
      <c r="E282" s="164"/>
      <c r="F282" s="223"/>
      <c r="G282" s="224"/>
      <c r="H282" s="223"/>
      <c r="I282" s="224"/>
      <c r="J282" s="223"/>
      <c r="K282" s="224"/>
      <c r="L282" s="237"/>
      <c r="M282" s="237"/>
      <c r="N282" s="237"/>
      <c r="O282" s="237"/>
      <c r="P282" s="225">
        <f t="shared" si="28"/>
        <v>0</v>
      </c>
      <c r="Q282" s="225"/>
      <c r="R282" s="145">
        <f t="shared" si="31"/>
        <v>0</v>
      </c>
      <c r="S282" s="147"/>
      <c r="T282" s="148"/>
    </row>
    <row r="283" spans="1:20" ht="20.25" hidden="1" customHeight="1">
      <c r="A283" s="143"/>
      <c r="B283" s="144" t="s">
        <v>240</v>
      </c>
      <c r="C283" s="144"/>
      <c r="D283" s="144"/>
      <c r="E283" s="164"/>
      <c r="F283" s="223"/>
      <c r="G283" s="224"/>
      <c r="H283" s="223"/>
      <c r="I283" s="224"/>
      <c r="J283" s="223"/>
      <c r="K283" s="224"/>
      <c r="L283" s="237"/>
      <c r="M283" s="237"/>
      <c r="N283" s="237"/>
      <c r="O283" s="237"/>
      <c r="P283" s="225">
        <f t="shared" si="28"/>
        <v>0</v>
      </c>
      <c r="Q283" s="225"/>
      <c r="R283" s="145">
        <f t="shared" si="31"/>
        <v>0</v>
      </c>
      <c r="S283" s="147"/>
      <c r="T283" s="148"/>
    </row>
    <row r="284" spans="1:20" ht="20.25" hidden="1" customHeight="1">
      <c r="A284" s="143"/>
      <c r="B284" s="144" t="s">
        <v>241</v>
      </c>
      <c r="C284" s="144"/>
      <c r="D284" s="144"/>
      <c r="E284" s="164"/>
      <c r="F284" s="223"/>
      <c r="G284" s="224"/>
      <c r="H284" s="223"/>
      <c r="I284" s="224"/>
      <c r="J284" s="223"/>
      <c r="K284" s="224"/>
      <c r="L284" s="237"/>
      <c r="M284" s="237"/>
      <c r="N284" s="237"/>
      <c r="O284" s="237"/>
      <c r="P284" s="225">
        <f t="shared" si="28"/>
        <v>0</v>
      </c>
      <c r="Q284" s="225"/>
      <c r="R284" s="145">
        <f t="shared" si="31"/>
        <v>0</v>
      </c>
      <c r="S284" s="147"/>
      <c r="T284" s="148"/>
    </row>
    <row r="285" spans="1:20" ht="20.25" hidden="1" customHeight="1">
      <c r="A285" s="143"/>
      <c r="B285" s="144" t="s">
        <v>241</v>
      </c>
      <c r="C285" s="144"/>
      <c r="D285" s="144"/>
      <c r="E285" s="164"/>
      <c r="F285" s="223"/>
      <c r="G285" s="224"/>
      <c r="H285" s="223"/>
      <c r="I285" s="224"/>
      <c r="J285" s="223"/>
      <c r="K285" s="224"/>
      <c r="L285" s="237"/>
      <c r="M285" s="237"/>
      <c r="N285" s="237"/>
      <c r="O285" s="237"/>
      <c r="P285" s="225">
        <f t="shared" si="28"/>
        <v>0</v>
      </c>
      <c r="Q285" s="225"/>
      <c r="R285" s="145">
        <f t="shared" si="31"/>
        <v>0</v>
      </c>
      <c r="S285" s="147"/>
      <c r="T285" s="148"/>
    </row>
    <row r="286" spans="1:20" ht="20.25" hidden="1" customHeight="1">
      <c r="A286" s="143"/>
      <c r="B286" s="144" t="s">
        <v>241</v>
      </c>
      <c r="C286" s="144"/>
      <c r="D286" s="144"/>
      <c r="E286" s="164"/>
      <c r="F286" s="223"/>
      <c r="G286" s="224"/>
      <c r="H286" s="223"/>
      <c r="I286" s="224"/>
      <c r="J286" s="223"/>
      <c r="K286" s="224"/>
      <c r="L286" s="237"/>
      <c r="M286" s="237"/>
      <c r="N286" s="237"/>
      <c r="O286" s="237"/>
      <c r="P286" s="225">
        <f t="shared" si="28"/>
        <v>0</v>
      </c>
      <c r="Q286" s="225"/>
      <c r="R286" s="145">
        <f t="shared" si="31"/>
        <v>0</v>
      </c>
      <c r="S286" s="147"/>
      <c r="T286" s="148"/>
    </row>
    <row r="287" spans="1:20" ht="20.25" hidden="1" customHeight="1">
      <c r="A287" s="143"/>
      <c r="B287" s="144" t="s">
        <v>240</v>
      </c>
      <c r="C287" s="144"/>
      <c r="D287" s="144"/>
      <c r="E287" s="164"/>
      <c r="F287" s="223"/>
      <c r="G287" s="224"/>
      <c r="H287" s="223"/>
      <c r="I287" s="224"/>
      <c r="J287" s="223"/>
      <c r="K287" s="224"/>
      <c r="L287" s="237"/>
      <c r="M287" s="237"/>
      <c r="N287" s="237"/>
      <c r="O287" s="237"/>
      <c r="P287" s="225">
        <f t="shared" si="28"/>
        <v>0</v>
      </c>
      <c r="Q287" s="225"/>
      <c r="R287" s="145">
        <f t="shared" si="31"/>
        <v>0</v>
      </c>
      <c r="S287" s="147"/>
      <c r="T287" s="148"/>
    </row>
    <row r="288" spans="1:20" ht="20.25" hidden="1" customHeight="1">
      <c r="A288" s="143"/>
      <c r="B288" s="144" t="s">
        <v>241</v>
      </c>
      <c r="C288" s="144"/>
      <c r="D288" s="144"/>
      <c r="E288" s="164"/>
      <c r="F288" s="223"/>
      <c r="G288" s="224"/>
      <c r="H288" s="223"/>
      <c r="I288" s="224"/>
      <c r="J288" s="223"/>
      <c r="K288" s="224"/>
      <c r="L288" s="237"/>
      <c r="M288" s="237"/>
      <c r="N288" s="237"/>
      <c r="O288" s="237"/>
      <c r="P288" s="225">
        <f t="shared" si="28"/>
        <v>0</v>
      </c>
      <c r="Q288" s="225"/>
      <c r="R288" s="145">
        <f t="shared" si="31"/>
        <v>0</v>
      </c>
      <c r="S288" s="147"/>
      <c r="T288" s="148"/>
    </row>
    <row r="289" spans="1:20" ht="20.25" hidden="1" customHeight="1">
      <c r="A289" s="143"/>
      <c r="B289" s="144" t="s">
        <v>241</v>
      </c>
      <c r="C289" s="144"/>
      <c r="D289" s="144"/>
      <c r="E289" s="164"/>
      <c r="F289" s="223"/>
      <c r="G289" s="224"/>
      <c r="H289" s="223"/>
      <c r="I289" s="224"/>
      <c r="J289" s="223"/>
      <c r="K289" s="224"/>
      <c r="L289" s="237"/>
      <c r="M289" s="237"/>
      <c r="N289" s="237"/>
      <c r="O289" s="237"/>
      <c r="P289" s="225">
        <f t="shared" si="28"/>
        <v>0</v>
      </c>
      <c r="Q289" s="225"/>
      <c r="R289" s="145">
        <f t="shared" si="31"/>
        <v>0</v>
      </c>
      <c r="S289" s="147"/>
      <c r="T289" s="148"/>
    </row>
    <row r="290" spans="1:20" ht="20.25" customHeight="1" thickBot="1">
      <c r="A290" s="149"/>
      <c r="B290" s="150"/>
      <c r="C290" s="151"/>
      <c r="D290" s="151"/>
      <c r="E290" s="151"/>
      <c r="F290" s="150"/>
      <c r="G290" s="150"/>
      <c r="H290" s="150"/>
      <c r="I290" s="150"/>
      <c r="J290" s="150"/>
      <c r="K290" s="150"/>
      <c r="L290" s="152"/>
      <c r="M290" s="152"/>
      <c r="N290" s="152"/>
      <c r="O290" s="152"/>
      <c r="P290" s="152"/>
      <c r="Q290" s="152"/>
      <c r="R290" s="153"/>
      <c r="S290" s="154"/>
      <c r="T290" s="155"/>
    </row>
    <row r="291" spans="1:20" ht="15" customHeight="1" thickBot="1">
      <c r="A291" s="167"/>
      <c r="B291" s="238" t="s">
        <v>178</v>
      </c>
      <c r="C291" s="239"/>
      <c r="D291" s="239"/>
      <c r="E291" s="240"/>
      <c r="F291" s="233" t="s">
        <v>179</v>
      </c>
      <c r="G291" s="234"/>
      <c r="H291" s="234"/>
      <c r="I291" s="234"/>
      <c r="J291" s="234"/>
      <c r="K291" s="234"/>
      <c r="L291" s="234"/>
      <c r="M291" s="234"/>
      <c r="N291" s="235"/>
      <c r="O291" s="236" t="s">
        <v>180</v>
      </c>
      <c r="P291" s="234"/>
      <c r="Q291" s="234"/>
      <c r="R291" s="234"/>
      <c r="S291" s="234"/>
      <c r="T291" s="235"/>
    </row>
    <row r="292" spans="1:20" ht="13.2">
      <c r="A292" s="168" t="s">
        <v>181</v>
      </c>
      <c r="B292" s="241"/>
      <c r="C292" s="242"/>
      <c r="D292" s="242"/>
      <c r="E292" s="243"/>
      <c r="F292" s="226"/>
      <c r="G292" s="227"/>
      <c r="H292" s="227"/>
      <c r="I292" s="227"/>
      <c r="J292" s="227"/>
      <c r="K292" s="227"/>
      <c r="L292" s="227"/>
      <c r="M292" s="227"/>
      <c r="N292" s="228"/>
      <c r="O292" s="229" t="str">
        <f>Informe!W99</f>
        <v>Alejando Rivera</v>
      </c>
      <c r="P292" s="227"/>
      <c r="Q292" s="227"/>
      <c r="R292" s="227"/>
      <c r="S292" s="227"/>
      <c r="T292" s="228"/>
    </row>
    <row r="293" spans="1:20" ht="13.2">
      <c r="A293" s="169" t="s">
        <v>183</v>
      </c>
      <c r="B293" s="244" t="str">
        <f>Informe!D100</f>
        <v>Ingeniero Junior</v>
      </c>
      <c r="C293" s="245"/>
      <c r="D293" s="245"/>
      <c r="E293" s="246"/>
      <c r="F293" s="226" t="str">
        <f>Informe!O100</f>
        <v>Ingeniero Residente</v>
      </c>
      <c r="G293" s="227"/>
      <c r="H293" s="227"/>
      <c r="I293" s="227"/>
      <c r="J293" s="227"/>
      <c r="K293" s="227"/>
      <c r="L293" s="227"/>
      <c r="M293" s="227"/>
      <c r="N293" s="228"/>
      <c r="O293" s="229" t="str">
        <f>Informe!W100</f>
        <v>Coordinador de Proyectos</v>
      </c>
      <c r="P293" s="227"/>
      <c r="Q293" s="227"/>
      <c r="R293" s="227"/>
      <c r="S293" s="227"/>
      <c r="T293" s="228"/>
    </row>
    <row r="294" spans="1:20" ht="15.75" customHeight="1" thickBot="1">
      <c r="A294" s="170" t="s">
        <v>187</v>
      </c>
      <c r="B294" s="247" t="str">
        <f>Informe!D101</f>
        <v>Protección Catódica de Colombia SAS</v>
      </c>
      <c r="C294" s="248"/>
      <c r="D294" s="248"/>
      <c r="E294" s="249"/>
      <c r="F294" s="230" t="str">
        <f>Informe!O101</f>
        <v>Protección Catódica de Colombia SAS</v>
      </c>
      <c r="G294" s="231"/>
      <c r="H294" s="231"/>
      <c r="I294" s="231"/>
      <c r="J294" s="231"/>
      <c r="K294" s="231"/>
      <c r="L294" s="231"/>
      <c r="M294" s="231"/>
      <c r="N294" s="232"/>
      <c r="O294" s="229" t="str">
        <f>Informe!W101</f>
        <v>Protección Catódica de Colombia SAS</v>
      </c>
      <c r="P294" s="227"/>
      <c r="Q294" s="227"/>
      <c r="R294" s="227"/>
      <c r="S294" s="227"/>
      <c r="T294" s="228"/>
    </row>
  </sheetData>
  <autoFilter ref="A8:W289" xr:uid="{C4191ABE-17E1-40EC-8D75-AF287E5EB976}">
    <filterColumn colId="11" showButton="0"/>
    <filterColumn colId="13" showButton="0"/>
    <filterColumn colId="15" showButton="0"/>
  </autoFilter>
  <mergeCells count="1731">
    <mergeCell ref="J144:K144"/>
    <mergeCell ref="P144:Q144"/>
    <mergeCell ref="F145:G145"/>
    <mergeCell ref="H145:I145"/>
    <mergeCell ref="J145:K145"/>
    <mergeCell ref="P145:Q145"/>
    <mergeCell ref="F130:G130"/>
    <mergeCell ref="H130:I130"/>
    <mergeCell ref="J130:K130"/>
    <mergeCell ref="P130:Q130"/>
    <mergeCell ref="F131:G131"/>
    <mergeCell ref="H131:I131"/>
    <mergeCell ref="J131:K131"/>
    <mergeCell ref="P131:Q131"/>
    <mergeCell ref="F132:G132"/>
    <mergeCell ref="H132:I132"/>
    <mergeCell ref="J132:K132"/>
    <mergeCell ref="P132:Q132"/>
    <mergeCell ref="F134:G134"/>
    <mergeCell ref="H134:I134"/>
    <mergeCell ref="J134:K134"/>
    <mergeCell ref="P134:Q134"/>
    <mergeCell ref="F142:G142"/>
    <mergeCell ref="H142:I142"/>
    <mergeCell ref="J142:K142"/>
    <mergeCell ref="P142:Q142"/>
    <mergeCell ref="L130:M130"/>
    <mergeCell ref="N130:O130"/>
    <mergeCell ref="L131:M131"/>
    <mergeCell ref="N131:O131"/>
    <mergeCell ref="L132:M132"/>
    <mergeCell ref="N132:O132"/>
    <mergeCell ref="F125:G125"/>
    <mergeCell ref="H125:I125"/>
    <mergeCell ref="J125:K125"/>
    <mergeCell ref="P125:Q125"/>
    <mergeCell ref="F126:G126"/>
    <mergeCell ref="H126:I126"/>
    <mergeCell ref="J126:K126"/>
    <mergeCell ref="P126:Q126"/>
    <mergeCell ref="F127:G127"/>
    <mergeCell ref="H127:I127"/>
    <mergeCell ref="J127:K127"/>
    <mergeCell ref="P127:Q127"/>
    <mergeCell ref="F128:G128"/>
    <mergeCell ref="H128:I128"/>
    <mergeCell ref="J128:K128"/>
    <mergeCell ref="P128:Q128"/>
    <mergeCell ref="F129:G129"/>
    <mergeCell ref="H129:I129"/>
    <mergeCell ref="J129:K129"/>
    <mergeCell ref="P129:Q129"/>
    <mergeCell ref="L125:M125"/>
    <mergeCell ref="N125:O125"/>
    <mergeCell ref="L126:M126"/>
    <mergeCell ref="N126:O126"/>
    <mergeCell ref="L127:M127"/>
    <mergeCell ref="N127:O127"/>
    <mergeCell ref="L128:M128"/>
    <mergeCell ref="N128:O128"/>
    <mergeCell ref="L129:M129"/>
    <mergeCell ref="N129:O129"/>
    <mergeCell ref="F120:G120"/>
    <mergeCell ref="H120:I120"/>
    <mergeCell ref="J120:K120"/>
    <mergeCell ref="P120:Q120"/>
    <mergeCell ref="F121:G121"/>
    <mergeCell ref="H121:I121"/>
    <mergeCell ref="J121:K121"/>
    <mergeCell ref="P121:Q121"/>
    <mergeCell ref="F122:G122"/>
    <mergeCell ref="H122:I122"/>
    <mergeCell ref="J122:K122"/>
    <mergeCell ref="P122:Q122"/>
    <mergeCell ref="F123:G123"/>
    <mergeCell ref="H123:I123"/>
    <mergeCell ref="J123:K123"/>
    <mergeCell ref="P123:Q123"/>
    <mergeCell ref="F124:G124"/>
    <mergeCell ref="H124:I124"/>
    <mergeCell ref="J124:K124"/>
    <mergeCell ref="P124:Q124"/>
    <mergeCell ref="L120:M120"/>
    <mergeCell ref="N120:O120"/>
    <mergeCell ref="L121:M121"/>
    <mergeCell ref="N121:O121"/>
    <mergeCell ref="L122:M122"/>
    <mergeCell ref="N122:O122"/>
    <mergeCell ref="L123:M123"/>
    <mergeCell ref="N123:O123"/>
    <mergeCell ref="L124:M124"/>
    <mergeCell ref="N124:O124"/>
    <mergeCell ref="F115:G115"/>
    <mergeCell ref="H115:I115"/>
    <mergeCell ref="J115:K115"/>
    <mergeCell ref="P115:Q115"/>
    <mergeCell ref="F116:G116"/>
    <mergeCell ref="H116:I116"/>
    <mergeCell ref="J116:K116"/>
    <mergeCell ref="P116:Q116"/>
    <mergeCell ref="F117:G117"/>
    <mergeCell ref="H117:I117"/>
    <mergeCell ref="J117:K117"/>
    <mergeCell ref="P117:Q117"/>
    <mergeCell ref="F118:G118"/>
    <mergeCell ref="H118:I118"/>
    <mergeCell ref="J118:K118"/>
    <mergeCell ref="P118:Q118"/>
    <mergeCell ref="F119:G119"/>
    <mergeCell ref="H119:I119"/>
    <mergeCell ref="J119:K119"/>
    <mergeCell ref="P119:Q119"/>
    <mergeCell ref="L115:M115"/>
    <mergeCell ref="N115:O115"/>
    <mergeCell ref="L116:M116"/>
    <mergeCell ref="N116:O116"/>
    <mergeCell ref="L117:M117"/>
    <mergeCell ref="N117:O117"/>
    <mergeCell ref="L118:M118"/>
    <mergeCell ref="N118:O118"/>
    <mergeCell ref="L119:M119"/>
    <mergeCell ref="N119:O119"/>
    <mergeCell ref="F110:G110"/>
    <mergeCell ref="H110:I110"/>
    <mergeCell ref="J110:K110"/>
    <mergeCell ref="P110:Q110"/>
    <mergeCell ref="F111:G111"/>
    <mergeCell ref="H111:I111"/>
    <mergeCell ref="J111:K111"/>
    <mergeCell ref="P111:Q111"/>
    <mergeCell ref="F112:G112"/>
    <mergeCell ref="H112:I112"/>
    <mergeCell ref="J112:K112"/>
    <mergeCell ref="P112:Q112"/>
    <mergeCell ref="F113:G113"/>
    <mergeCell ref="H113:I113"/>
    <mergeCell ref="J113:K113"/>
    <mergeCell ref="P113:Q113"/>
    <mergeCell ref="F114:G114"/>
    <mergeCell ref="H114:I114"/>
    <mergeCell ref="J114:K114"/>
    <mergeCell ref="P114:Q114"/>
    <mergeCell ref="L110:M110"/>
    <mergeCell ref="N110:O110"/>
    <mergeCell ref="L111:M111"/>
    <mergeCell ref="N111:O111"/>
    <mergeCell ref="L112:M112"/>
    <mergeCell ref="N112:O112"/>
    <mergeCell ref="L113:M113"/>
    <mergeCell ref="N113:O113"/>
    <mergeCell ref="L114:M114"/>
    <mergeCell ref="N114:O114"/>
    <mergeCell ref="F105:G105"/>
    <mergeCell ref="H105:I105"/>
    <mergeCell ref="J105:K105"/>
    <mergeCell ref="P105:Q105"/>
    <mergeCell ref="F106:G106"/>
    <mergeCell ref="H106:I106"/>
    <mergeCell ref="J106:K106"/>
    <mergeCell ref="P106:Q106"/>
    <mergeCell ref="F107:G107"/>
    <mergeCell ref="H107:I107"/>
    <mergeCell ref="J107:K107"/>
    <mergeCell ref="P107:Q107"/>
    <mergeCell ref="F108:G108"/>
    <mergeCell ref="H108:I108"/>
    <mergeCell ref="J108:K108"/>
    <mergeCell ref="P108:Q108"/>
    <mergeCell ref="F109:G109"/>
    <mergeCell ref="H109:I109"/>
    <mergeCell ref="J109:K109"/>
    <mergeCell ref="P109:Q109"/>
    <mergeCell ref="L107:M107"/>
    <mergeCell ref="N107:O107"/>
    <mergeCell ref="L108:M108"/>
    <mergeCell ref="N108:O108"/>
    <mergeCell ref="L109:M109"/>
    <mergeCell ref="N109:O109"/>
    <mergeCell ref="F100:G100"/>
    <mergeCell ref="H100:I100"/>
    <mergeCell ref="J100:K100"/>
    <mergeCell ref="P100:Q100"/>
    <mergeCell ref="F101:G101"/>
    <mergeCell ref="H101:I101"/>
    <mergeCell ref="J101:K101"/>
    <mergeCell ref="P101:Q101"/>
    <mergeCell ref="F102:G102"/>
    <mergeCell ref="H102:I102"/>
    <mergeCell ref="J102:K102"/>
    <mergeCell ref="P102:Q102"/>
    <mergeCell ref="F103:G103"/>
    <mergeCell ref="H103:I103"/>
    <mergeCell ref="J103:K103"/>
    <mergeCell ref="P103:Q103"/>
    <mergeCell ref="F104:G104"/>
    <mergeCell ref="H104:I104"/>
    <mergeCell ref="J104:K104"/>
    <mergeCell ref="P104:Q104"/>
    <mergeCell ref="P95:Q95"/>
    <mergeCell ref="F96:G96"/>
    <mergeCell ref="H96:I96"/>
    <mergeCell ref="J96:K96"/>
    <mergeCell ref="P96:Q96"/>
    <mergeCell ref="F97:G97"/>
    <mergeCell ref="H97:I97"/>
    <mergeCell ref="J97:K97"/>
    <mergeCell ref="P97:Q97"/>
    <mergeCell ref="F98:G98"/>
    <mergeCell ref="H98:I98"/>
    <mergeCell ref="J98:K98"/>
    <mergeCell ref="P98:Q98"/>
    <mergeCell ref="F99:G99"/>
    <mergeCell ref="H99:I99"/>
    <mergeCell ref="J99:K99"/>
    <mergeCell ref="P99:Q99"/>
    <mergeCell ref="L95:M95"/>
    <mergeCell ref="N95:O95"/>
    <mergeCell ref="L96:M96"/>
    <mergeCell ref="N96:O96"/>
    <mergeCell ref="L97:M97"/>
    <mergeCell ref="N97:O97"/>
    <mergeCell ref="L98:M98"/>
    <mergeCell ref="N98:O98"/>
    <mergeCell ref="L99:M99"/>
    <mergeCell ref="N99:O99"/>
    <mergeCell ref="F95:G95"/>
    <mergeCell ref="H95:I95"/>
    <mergeCell ref="J95:K95"/>
    <mergeCell ref="F90:G90"/>
    <mergeCell ref="H90:I90"/>
    <mergeCell ref="J90:K90"/>
    <mergeCell ref="P90:Q90"/>
    <mergeCell ref="F91:G91"/>
    <mergeCell ref="H91:I91"/>
    <mergeCell ref="J91:K91"/>
    <mergeCell ref="P91:Q91"/>
    <mergeCell ref="F92:G92"/>
    <mergeCell ref="H92:I92"/>
    <mergeCell ref="J92:K92"/>
    <mergeCell ref="P92:Q92"/>
    <mergeCell ref="F93:G93"/>
    <mergeCell ref="H93:I93"/>
    <mergeCell ref="J93:K93"/>
    <mergeCell ref="P93:Q93"/>
    <mergeCell ref="F94:G94"/>
    <mergeCell ref="H94:I94"/>
    <mergeCell ref="J94:K94"/>
    <mergeCell ref="L90:M90"/>
    <mergeCell ref="N90:O90"/>
    <mergeCell ref="L91:M91"/>
    <mergeCell ref="N91:O91"/>
    <mergeCell ref="L92:M92"/>
    <mergeCell ref="N92:O92"/>
    <mergeCell ref="L93:M93"/>
    <mergeCell ref="N93:O93"/>
    <mergeCell ref="F85:G85"/>
    <mergeCell ref="H85:I85"/>
    <mergeCell ref="J85:K85"/>
    <mergeCell ref="P85:Q85"/>
    <mergeCell ref="F87:G87"/>
    <mergeCell ref="H87:I87"/>
    <mergeCell ref="J87:K87"/>
    <mergeCell ref="P87:Q87"/>
    <mergeCell ref="F89:G89"/>
    <mergeCell ref="H89:I89"/>
    <mergeCell ref="J89:K89"/>
    <mergeCell ref="P89:Q89"/>
    <mergeCell ref="L85:M85"/>
    <mergeCell ref="N85:O85"/>
    <mergeCell ref="L87:M87"/>
    <mergeCell ref="N87:O87"/>
    <mergeCell ref="L89:M89"/>
    <mergeCell ref="N89:O89"/>
    <mergeCell ref="F86:G86"/>
    <mergeCell ref="H86:I86"/>
    <mergeCell ref="J86:K86"/>
    <mergeCell ref="L86:M86"/>
    <mergeCell ref="N86:O86"/>
    <mergeCell ref="P86:Q86"/>
    <mergeCell ref="F88:G88"/>
    <mergeCell ref="H88:I88"/>
    <mergeCell ref="J88:K88"/>
    <mergeCell ref="L88:M88"/>
    <mergeCell ref="N88:O88"/>
    <mergeCell ref="P88:Q88"/>
    <mergeCell ref="F79:G79"/>
    <mergeCell ref="H79:I79"/>
    <mergeCell ref="J79:K79"/>
    <mergeCell ref="P79:Q79"/>
    <mergeCell ref="F81:G81"/>
    <mergeCell ref="H81:I81"/>
    <mergeCell ref="J81:K81"/>
    <mergeCell ref="P81:Q81"/>
    <mergeCell ref="F82:G82"/>
    <mergeCell ref="H82:I82"/>
    <mergeCell ref="J82:K82"/>
    <mergeCell ref="P82:Q82"/>
    <mergeCell ref="F83:G83"/>
    <mergeCell ref="H83:I83"/>
    <mergeCell ref="J83:K83"/>
    <mergeCell ref="P83:Q83"/>
    <mergeCell ref="F84:G84"/>
    <mergeCell ref="H84:I84"/>
    <mergeCell ref="J84:K84"/>
    <mergeCell ref="P84:Q84"/>
    <mergeCell ref="L81:M81"/>
    <mergeCell ref="N81:O81"/>
    <mergeCell ref="L82:M82"/>
    <mergeCell ref="N82:O82"/>
    <mergeCell ref="L83:M83"/>
    <mergeCell ref="N83:O83"/>
    <mergeCell ref="L84:M84"/>
    <mergeCell ref="N84:O84"/>
    <mergeCell ref="L79:M79"/>
    <mergeCell ref="N79:O79"/>
    <mergeCell ref="F80:G80"/>
    <mergeCell ref="H80:I80"/>
    <mergeCell ref="F76:G76"/>
    <mergeCell ref="H76:I76"/>
    <mergeCell ref="J76:K76"/>
    <mergeCell ref="P76:Q76"/>
    <mergeCell ref="F77:G77"/>
    <mergeCell ref="H77:I77"/>
    <mergeCell ref="J77:K77"/>
    <mergeCell ref="P77:Q77"/>
    <mergeCell ref="F78:G78"/>
    <mergeCell ref="H78:I78"/>
    <mergeCell ref="J78:K78"/>
    <mergeCell ref="P78:Q78"/>
    <mergeCell ref="L74:M74"/>
    <mergeCell ref="N74:O74"/>
    <mergeCell ref="L75:M75"/>
    <mergeCell ref="N75:O75"/>
    <mergeCell ref="L76:M76"/>
    <mergeCell ref="N76:O76"/>
    <mergeCell ref="L77:M77"/>
    <mergeCell ref="N77:O77"/>
    <mergeCell ref="L78:M78"/>
    <mergeCell ref="N78:O78"/>
    <mergeCell ref="J72:K72"/>
    <mergeCell ref="P72:Q72"/>
    <mergeCell ref="F73:G73"/>
    <mergeCell ref="H73:I73"/>
    <mergeCell ref="J73:K73"/>
    <mergeCell ref="P73:Q73"/>
    <mergeCell ref="L71:M71"/>
    <mergeCell ref="N71:O71"/>
    <mergeCell ref="L72:M72"/>
    <mergeCell ref="N72:O72"/>
    <mergeCell ref="L73:M73"/>
    <mergeCell ref="N73:O73"/>
    <mergeCell ref="F74:G74"/>
    <mergeCell ref="H74:I74"/>
    <mergeCell ref="J74:K74"/>
    <mergeCell ref="P74:Q74"/>
    <mergeCell ref="F75:G75"/>
    <mergeCell ref="H75:I75"/>
    <mergeCell ref="J75:K75"/>
    <mergeCell ref="P75:Q75"/>
    <mergeCell ref="L133:M133"/>
    <mergeCell ref="N133:O133"/>
    <mergeCell ref="F65:G65"/>
    <mergeCell ref="H65:I65"/>
    <mergeCell ref="J65:K65"/>
    <mergeCell ref="P65:Q65"/>
    <mergeCell ref="F66:G66"/>
    <mergeCell ref="H66:I66"/>
    <mergeCell ref="J66:K66"/>
    <mergeCell ref="P66:Q66"/>
    <mergeCell ref="F67:G67"/>
    <mergeCell ref="H67:I67"/>
    <mergeCell ref="J67:K67"/>
    <mergeCell ref="P67:Q67"/>
    <mergeCell ref="F68:G68"/>
    <mergeCell ref="H68:I68"/>
    <mergeCell ref="J68:K68"/>
    <mergeCell ref="P68:Q68"/>
    <mergeCell ref="F69:G69"/>
    <mergeCell ref="H69:I69"/>
    <mergeCell ref="J69:K69"/>
    <mergeCell ref="P69:Q69"/>
    <mergeCell ref="F70:G70"/>
    <mergeCell ref="H70:I70"/>
    <mergeCell ref="J70:K70"/>
    <mergeCell ref="P70:Q70"/>
    <mergeCell ref="F71:G71"/>
    <mergeCell ref="H71:I71"/>
    <mergeCell ref="J71:K71"/>
    <mergeCell ref="P71:Q71"/>
    <mergeCell ref="F72:G72"/>
    <mergeCell ref="H72:I72"/>
    <mergeCell ref="F203:G203"/>
    <mergeCell ref="H203:I203"/>
    <mergeCell ref="J203:K203"/>
    <mergeCell ref="F204:G204"/>
    <mergeCell ref="H204:I204"/>
    <mergeCell ref="J204:K204"/>
    <mergeCell ref="F205:G205"/>
    <mergeCell ref="H205:I205"/>
    <mergeCell ref="J205:K205"/>
    <mergeCell ref="H206:I206"/>
    <mergeCell ref="F207:G207"/>
    <mergeCell ref="H207:I207"/>
    <mergeCell ref="J207:K207"/>
    <mergeCell ref="F208:G208"/>
    <mergeCell ref="H208:I208"/>
    <mergeCell ref="J208:K208"/>
    <mergeCell ref="F209:G209"/>
    <mergeCell ref="H209:I209"/>
    <mergeCell ref="J209:K209"/>
    <mergeCell ref="F171:G171"/>
    <mergeCell ref="H171:I171"/>
    <mergeCell ref="J171:K171"/>
    <mergeCell ref="L171:M171"/>
    <mergeCell ref="N171:O171"/>
    <mergeCell ref="P171:Q171"/>
    <mergeCell ref="F172:G172"/>
    <mergeCell ref="H172:I172"/>
    <mergeCell ref="J172:K172"/>
    <mergeCell ref="L172:M172"/>
    <mergeCell ref="N172:O172"/>
    <mergeCell ref="P172:Q172"/>
    <mergeCell ref="F174:G174"/>
    <mergeCell ref="H174:I174"/>
    <mergeCell ref="J174:K174"/>
    <mergeCell ref="F168:G168"/>
    <mergeCell ref="H168:I168"/>
    <mergeCell ref="J168:K168"/>
    <mergeCell ref="L168:M168"/>
    <mergeCell ref="N168:O168"/>
    <mergeCell ref="P168:Q168"/>
    <mergeCell ref="F169:G169"/>
    <mergeCell ref="H169:I169"/>
    <mergeCell ref="J169:K169"/>
    <mergeCell ref="L169:M169"/>
    <mergeCell ref="N169:O169"/>
    <mergeCell ref="P169:Q169"/>
    <mergeCell ref="F170:G170"/>
    <mergeCell ref="H170:I170"/>
    <mergeCell ref="J170:K170"/>
    <mergeCell ref="L170:M170"/>
    <mergeCell ref="N170:O170"/>
    <mergeCell ref="F164:G164"/>
    <mergeCell ref="H164:I164"/>
    <mergeCell ref="J164:K164"/>
    <mergeCell ref="L164:M164"/>
    <mergeCell ref="N164:O164"/>
    <mergeCell ref="P164:Q164"/>
    <mergeCell ref="P170:Q170"/>
    <mergeCell ref="F165:G165"/>
    <mergeCell ref="H165:I165"/>
    <mergeCell ref="J165:K165"/>
    <mergeCell ref="L165:M165"/>
    <mergeCell ref="N165:O165"/>
    <mergeCell ref="P165:Q165"/>
    <mergeCell ref="F166:G166"/>
    <mergeCell ref="H166:I166"/>
    <mergeCell ref="J166:K166"/>
    <mergeCell ref="L166:M166"/>
    <mergeCell ref="N166:O166"/>
    <mergeCell ref="P166:Q166"/>
    <mergeCell ref="F167:G167"/>
    <mergeCell ref="H167:I167"/>
    <mergeCell ref="J167:K167"/>
    <mergeCell ref="L167:M167"/>
    <mergeCell ref="N167:O167"/>
    <mergeCell ref="P167:Q167"/>
    <mergeCell ref="L237:M237"/>
    <mergeCell ref="J236:K236"/>
    <mergeCell ref="H236:I236"/>
    <mergeCell ref="F236:G236"/>
    <mergeCell ref="P235:Q235"/>
    <mergeCell ref="N235:O235"/>
    <mergeCell ref="L235:M235"/>
    <mergeCell ref="J235:K235"/>
    <mergeCell ref="H235:I235"/>
    <mergeCell ref="F235:G235"/>
    <mergeCell ref="P236:Q236"/>
    <mergeCell ref="N236:O236"/>
    <mergeCell ref="L236:M236"/>
    <mergeCell ref="J237:K237"/>
    <mergeCell ref="H237:I237"/>
    <mergeCell ref="F237:G237"/>
    <mergeCell ref="J161:K161"/>
    <mergeCell ref="L161:M161"/>
    <mergeCell ref="N161:O161"/>
    <mergeCell ref="P161:Q161"/>
    <mergeCell ref="F162:G162"/>
    <mergeCell ref="H162:I162"/>
    <mergeCell ref="J162:K162"/>
    <mergeCell ref="L162:M162"/>
    <mergeCell ref="N162:O162"/>
    <mergeCell ref="P162:Q162"/>
    <mergeCell ref="F163:G163"/>
    <mergeCell ref="H163:I163"/>
    <mergeCell ref="J163:K163"/>
    <mergeCell ref="L163:M163"/>
    <mergeCell ref="N163:O163"/>
    <mergeCell ref="P163:Q163"/>
    <mergeCell ref="A1:C1"/>
    <mergeCell ref="D1:Q1"/>
    <mergeCell ref="R1:T1"/>
    <mergeCell ref="A2:T2"/>
    <mergeCell ref="A3:C3"/>
    <mergeCell ref="D3:J3"/>
    <mergeCell ref="K3:M3"/>
    <mergeCell ref="N3:Q3"/>
    <mergeCell ref="S3:T3"/>
    <mergeCell ref="A6:C6"/>
    <mergeCell ref="D6:J6"/>
    <mergeCell ref="K6:M6"/>
    <mergeCell ref="N6:Q6"/>
    <mergeCell ref="S6:T6"/>
    <mergeCell ref="A7:A8"/>
    <mergeCell ref="B7:B8"/>
    <mergeCell ref="F7:K7"/>
    <mergeCell ref="L7:Q7"/>
    <mergeCell ref="A4:C4"/>
    <mergeCell ref="D4:J4"/>
    <mergeCell ref="K4:M4"/>
    <mergeCell ref="N4:Q4"/>
    <mergeCell ref="S4:T4"/>
    <mergeCell ref="A5:C5"/>
    <mergeCell ref="D5:J5"/>
    <mergeCell ref="K5:M5"/>
    <mergeCell ref="N5:Q5"/>
    <mergeCell ref="S5:T5"/>
    <mergeCell ref="C7:E7"/>
    <mergeCell ref="P63:Q63"/>
    <mergeCell ref="F62:G62"/>
    <mergeCell ref="H62:I62"/>
    <mergeCell ref="J62:K62"/>
    <mergeCell ref="L62:M62"/>
    <mergeCell ref="N62:O62"/>
    <mergeCell ref="P62:Q62"/>
    <mergeCell ref="R7:T7"/>
    <mergeCell ref="L8:M8"/>
    <mergeCell ref="N8:O8"/>
    <mergeCell ref="P8:Q8"/>
    <mergeCell ref="F9:G9"/>
    <mergeCell ref="H9:I9"/>
    <mergeCell ref="J9:K9"/>
    <mergeCell ref="L9:M9"/>
    <mergeCell ref="N9:O9"/>
    <mergeCell ref="P9:Q9"/>
    <mergeCell ref="F55:G55"/>
    <mergeCell ref="H55:I55"/>
    <mergeCell ref="J55:K55"/>
    <mergeCell ref="L55:M55"/>
    <mergeCell ref="N55:O55"/>
    <mergeCell ref="P55:Q55"/>
    <mergeCell ref="F56:G56"/>
    <mergeCell ref="H56:I56"/>
    <mergeCell ref="J56:K56"/>
    <mergeCell ref="L56:M56"/>
    <mergeCell ref="N56:O56"/>
    <mergeCell ref="P56:Q56"/>
    <mergeCell ref="F57:G57"/>
    <mergeCell ref="H57:I57"/>
    <mergeCell ref="J57:K57"/>
    <mergeCell ref="F147:G147"/>
    <mergeCell ref="H147:I147"/>
    <mergeCell ref="J147:K147"/>
    <mergeCell ref="L147:M147"/>
    <mergeCell ref="N147:O147"/>
    <mergeCell ref="P147:Q147"/>
    <mergeCell ref="F146:G146"/>
    <mergeCell ref="H146:I146"/>
    <mergeCell ref="J146:K146"/>
    <mergeCell ref="L146:M146"/>
    <mergeCell ref="N146:O146"/>
    <mergeCell ref="P146:Q146"/>
    <mergeCell ref="F64:G64"/>
    <mergeCell ref="H64:I64"/>
    <mergeCell ref="J64:K64"/>
    <mergeCell ref="L64:M64"/>
    <mergeCell ref="N64:O64"/>
    <mergeCell ref="P64:Q64"/>
    <mergeCell ref="L65:M65"/>
    <mergeCell ref="N65:O65"/>
    <mergeCell ref="L66:M66"/>
    <mergeCell ref="N66:O66"/>
    <mergeCell ref="L67:M67"/>
    <mergeCell ref="N67:O67"/>
    <mergeCell ref="L68:M68"/>
    <mergeCell ref="N68:O68"/>
    <mergeCell ref="L69:M69"/>
    <mergeCell ref="N69:O69"/>
    <mergeCell ref="L70:M70"/>
    <mergeCell ref="N70:O70"/>
    <mergeCell ref="L134:M134"/>
    <mergeCell ref="N134:O134"/>
    <mergeCell ref="F150:G150"/>
    <mergeCell ref="H150:I150"/>
    <mergeCell ref="J150:K150"/>
    <mergeCell ref="L150:M150"/>
    <mergeCell ref="N150:O150"/>
    <mergeCell ref="P150:Q150"/>
    <mergeCell ref="F149:G149"/>
    <mergeCell ref="H149:I149"/>
    <mergeCell ref="J149:K149"/>
    <mergeCell ref="L149:M149"/>
    <mergeCell ref="N149:O149"/>
    <mergeCell ref="P149:Q149"/>
    <mergeCell ref="F148:G148"/>
    <mergeCell ref="H148:I148"/>
    <mergeCell ref="J148:K148"/>
    <mergeCell ref="L148:M148"/>
    <mergeCell ref="N148:O148"/>
    <mergeCell ref="P148:Q148"/>
    <mergeCell ref="F153:G153"/>
    <mergeCell ref="H153:I153"/>
    <mergeCell ref="J153:K153"/>
    <mergeCell ref="L153:M153"/>
    <mergeCell ref="N153:O153"/>
    <mergeCell ref="P153:Q153"/>
    <mergeCell ref="F152:G152"/>
    <mergeCell ref="H152:I152"/>
    <mergeCell ref="J152:K152"/>
    <mergeCell ref="L152:M152"/>
    <mergeCell ref="N152:O152"/>
    <mergeCell ref="P152:Q152"/>
    <mergeCell ref="F151:G151"/>
    <mergeCell ref="H151:I151"/>
    <mergeCell ref="J151:K151"/>
    <mergeCell ref="L151:M151"/>
    <mergeCell ref="N151:O151"/>
    <mergeCell ref="P151:Q151"/>
    <mergeCell ref="F156:G156"/>
    <mergeCell ref="H156:I156"/>
    <mergeCell ref="J156:K156"/>
    <mergeCell ref="L156:M156"/>
    <mergeCell ref="N156:O156"/>
    <mergeCell ref="P156:Q156"/>
    <mergeCell ref="F155:G155"/>
    <mergeCell ref="H155:I155"/>
    <mergeCell ref="J155:K155"/>
    <mergeCell ref="L155:M155"/>
    <mergeCell ref="N155:O155"/>
    <mergeCell ref="P155:Q155"/>
    <mergeCell ref="F154:G154"/>
    <mergeCell ref="H154:I154"/>
    <mergeCell ref="J154:K154"/>
    <mergeCell ref="L154:M154"/>
    <mergeCell ref="N154:O154"/>
    <mergeCell ref="P154:Q154"/>
    <mergeCell ref="F173:G173"/>
    <mergeCell ref="H173:I173"/>
    <mergeCell ref="J173:K173"/>
    <mergeCell ref="L173:M173"/>
    <mergeCell ref="N173:O173"/>
    <mergeCell ref="P173:Q173"/>
    <mergeCell ref="F158:G158"/>
    <mergeCell ref="H158:I158"/>
    <mergeCell ref="J158:K158"/>
    <mergeCell ref="L158:M158"/>
    <mergeCell ref="N158:O158"/>
    <mergeCell ref="P158:Q158"/>
    <mergeCell ref="F157:G157"/>
    <mergeCell ref="H157:I157"/>
    <mergeCell ref="J157:K157"/>
    <mergeCell ref="L157:M157"/>
    <mergeCell ref="N157:O157"/>
    <mergeCell ref="P157:Q157"/>
    <mergeCell ref="F159:G159"/>
    <mergeCell ref="H159:I159"/>
    <mergeCell ref="J159:K159"/>
    <mergeCell ref="L159:M159"/>
    <mergeCell ref="N159:O159"/>
    <mergeCell ref="P159:Q159"/>
    <mergeCell ref="F160:G160"/>
    <mergeCell ref="H160:I160"/>
    <mergeCell ref="J160:K160"/>
    <mergeCell ref="L160:M160"/>
    <mergeCell ref="N160:O160"/>
    <mergeCell ref="P160:Q160"/>
    <mergeCell ref="F161:G161"/>
    <mergeCell ref="H161:I161"/>
    <mergeCell ref="L175:M175"/>
    <mergeCell ref="N175:O175"/>
    <mergeCell ref="P175:Q175"/>
    <mergeCell ref="F176:G176"/>
    <mergeCell ref="H176:I176"/>
    <mergeCell ref="J176:K176"/>
    <mergeCell ref="L94:M94"/>
    <mergeCell ref="N94:O94"/>
    <mergeCell ref="P94:Q94"/>
    <mergeCell ref="F175:G175"/>
    <mergeCell ref="H175:I175"/>
    <mergeCell ref="J175:K175"/>
    <mergeCell ref="L174:M174"/>
    <mergeCell ref="N174:O174"/>
    <mergeCell ref="P174:Q174"/>
    <mergeCell ref="L100:M100"/>
    <mergeCell ref="N100:O100"/>
    <mergeCell ref="L101:M101"/>
    <mergeCell ref="N101:O101"/>
    <mergeCell ref="L102:M102"/>
    <mergeCell ref="N102:O102"/>
    <mergeCell ref="L103:M103"/>
    <mergeCell ref="N103:O103"/>
    <mergeCell ref="L104:M104"/>
    <mergeCell ref="N104:O104"/>
    <mergeCell ref="L105:M105"/>
    <mergeCell ref="N105:O105"/>
    <mergeCell ref="L106:M106"/>
    <mergeCell ref="N106:O106"/>
    <mergeCell ref="F133:G133"/>
    <mergeCell ref="H133:I133"/>
    <mergeCell ref="J133:K133"/>
    <mergeCell ref="F178:G178"/>
    <mergeCell ref="H178:I178"/>
    <mergeCell ref="J178:K178"/>
    <mergeCell ref="L178:M178"/>
    <mergeCell ref="N178:O178"/>
    <mergeCell ref="P178:Q178"/>
    <mergeCell ref="F177:G177"/>
    <mergeCell ref="H177:I177"/>
    <mergeCell ref="J177:K177"/>
    <mergeCell ref="L177:M177"/>
    <mergeCell ref="N177:O177"/>
    <mergeCell ref="P177:Q177"/>
    <mergeCell ref="L176:M176"/>
    <mergeCell ref="N176:O176"/>
    <mergeCell ref="P176:Q176"/>
    <mergeCell ref="F181:G181"/>
    <mergeCell ref="H181:I181"/>
    <mergeCell ref="J181:K181"/>
    <mergeCell ref="L181:M181"/>
    <mergeCell ref="N181:O181"/>
    <mergeCell ref="P181:Q181"/>
    <mergeCell ref="F180:G180"/>
    <mergeCell ref="H180:I180"/>
    <mergeCell ref="J180:K180"/>
    <mergeCell ref="L180:M180"/>
    <mergeCell ref="N180:O180"/>
    <mergeCell ref="P180:Q180"/>
    <mergeCell ref="F179:G179"/>
    <mergeCell ref="H179:I179"/>
    <mergeCell ref="J179:K179"/>
    <mergeCell ref="L179:M179"/>
    <mergeCell ref="N179:O179"/>
    <mergeCell ref="P179:Q179"/>
    <mergeCell ref="F184:G184"/>
    <mergeCell ref="H184:I184"/>
    <mergeCell ref="J184:K184"/>
    <mergeCell ref="L184:M184"/>
    <mergeCell ref="N184:O184"/>
    <mergeCell ref="P184:Q184"/>
    <mergeCell ref="F183:G183"/>
    <mergeCell ref="H183:I183"/>
    <mergeCell ref="J183:K183"/>
    <mergeCell ref="L183:M183"/>
    <mergeCell ref="N183:O183"/>
    <mergeCell ref="P183:Q183"/>
    <mergeCell ref="F182:G182"/>
    <mergeCell ref="H182:I182"/>
    <mergeCell ref="J182:K182"/>
    <mergeCell ref="L182:M182"/>
    <mergeCell ref="N182:O182"/>
    <mergeCell ref="P182:Q182"/>
    <mergeCell ref="F187:G187"/>
    <mergeCell ref="H187:I187"/>
    <mergeCell ref="J187:K187"/>
    <mergeCell ref="L187:M187"/>
    <mergeCell ref="N187:O187"/>
    <mergeCell ref="P187:Q187"/>
    <mergeCell ref="F186:G186"/>
    <mergeCell ref="H186:I186"/>
    <mergeCell ref="J186:K186"/>
    <mergeCell ref="L186:M186"/>
    <mergeCell ref="N186:O186"/>
    <mergeCell ref="P186:Q186"/>
    <mergeCell ref="F185:G185"/>
    <mergeCell ref="H185:I185"/>
    <mergeCell ref="J185:K185"/>
    <mergeCell ref="L185:M185"/>
    <mergeCell ref="N185:O185"/>
    <mergeCell ref="P185:Q185"/>
    <mergeCell ref="F190:G190"/>
    <mergeCell ref="H190:I190"/>
    <mergeCell ref="J190:K190"/>
    <mergeCell ref="L190:M190"/>
    <mergeCell ref="N190:O190"/>
    <mergeCell ref="P190:Q190"/>
    <mergeCell ref="F189:G189"/>
    <mergeCell ref="H189:I189"/>
    <mergeCell ref="J189:K189"/>
    <mergeCell ref="L189:M189"/>
    <mergeCell ref="N189:O189"/>
    <mergeCell ref="P189:Q189"/>
    <mergeCell ref="F188:G188"/>
    <mergeCell ref="H188:I188"/>
    <mergeCell ref="J188:K188"/>
    <mergeCell ref="L188:M188"/>
    <mergeCell ref="N188:O188"/>
    <mergeCell ref="P188:Q188"/>
    <mergeCell ref="F193:G193"/>
    <mergeCell ref="H193:I193"/>
    <mergeCell ref="J193:K193"/>
    <mergeCell ref="L193:M193"/>
    <mergeCell ref="N193:O193"/>
    <mergeCell ref="P193:Q193"/>
    <mergeCell ref="F192:G192"/>
    <mergeCell ref="H192:I192"/>
    <mergeCell ref="J192:K192"/>
    <mergeCell ref="L192:M192"/>
    <mergeCell ref="N192:O192"/>
    <mergeCell ref="P192:Q192"/>
    <mergeCell ref="F191:G191"/>
    <mergeCell ref="H191:I191"/>
    <mergeCell ref="J191:K191"/>
    <mergeCell ref="L191:M191"/>
    <mergeCell ref="N191:O191"/>
    <mergeCell ref="P191:Q191"/>
    <mergeCell ref="F196:G196"/>
    <mergeCell ref="H196:I196"/>
    <mergeCell ref="J196:K196"/>
    <mergeCell ref="L196:M196"/>
    <mergeCell ref="N196:O196"/>
    <mergeCell ref="P196:Q196"/>
    <mergeCell ref="F195:G195"/>
    <mergeCell ref="H195:I195"/>
    <mergeCell ref="J195:K195"/>
    <mergeCell ref="L195:M195"/>
    <mergeCell ref="N195:O195"/>
    <mergeCell ref="P195:Q195"/>
    <mergeCell ref="F194:G194"/>
    <mergeCell ref="H194:I194"/>
    <mergeCell ref="J194:K194"/>
    <mergeCell ref="L194:M194"/>
    <mergeCell ref="N194:O194"/>
    <mergeCell ref="P194:Q194"/>
    <mergeCell ref="F199:G199"/>
    <mergeCell ref="H199:I199"/>
    <mergeCell ref="J199:K199"/>
    <mergeCell ref="L199:M199"/>
    <mergeCell ref="N199:O199"/>
    <mergeCell ref="P199:Q199"/>
    <mergeCell ref="F198:G198"/>
    <mergeCell ref="H198:I198"/>
    <mergeCell ref="J198:K198"/>
    <mergeCell ref="L198:M198"/>
    <mergeCell ref="N198:O198"/>
    <mergeCell ref="P198:Q198"/>
    <mergeCell ref="F197:G197"/>
    <mergeCell ref="H197:I197"/>
    <mergeCell ref="J197:K197"/>
    <mergeCell ref="L197:M197"/>
    <mergeCell ref="N197:O197"/>
    <mergeCell ref="P197:Q197"/>
    <mergeCell ref="F202:G202"/>
    <mergeCell ref="H202:I202"/>
    <mergeCell ref="J202:K202"/>
    <mergeCell ref="L202:M202"/>
    <mergeCell ref="N202:O202"/>
    <mergeCell ref="P202:Q202"/>
    <mergeCell ref="F201:G201"/>
    <mergeCell ref="H201:I201"/>
    <mergeCell ref="J201:K201"/>
    <mergeCell ref="L201:M201"/>
    <mergeCell ref="N201:O201"/>
    <mergeCell ref="P201:Q201"/>
    <mergeCell ref="F200:G200"/>
    <mergeCell ref="H200:I200"/>
    <mergeCell ref="J200:K200"/>
    <mergeCell ref="L200:M200"/>
    <mergeCell ref="N200:O200"/>
    <mergeCell ref="P200:Q200"/>
    <mergeCell ref="F212:G212"/>
    <mergeCell ref="H212:I212"/>
    <mergeCell ref="J212:K212"/>
    <mergeCell ref="L212:M212"/>
    <mergeCell ref="N212:O212"/>
    <mergeCell ref="P212:Q212"/>
    <mergeCell ref="F211:G211"/>
    <mergeCell ref="H211:I211"/>
    <mergeCell ref="J211:K211"/>
    <mergeCell ref="L211:M211"/>
    <mergeCell ref="N211:O211"/>
    <mergeCell ref="P211:Q211"/>
    <mergeCell ref="F206:G206"/>
    <mergeCell ref="J206:K206"/>
    <mergeCell ref="L210:M210"/>
    <mergeCell ref="N210:O210"/>
    <mergeCell ref="P210:Q210"/>
    <mergeCell ref="J210:K210"/>
    <mergeCell ref="H210:I210"/>
    <mergeCell ref="F210:G210"/>
    <mergeCell ref="L209:M209"/>
    <mergeCell ref="N209:O209"/>
    <mergeCell ref="P209:Q209"/>
    <mergeCell ref="L208:M208"/>
    <mergeCell ref="N208:O208"/>
    <mergeCell ref="P208:Q208"/>
    <mergeCell ref="L207:M207"/>
    <mergeCell ref="N207:O207"/>
    <mergeCell ref="P207:Q207"/>
    <mergeCell ref="L206:M206"/>
    <mergeCell ref="N206:O206"/>
    <mergeCell ref="P206:Q206"/>
    <mergeCell ref="F215:G215"/>
    <mergeCell ref="H215:I215"/>
    <mergeCell ref="J215:K215"/>
    <mergeCell ref="L215:M215"/>
    <mergeCell ref="N215:O215"/>
    <mergeCell ref="P215:Q215"/>
    <mergeCell ref="F214:G214"/>
    <mergeCell ref="H214:I214"/>
    <mergeCell ref="J214:K214"/>
    <mergeCell ref="L214:M214"/>
    <mergeCell ref="N214:O214"/>
    <mergeCell ref="P214:Q214"/>
    <mergeCell ref="F213:G213"/>
    <mergeCell ref="H213:I213"/>
    <mergeCell ref="J213:K213"/>
    <mergeCell ref="L213:M213"/>
    <mergeCell ref="N213:O213"/>
    <mergeCell ref="P213:Q213"/>
    <mergeCell ref="F218:G218"/>
    <mergeCell ref="H218:I218"/>
    <mergeCell ref="J218:K218"/>
    <mergeCell ref="L218:M218"/>
    <mergeCell ref="N218:O218"/>
    <mergeCell ref="P218:Q218"/>
    <mergeCell ref="F217:G217"/>
    <mergeCell ref="H217:I217"/>
    <mergeCell ref="J217:K217"/>
    <mergeCell ref="L217:M217"/>
    <mergeCell ref="N217:O217"/>
    <mergeCell ref="P217:Q217"/>
    <mergeCell ref="F216:G216"/>
    <mergeCell ref="H216:I216"/>
    <mergeCell ref="J216:K216"/>
    <mergeCell ref="L216:M216"/>
    <mergeCell ref="N216:O216"/>
    <mergeCell ref="P216:Q216"/>
    <mergeCell ref="F221:G221"/>
    <mergeCell ref="H221:I221"/>
    <mergeCell ref="J221:K221"/>
    <mergeCell ref="L221:M221"/>
    <mergeCell ref="N221:O221"/>
    <mergeCell ref="P221:Q221"/>
    <mergeCell ref="F220:G220"/>
    <mergeCell ref="H220:I220"/>
    <mergeCell ref="J220:K220"/>
    <mergeCell ref="L220:M220"/>
    <mergeCell ref="N220:O220"/>
    <mergeCell ref="P220:Q220"/>
    <mergeCell ref="F219:G219"/>
    <mergeCell ref="H219:I219"/>
    <mergeCell ref="J219:K219"/>
    <mergeCell ref="L219:M219"/>
    <mergeCell ref="N219:O219"/>
    <mergeCell ref="P219:Q219"/>
    <mergeCell ref="H224:I224"/>
    <mergeCell ref="J224:K224"/>
    <mergeCell ref="L224:M224"/>
    <mergeCell ref="N224:O224"/>
    <mergeCell ref="P224:Q224"/>
    <mergeCell ref="F223:G223"/>
    <mergeCell ref="H223:I223"/>
    <mergeCell ref="J223:K223"/>
    <mergeCell ref="L223:M223"/>
    <mergeCell ref="N223:O223"/>
    <mergeCell ref="P223:Q223"/>
    <mergeCell ref="F222:G222"/>
    <mergeCell ref="H222:I222"/>
    <mergeCell ref="J222:K222"/>
    <mergeCell ref="L222:M222"/>
    <mergeCell ref="N222:O222"/>
    <mergeCell ref="P222:Q222"/>
    <mergeCell ref="F226:G226"/>
    <mergeCell ref="H226:I226"/>
    <mergeCell ref="J226:K226"/>
    <mergeCell ref="L226:M226"/>
    <mergeCell ref="N226:O226"/>
    <mergeCell ref="P226:Q226"/>
    <mergeCell ref="F225:G225"/>
    <mergeCell ref="H225:I225"/>
    <mergeCell ref="J225:K225"/>
    <mergeCell ref="L225:M225"/>
    <mergeCell ref="N225:O225"/>
    <mergeCell ref="P225:Q225"/>
    <mergeCell ref="L142:M142"/>
    <mergeCell ref="N142:O142"/>
    <mergeCell ref="L143:M143"/>
    <mergeCell ref="N143:O143"/>
    <mergeCell ref="L144:M144"/>
    <mergeCell ref="N144:O144"/>
    <mergeCell ref="L145:M145"/>
    <mergeCell ref="N145:O145"/>
    <mergeCell ref="F143:G143"/>
    <mergeCell ref="H143:I143"/>
    <mergeCell ref="J143:K143"/>
    <mergeCell ref="P143:Q143"/>
    <mergeCell ref="F144:G144"/>
    <mergeCell ref="H144:I144"/>
    <mergeCell ref="L205:M205"/>
    <mergeCell ref="N205:O205"/>
    <mergeCell ref="P205:Q205"/>
    <mergeCell ref="L203:M203"/>
    <mergeCell ref="N203:O203"/>
    <mergeCell ref="F224:G224"/>
    <mergeCell ref="F229:G229"/>
    <mergeCell ref="H229:I229"/>
    <mergeCell ref="J229:K229"/>
    <mergeCell ref="L229:M229"/>
    <mergeCell ref="N229:O229"/>
    <mergeCell ref="P229:Q229"/>
    <mergeCell ref="F228:G228"/>
    <mergeCell ref="H228:I228"/>
    <mergeCell ref="J228:K228"/>
    <mergeCell ref="L228:M228"/>
    <mergeCell ref="N228:O228"/>
    <mergeCell ref="P228:Q228"/>
    <mergeCell ref="F227:G227"/>
    <mergeCell ref="H227:I227"/>
    <mergeCell ref="J227:K227"/>
    <mergeCell ref="L227:M227"/>
    <mergeCell ref="N227:O227"/>
    <mergeCell ref="P227:Q227"/>
    <mergeCell ref="F232:G232"/>
    <mergeCell ref="H232:I232"/>
    <mergeCell ref="J232:K232"/>
    <mergeCell ref="L232:M232"/>
    <mergeCell ref="N232:O232"/>
    <mergeCell ref="P232:Q232"/>
    <mergeCell ref="F231:G231"/>
    <mergeCell ref="H231:I231"/>
    <mergeCell ref="J231:K231"/>
    <mergeCell ref="L231:M231"/>
    <mergeCell ref="N231:O231"/>
    <mergeCell ref="P231:Q231"/>
    <mergeCell ref="F230:G230"/>
    <mergeCell ref="H230:I230"/>
    <mergeCell ref="J230:K230"/>
    <mergeCell ref="L230:M230"/>
    <mergeCell ref="N230:O230"/>
    <mergeCell ref="P230:Q230"/>
    <mergeCell ref="F234:G234"/>
    <mergeCell ref="H234:I234"/>
    <mergeCell ref="J234:K234"/>
    <mergeCell ref="L234:M234"/>
    <mergeCell ref="N234:O234"/>
    <mergeCell ref="P234:Q234"/>
    <mergeCell ref="F233:G233"/>
    <mergeCell ref="H233:I233"/>
    <mergeCell ref="J233:K233"/>
    <mergeCell ref="L233:M233"/>
    <mergeCell ref="N233:O233"/>
    <mergeCell ref="P233:Q233"/>
    <mergeCell ref="F240:G240"/>
    <mergeCell ref="H240:I240"/>
    <mergeCell ref="J240:K240"/>
    <mergeCell ref="L240:M240"/>
    <mergeCell ref="N240:O240"/>
    <mergeCell ref="P240:Q240"/>
    <mergeCell ref="F239:G239"/>
    <mergeCell ref="H239:I239"/>
    <mergeCell ref="J239:K239"/>
    <mergeCell ref="L239:M239"/>
    <mergeCell ref="N239:O239"/>
    <mergeCell ref="P239:Q239"/>
    <mergeCell ref="F238:G238"/>
    <mergeCell ref="H238:I238"/>
    <mergeCell ref="J238:K238"/>
    <mergeCell ref="L238:M238"/>
    <mergeCell ref="N238:O238"/>
    <mergeCell ref="P238:Q238"/>
    <mergeCell ref="P237:Q237"/>
    <mergeCell ref="N237:O237"/>
    <mergeCell ref="F241:G241"/>
    <mergeCell ref="H241:I241"/>
    <mergeCell ref="J241:K241"/>
    <mergeCell ref="L241:M241"/>
    <mergeCell ref="N241:O241"/>
    <mergeCell ref="P241:Q241"/>
    <mergeCell ref="F244:G244"/>
    <mergeCell ref="H244:I244"/>
    <mergeCell ref="J244:K244"/>
    <mergeCell ref="L244:M244"/>
    <mergeCell ref="N244:O244"/>
    <mergeCell ref="P244:Q244"/>
    <mergeCell ref="F243:G243"/>
    <mergeCell ref="H243:I243"/>
    <mergeCell ref="J243:K243"/>
    <mergeCell ref="L243:M243"/>
    <mergeCell ref="N243:O243"/>
    <mergeCell ref="P243:Q243"/>
    <mergeCell ref="F246:G246"/>
    <mergeCell ref="H246:I246"/>
    <mergeCell ref="J246:K246"/>
    <mergeCell ref="L246:M246"/>
    <mergeCell ref="N246:O246"/>
    <mergeCell ref="P246:Q246"/>
    <mergeCell ref="F245:G245"/>
    <mergeCell ref="H245:I245"/>
    <mergeCell ref="J245:K245"/>
    <mergeCell ref="L245:M245"/>
    <mergeCell ref="N245:O245"/>
    <mergeCell ref="P245:Q245"/>
    <mergeCell ref="F242:G242"/>
    <mergeCell ref="H242:I242"/>
    <mergeCell ref="J242:K242"/>
    <mergeCell ref="L242:M242"/>
    <mergeCell ref="N242:O242"/>
    <mergeCell ref="P242:Q242"/>
    <mergeCell ref="F249:G249"/>
    <mergeCell ref="H249:I249"/>
    <mergeCell ref="J249:K249"/>
    <mergeCell ref="L249:M249"/>
    <mergeCell ref="N249:O249"/>
    <mergeCell ref="P249:Q249"/>
    <mergeCell ref="F248:G248"/>
    <mergeCell ref="H248:I248"/>
    <mergeCell ref="J248:K248"/>
    <mergeCell ref="L248:M248"/>
    <mergeCell ref="N248:O248"/>
    <mergeCell ref="P248:Q248"/>
    <mergeCell ref="F247:G247"/>
    <mergeCell ref="H247:I247"/>
    <mergeCell ref="J247:K247"/>
    <mergeCell ref="L247:M247"/>
    <mergeCell ref="N247:O247"/>
    <mergeCell ref="P247:Q247"/>
    <mergeCell ref="F252:G252"/>
    <mergeCell ref="H252:I252"/>
    <mergeCell ref="J252:K252"/>
    <mergeCell ref="L252:M252"/>
    <mergeCell ref="N252:O252"/>
    <mergeCell ref="P252:Q252"/>
    <mergeCell ref="F251:G251"/>
    <mergeCell ref="H251:I251"/>
    <mergeCell ref="J251:K251"/>
    <mergeCell ref="L251:M251"/>
    <mergeCell ref="N251:O251"/>
    <mergeCell ref="P251:Q251"/>
    <mergeCell ref="F250:G250"/>
    <mergeCell ref="H250:I250"/>
    <mergeCell ref="J250:K250"/>
    <mergeCell ref="L250:M250"/>
    <mergeCell ref="N250:O250"/>
    <mergeCell ref="P250:Q250"/>
    <mergeCell ref="F255:G255"/>
    <mergeCell ref="H255:I255"/>
    <mergeCell ref="J255:K255"/>
    <mergeCell ref="L255:M255"/>
    <mergeCell ref="N255:O255"/>
    <mergeCell ref="P255:Q255"/>
    <mergeCell ref="F254:G254"/>
    <mergeCell ref="H254:I254"/>
    <mergeCell ref="J254:K254"/>
    <mergeCell ref="L254:M254"/>
    <mergeCell ref="N254:O254"/>
    <mergeCell ref="P254:Q254"/>
    <mergeCell ref="F253:G253"/>
    <mergeCell ref="H253:I253"/>
    <mergeCell ref="J253:K253"/>
    <mergeCell ref="L253:M253"/>
    <mergeCell ref="N253:O253"/>
    <mergeCell ref="P253:Q253"/>
    <mergeCell ref="F258:G258"/>
    <mergeCell ref="H258:I258"/>
    <mergeCell ref="J258:K258"/>
    <mergeCell ref="L258:M258"/>
    <mergeCell ref="N258:O258"/>
    <mergeCell ref="P258:Q258"/>
    <mergeCell ref="F257:G257"/>
    <mergeCell ref="H257:I257"/>
    <mergeCell ref="J257:K257"/>
    <mergeCell ref="L257:M257"/>
    <mergeCell ref="N257:O257"/>
    <mergeCell ref="P257:Q257"/>
    <mergeCell ref="F256:G256"/>
    <mergeCell ref="H256:I256"/>
    <mergeCell ref="J256:K256"/>
    <mergeCell ref="L256:M256"/>
    <mergeCell ref="N256:O256"/>
    <mergeCell ref="P256:Q256"/>
    <mergeCell ref="F261:G261"/>
    <mergeCell ref="H261:I261"/>
    <mergeCell ref="J261:K261"/>
    <mergeCell ref="L261:M261"/>
    <mergeCell ref="N261:O261"/>
    <mergeCell ref="P261:Q261"/>
    <mergeCell ref="F260:G260"/>
    <mergeCell ref="H260:I260"/>
    <mergeCell ref="J260:K260"/>
    <mergeCell ref="L260:M260"/>
    <mergeCell ref="N260:O260"/>
    <mergeCell ref="P260:Q260"/>
    <mergeCell ref="F259:G259"/>
    <mergeCell ref="H259:I259"/>
    <mergeCell ref="J259:K259"/>
    <mergeCell ref="L259:M259"/>
    <mergeCell ref="N259:O259"/>
    <mergeCell ref="P259:Q259"/>
    <mergeCell ref="F264:G264"/>
    <mergeCell ref="H264:I264"/>
    <mergeCell ref="J264:K264"/>
    <mergeCell ref="L264:M264"/>
    <mergeCell ref="N264:O264"/>
    <mergeCell ref="P264:Q264"/>
    <mergeCell ref="F263:G263"/>
    <mergeCell ref="H263:I263"/>
    <mergeCell ref="J263:K263"/>
    <mergeCell ref="L263:M263"/>
    <mergeCell ref="N263:O263"/>
    <mergeCell ref="P263:Q263"/>
    <mergeCell ref="F262:G262"/>
    <mergeCell ref="H262:I262"/>
    <mergeCell ref="J262:K262"/>
    <mergeCell ref="L262:M262"/>
    <mergeCell ref="N262:O262"/>
    <mergeCell ref="P262:Q262"/>
    <mergeCell ref="F267:G267"/>
    <mergeCell ref="H267:I267"/>
    <mergeCell ref="J267:K267"/>
    <mergeCell ref="L267:M267"/>
    <mergeCell ref="N267:O267"/>
    <mergeCell ref="P267:Q267"/>
    <mergeCell ref="F266:G266"/>
    <mergeCell ref="H266:I266"/>
    <mergeCell ref="J266:K266"/>
    <mergeCell ref="L266:M266"/>
    <mergeCell ref="N266:O266"/>
    <mergeCell ref="P266:Q266"/>
    <mergeCell ref="F265:G265"/>
    <mergeCell ref="H265:I265"/>
    <mergeCell ref="J265:K265"/>
    <mergeCell ref="L265:M265"/>
    <mergeCell ref="N265:O265"/>
    <mergeCell ref="P265:Q265"/>
    <mergeCell ref="F270:G270"/>
    <mergeCell ref="H270:I270"/>
    <mergeCell ref="J270:K270"/>
    <mergeCell ref="L270:M270"/>
    <mergeCell ref="N270:O270"/>
    <mergeCell ref="P270:Q270"/>
    <mergeCell ref="F269:G269"/>
    <mergeCell ref="H269:I269"/>
    <mergeCell ref="J269:K269"/>
    <mergeCell ref="L269:M269"/>
    <mergeCell ref="N269:O269"/>
    <mergeCell ref="P269:Q269"/>
    <mergeCell ref="F268:G268"/>
    <mergeCell ref="H268:I268"/>
    <mergeCell ref="J268:K268"/>
    <mergeCell ref="L268:M268"/>
    <mergeCell ref="N268:O268"/>
    <mergeCell ref="P268:Q268"/>
    <mergeCell ref="F273:G273"/>
    <mergeCell ref="H273:I273"/>
    <mergeCell ref="J273:K273"/>
    <mergeCell ref="L273:M273"/>
    <mergeCell ref="N273:O273"/>
    <mergeCell ref="P273:Q273"/>
    <mergeCell ref="F272:G272"/>
    <mergeCell ref="H272:I272"/>
    <mergeCell ref="J272:K272"/>
    <mergeCell ref="L272:M272"/>
    <mergeCell ref="N272:O272"/>
    <mergeCell ref="P272:Q272"/>
    <mergeCell ref="F271:G271"/>
    <mergeCell ref="H271:I271"/>
    <mergeCell ref="J271:K271"/>
    <mergeCell ref="L271:M271"/>
    <mergeCell ref="N271:O271"/>
    <mergeCell ref="P271:Q271"/>
    <mergeCell ref="F276:G276"/>
    <mergeCell ref="H276:I276"/>
    <mergeCell ref="J276:K276"/>
    <mergeCell ref="L276:M276"/>
    <mergeCell ref="N276:O276"/>
    <mergeCell ref="P276:Q276"/>
    <mergeCell ref="F275:G275"/>
    <mergeCell ref="H275:I275"/>
    <mergeCell ref="J275:K275"/>
    <mergeCell ref="L275:M275"/>
    <mergeCell ref="N275:O275"/>
    <mergeCell ref="P275:Q275"/>
    <mergeCell ref="F274:G274"/>
    <mergeCell ref="H274:I274"/>
    <mergeCell ref="J274:K274"/>
    <mergeCell ref="L274:M274"/>
    <mergeCell ref="N274:O274"/>
    <mergeCell ref="P274:Q274"/>
    <mergeCell ref="F279:G279"/>
    <mergeCell ref="H279:I279"/>
    <mergeCell ref="J279:K279"/>
    <mergeCell ref="L279:M279"/>
    <mergeCell ref="N279:O279"/>
    <mergeCell ref="P279:Q279"/>
    <mergeCell ref="F278:G278"/>
    <mergeCell ref="H278:I278"/>
    <mergeCell ref="J278:K278"/>
    <mergeCell ref="L278:M278"/>
    <mergeCell ref="N278:O278"/>
    <mergeCell ref="P278:Q278"/>
    <mergeCell ref="F277:G277"/>
    <mergeCell ref="H277:I277"/>
    <mergeCell ref="J277:K277"/>
    <mergeCell ref="L277:M277"/>
    <mergeCell ref="N277:O277"/>
    <mergeCell ref="P277:Q277"/>
    <mergeCell ref="F282:G282"/>
    <mergeCell ref="H282:I282"/>
    <mergeCell ref="J282:K282"/>
    <mergeCell ref="L282:M282"/>
    <mergeCell ref="N282:O282"/>
    <mergeCell ref="P282:Q282"/>
    <mergeCell ref="F281:G281"/>
    <mergeCell ref="H281:I281"/>
    <mergeCell ref="J281:K281"/>
    <mergeCell ref="L281:M281"/>
    <mergeCell ref="N281:O281"/>
    <mergeCell ref="P281:Q281"/>
    <mergeCell ref="F280:G280"/>
    <mergeCell ref="H280:I280"/>
    <mergeCell ref="J280:K280"/>
    <mergeCell ref="L280:M280"/>
    <mergeCell ref="N280:O280"/>
    <mergeCell ref="P280:Q280"/>
    <mergeCell ref="F285:G285"/>
    <mergeCell ref="H285:I285"/>
    <mergeCell ref="J285:K285"/>
    <mergeCell ref="L285:M285"/>
    <mergeCell ref="N285:O285"/>
    <mergeCell ref="P285:Q285"/>
    <mergeCell ref="F284:G284"/>
    <mergeCell ref="H284:I284"/>
    <mergeCell ref="J284:K284"/>
    <mergeCell ref="L284:M284"/>
    <mergeCell ref="N284:O284"/>
    <mergeCell ref="P284:Q284"/>
    <mergeCell ref="F283:G283"/>
    <mergeCell ref="H283:I283"/>
    <mergeCell ref="J283:K283"/>
    <mergeCell ref="L283:M283"/>
    <mergeCell ref="N283:O283"/>
    <mergeCell ref="P283:Q283"/>
    <mergeCell ref="F288:G288"/>
    <mergeCell ref="H288:I288"/>
    <mergeCell ref="J288:K288"/>
    <mergeCell ref="L288:M288"/>
    <mergeCell ref="N288:O288"/>
    <mergeCell ref="P288:Q288"/>
    <mergeCell ref="F287:G287"/>
    <mergeCell ref="H287:I287"/>
    <mergeCell ref="J287:K287"/>
    <mergeCell ref="L287:M287"/>
    <mergeCell ref="N287:O287"/>
    <mergeCell ref="P287:Q287"/>
    <mergeCell ref="F286:G286"/>
    <mergeCell ref="H286:I286"/>
    <mergeCell ref="J286:K286"/>
    <mergeCell ref="L286:M286"/>
    <mergeCell ref="N286:O286"/>
    <mergeCell ref="P286:Q286"/>
    <mergeCell ref="F293:N293"/>
    <mergeCell ref="O293:T293"/>
    <mergeCell ref="F294:N294"/>
    <mergeCell ref="O294:T294"/>
    <mergeCell ref="F291:N291"/>
    <mergeCell ref="O291:T291"/>
    <mergeCell ref="F292:N292"/>
    <mergeCell ref="O292:T292"/>
    <mergeCell ref="F289:G289"/>
    <mergeCell ref="H289:I289"/>
    <mergeCell ref="J289:K289"/>
    <mergeCell ref="L289:M289"/>
    <mergeCell ref="N289:O289"/>
    <mergeCell ref="P289:Q289"/>
    <mergeCell ref="B291:E291"/>
    <mergeCell ref="B292:E292"/>
    <mergeCell ref="B293:E293"/>
    <mergeCell ref="B294:E294"/>
    <mergeCell ref="P203:Q203"/>
    <mergeCell ref="L204:M204"/>
    <mergeCell ref="N204:O204"/>
    <mergeCell ref="P204:Q204"/>
    <mergeCell ref="F135:G135"/>
    <mergeCell ref="H135:I135"/>
    <mergeCell ref="J135:K135"/>
    <mergeCell ref="L135:M135"/>
    <mergeCell ref="N135:O135"/>
    <mergeCell ref="P135:Q135"/>
    <mergeCell ref="F136:G136"/>
    <mergeCell ref="H136:I136"/>
    <mergeCell ref="J136:K136"/>
    <mergeCell ref="L136:M136"/>
    <mergeCell ref="N136:O136"/>
    <mergeCell ref="P136:Q136"/>
    <mergeCell ref="F137:G137"/>
    <mergeCell ref="H137:I137"/>
    <mergeCell ref="J137:K137"/>
    <mergeCell ref="L137:M137"/>
    <mergeCell ref="N137:O137"/>
    <mergeCell ref="P137:Q137"/>
    <mergeCell ref="F138:G138"/>
    <mergeCell ref="H138:I138"/>
    <mergeCell ref="J138:K138"/>
    <mergeCell ref="L138:M138"/>
    <mergeCell ref="N138:O138"/>
    <mergeCell ref="P138:Q138"/>
    <mergeCell ref="F139:G139"/>
    <mergeCell ref="H139:I139"/>
    <mergeCell ref="J139:K139"/>
    <mergeCell ref="L139:M139"/>
    <mergeCell ref="N139:O139"/>
    <mergeCell ref="P139:Q139"/>
    <mergeCell ref="F140:G140"/>
    <mergeCell ref="H140:I140"/>
    <mergeCell ref="J140:K140"/>
    <mergeCell ref="L140:M140"/>
    <mergeCell ref="N140:O140"/>
    <mergeCell ref="P140:Q140"/>
    <mergeCell ref="F141:G141"/>
    <mergeCell ref="H141:I141"/>
    <mergeCell ref="J141:K141"/>
    <mergeCell ref="L141:M141"/>
    <mergeCell ref="N141:O141"/>
    <mergeCell ref="P141:Q141"/>
    <mergeCell ref="F25:G25"/>
    <mergeCell ref="H25:I25"/>
    <mergeCell ref="J25:K25"/>
    <mergeCell ref="L25:M25"/>
    <mergeCell ref="N25:O25"/>
    <mergeCell ref="P25:Q25"/>
    <mergeCell ref="F54:G54"/>
    <mergeCell ref="H54:I54"/>
    <mergeCell ref="J54:K54"/>
    <mergeCell ref="L54:M54"/>
    <mergeCell ref="N54:O54"/>
    <mergeCell ref="P54:Q54"/>
    <mergeCell ref="P133:Q133"/>
    <mergeCell ref="F63:G63"/>
    <mergeCell ref="H63:I63"/>
    <mergeCell ref="J63:K63"/>
    <mergeCell ref="L63:M63"/>
    <mergeCell ref="N63:O63"/>
    <mergeCell ref="L57:M57"/>
    <mergeCell ref="N57:O57"/>
    <mergeCell ref="P57:Q57"/>
    <mergeCell ref="F58:G58"/>
    <mergeCell ref="H58:I58"/>
    <mergeCell ref="J58:K58"/>
    <mergeCell ref="L58:M58"/>
    <mergeCell ref="N58:O58"/>
    <mergeCell ref="P58:Q58"/>
    <mergeCell ref="F59:G59"/>
    <mergeCell ref="H59:I59"/>
    <mergeCell ref="J59:K59"/>
    <mergeCell ref="L59:M59"/>
    <mergeCell ref="N59:O59"/>
    <mergeCell ref="P59:Q59"/>
    <mergeCell ref="F60:G60"/>
    <mergeCell ref="H60:I60"/>
    <mergeCell ref="J60:K60"/>
    <mergeCell ref="L60:M60"/>
    <mergeCell ref="N60:O60"/>
    <mergeCell ref="P60:Q60"/>
    <mergeCell ref="F61:G61"/>
    <mergeCell ref="H61:I61"/>
    <mergeCell ref="J61:K61"/>
    <mergeCell ref="L61:M61"/>
    <mergeCell ref="N61:O61"/>
    <mergeCell ref="P61:Q61"/>
    <mergeCell ref="F26:G26"/>
    <mergeCell ref="H26:I26"/>
    <mergeCell ref="J26:K26"/>
    <mergeCell ref="L26:M26"/>
    <mergeCell ref="N26:O26"/>
    <mergeCell ref="P26:Q26"/>
    <mergeCell ref="F27:G27"/>
    <mergeCell ref="H27:I27"/>
    <mergeCell ref="J27:K27"/>
    <mergeCell ref="L27:M27"/>
    <mergeCell ref="N27:O27"/>
    <mergeCell ref="P27:Q27"/>
    <mergeCell ref="F28:G28"/>
    <mergeCell ref="H28:I28"/>
    <mergeCell ref="J28:K28"/>
    <mergeCell ref="L28:M28"/>
    <mergeCell ref="N28:O28"/>
    <mergeCell ref="P28:Q28"/>
    <mergeCell ref="F29:G29"/>
    <mergeCell ref="H29:I29"/>
    <mergeCell ref="J29:K29"/>
    <mergeCell ref="L29:M29"/>
    <mergeCell ref="N29:O29"/>
    <mergeCell ref="P29:Q29"/>
    <mergeCell ref="F30:G30"/>
    <mergeCell ref="H30:I30"/>
    <mergeCell ref="N32:O32"/>
    <mergeCell ref="P32:Q32"/>
    <mergeCell ref="F39:G39"/>
    <mergeCell ref="H39:I39"/>
    <mergeCell ref="J39:K39"/>
    <mergeCell ref="L39:M39"/>
    <mergeCell ref="N39:O39"/>
    <mergeCell ref="P39:Q39"/>
    <mergeCell ref="F34:G34"/>
    <mergeCell ref="H34:I34"/>
    <mergeCell ref="J34:K34"/>
    <mergeCell ref="L34:M34"/>
    <mergeCell ref="N34:O34"/>
    <mergeCell ref="P34:Q34"/>
    <mergeCell ref="F35:G35"/>
    <mergeCell ref="H35:I35"/>
    <mergeCell ref="J35:K35"/>
    <mergeCell ref="L35:M35"/>
    <mergeCell ref="F40:G40"/>
    <mergeCell ref="H40:I40"/>
    <mergeCell ref="J40:K40"/>
    <mergeCell ref="L40:M40"/>
    <mergeCell ref="N40:O40"/>
    <mergeCell ref="P40:Q40"/>
    <mergeCell ref="F41:G41"/>
    <mergeCell ref="H41:I41"/>
    <mergeCell ref="J41:K41"/>
    <mergeCell ref="L41:M41"/>
    <mergeCell ref="N41:O41"/>
    <mergeCell ref="P41:Q41"/>
    <mergeCell ref="F42:G42"/>
    <mergeCell ref="H42:I42"/>
    <mergeCell ref="J42:K42"/>
    <mergeCell ref="L42:M42"/>
    <mergeCell ref="N42:O42"/>
    <mergeCell ref="P42:Q42"/>
    <mergeCell ref="F43:G43"/>
    <mergeCell ref="H43:I43"/>
    <mergeCell ref="J43:K43"/>
    <mergeCell ref="L43:M43"/>
    <mergeCell ref="N43:O43"/>
    <mergeCell ref="P43:Q43"/>
    <mergeCell ref="F44:G44"/>
    <mergeCell ref="H44:I44"/>
    <mergeCell ref="J44:K44"/>
    <mergeCell ref="L44:M44"/>
    <mergeCell ref="N44:O44"/>
    <mergeCell ref="P44:Q44"/>
    <mergeCell ref="F45:G45"/>
    <mergeCell ref="H45:I45"/>
    <mergeCell ref="J45:K45"/>
    <mergeCell ref="L45:M45"/>
    <mergeCell ref="N45:O45"/>
    <mergeCell ref="P45:Q45"/>
    <mergeCell ref="J50:K50"/>
    <mergeCell ref="L50:M50"/>
    <mergeCell ref="N50:O50"/>
    <mergeCell ref="P50:Q50"/>
    <mergeCell ref="F51:G51"/>
    <mergeCell ref="H51:I51"/>
    <mergeCell ref="J51:K51"/>
    <mergeCell ref="L51:M51"/>
    <mergeCell ref="N51:O51"/>
    <mergeCell ref="P51:Q51"/>
    <mergeCell ref="F46:G46"/>
    <mergeCell ref="H46:I46"/>
    <mergeCell ref="J46:K46"/>
    <mergeCell ref="L46:M46"/>
    <mergeCell ref="N46:O46"/>
    <mergeCell ref="P46:Q46"/>
    <mergeCell ref="F47:G47"/>
    <mergeCell ref="H47:I47"/>
    <mergeCell ref="J47:K47"/>
    <mergeCell ref="L47:M47"/>
    <mergeCell ref="N47:O47"/>
    <mergeCell ref="P47:Q47"/>
    <mergeCell ref="F48:G48"/>
    <mergeCell ref="H48:I48"/>
    <mergeCell ref="J48:K48"/>
    <mergeCell ref="L48:M48"/>
    <mergeCell ref="N48:O48"/>
    <mergeCell ref="P48:Q48"/>
    <mergeCell ref="J53:K53"/>
    <mergeCell ref="L53:M53"/>
    <mergeCell ref="N53:O53"/>
    <mergeCell ref="P53:Q53"/>
    <mergeCell ref="F10:G10"/>
    <mergeCell ref="H10:I10"/>
    <mergeCell ref="J10:K10"/>
    <mergeCell ref="L10:M10"/>
    <mergeCell ref="N10:O10"/>
    <mergeCell ref="P10:Q10"/>
    <mergeCell ref="F11:G11"/>
    <mergeCell ref="H11:I11"/>
    <mergeCell ref="J11:K11"/>
    <mergeCell ref="L11:M11"/>
    <mergeCell ref="N11:O11"/>
    <mergeCell ref="P11:Q11"/>
    <mergeCell ref="F12:G12"/>
    <mergeCell ref="H12:I12"/>
    <mergeCell ref="J12:K12"/>
    <mergeCell ref="L12:M12"/>
    <mergeCell ref="N12:O12"/>
    <mergeCell ref="P12:Q12"/>
    <mergeCell ref="F13:G13"/>
    <mergeCell ref="H13:I13"/>
    <mergeCell ref="F49:G49"/>
    <mergeCell ref="H49:I49"/>
    <mergeCell ref="J49:K49"/>
    <mergeCell ref="L49:M49"/>
    <mergeCell ref="N49:O49"/>
    <mergeCell ref="P49:Q49"/>
    <mergeCell ref="F50:G50"/>
    <mergeCell ref="H50:I50"/>
    <mergeCell ref="J13:K13"/>
    <mergeCell ref="L13:M13"/>
    <mergeCell ref="N13:O13"/>
    <mergeCell ref="P13:Q13"/>
    <mergeCell ref="F14:G14"/>
    <mergeCell ref="H14:I14"/>
    <mergeCell ref="J14:K14"/>
    <mergeCell ref="L14:M14"/>
    <mergeCell ref="N14:O14"/>
    <mergeCell ref="P14:Q14"/>
    <mergeCell ref="F15:G15"/>
    <mergeCell ref="H15:I15"/>
    <mergeCell ref="J15:K15"/>
    <mergeCell ref="L15:M15"/>
    <mergeCell ref="N15:O15"/>
    <mergeCell ref="P15:Q15"/>
    <mergeCell ref="F16:G16"/>
    <mergeCell ref="H16:I16"/>
    <mergeCell ref="J16:K16"/>
    <mergeCell ref="L16:M16"/>
    <mergeCell ref="N16:O16"/>
    <mergeCell ref="P16:Q16"/>
    <mergeCell ref="F17:G17"/>
    <mergeCell ref="H17:I17"/>
    <mergeCell ref="J17:K17"/>
    <mergeCell ref="L17:M17"/>
    <mergeCell ref="N17:O17"/>
    <mergeCell ref="P17:Q17"/>
    <mergeCell ref="F18:G18"/>
    <mergeCell ref="H18:I18"/>
    <mergeCell ref="J18:K18"/>
    <mergeCell ref="L18:M18"/>
    <mergeCell ref="N18:O18"/>
    <mergeCell ref="P18:Q18"/>
    <mergeCell ref="F19:G19"/>
    <mergeCell ref="H19:I19"/>
    <mergeCell ref="J19:K19"/>
    <mergeCell ref="L19:M19"/>
    <mergeCell ref="N19:O19"/>
    <mergeCell ref="P19:Q19"/>
    <mergeCell ref="F20:G20"/>
    <mergeCell ref="H20:I20"/>
    <mergeCell ref="J20:K20"/>
    <mergeCell ref="L20:M20"/>
    <mergeCell ref="N20:O20"/>
    <mergeCell ref="P20:Q20"/>
    <mergeCell ref="F21:G21"/>
    <mergeCell ref="H21:I21"/>
    <mergeCell ref="J21:K21"/>
    <mergeCell ref="L21:M21"/>
    <mergeCell ref="N21:O21"/>
    <mergeCell ref="P21:Q21"/>
    <mergeCell ref="F22:G22"/>
    <mergeCell ref="H22:I22"/>
    <mergeCell ref="J22:K22"/>
    <mergeCell ref="L22:M22"/>
    <mergeCell ref="N22:O22"/>
    <mergeCell ref="P22:Q22"/>
    <mergeCell ref="F23:G23"/>
    <mergeCell ref="H23:I23"/>
    <mergeCell ref="J23:K23"/>
    <mergeCell ref="L23:M23"/>
    <mergeCell ref="N23:O23"/>
    <mergeCell ref="P23:Q23"/>
    <mergeCell ref="F24:G24"/>
    <mergeCell ref="H24:I24"/>
    <mergeCell ref="J24:K24"/>
    <mergeCell ref="L24:M24"/>
    <mergeCell ref="N24:O24"/>
    <mergeCell ref="P24:Q24"/>
    <mergeCell ref="F33:G33"/>
    <mergeCell ref="H33:I33"/>
    <mergeCell ref="J33:K33"/>
    <mergeCell ref="L33:M33"/>
    <mergeCell ref="N33:O33"/>
    <mergeCell ref="P33:Q33"/>
    <mergeCell ref="J30:K30"/>
    <mergeCell ref="L30:M30"/>
    <mergeCell ref="N30:O30"/>
    <mergeCell ref="P30:Q30"/>
    <mergeCell ref="F31:G31"/>
    <mergeCell ref="H31:I31"/>
    <mergeCell ref="J31:K31"/>
    <mergeCell ref="L31:M31"/>
    <mergeCell ref="N31:O31"/>
    <mergeCell ref="P31:Q31"/>
    <mergeCell ref="F32:G32"/>
    <mergeCell ref="H32:I32"/>
    <mergeCell ref="J32:K32"/>
    <mergeCell ref="L32:M32"/>
    <mergeCell ref="J80:K80"/>
    <mergeCell ref="L80:M80"/>
    <mergeCell ref="N80:O80"/>
    <mergeCell ref="P80:Q80"/>
    <mergeCell ref="N35:O35"/>
    <mergeCell ref="P35:Q35"/>
    <mergeCell ref="F36:G36"/>
    <mergeCell ref="H36:I36"/>
    <mergeCell ref="J36:K36"/>
    <mergeCell ref="L36:M36"/>
    <mergeCell ref="N36:O36"/>
    <mergeCell ref="P36:Q36"/>
    <mergeCell ref="F37:G37"/>
    <mergeCell ref="H37:I37"/>
    <mergeCell ref="J37:K37"/>
    <mergeCell ref="L37:M37"/>
    <mergeCell ref="N37:O37"/>
    <mergeCell ref="P37:Q37"/>
    <mergeCell ref="F38:G38"/>
    <mergeCell ref="H38:I38"/>
    <mergeCell ref="J38:K38"/>
    <mergeCell ref="L38:M38"/>
    <mergeCell ref="N38:O38"/>
    <mergeCell ref="P38:Q38"/>
    <mergeCell ref="F52:G52"/>
    <mergeCell ref="H52:I52"/>
    <mergeCell ref="J52:K52"/>
    <mergeCell ref="L52:M52"/>
    <mergeCell ref="N52:O52"/>
    <mergeCell ref="P52:Q52"/>
    <mergeCell ref="F53:G53"/>
    <mergeCell ref="H53:I53"/>
  </mergeCells>
  <phoneticPr fontId="28" type="noConversion"/>
  <pageMargins left="0.7" right="0.7" top="0.75" bottom="0.75" header="0.3" footer="0.3"/>
  <pageSetup scale="46" orientation="portrait" r:id="rId1"/>
  <drawing r:id="rId2"/>
  <legacyDrawing r:id="rId3"/>
  <oleObjects>
    <mc:AlternateContent xmlns:mc="http://schemas.openxmlformats.org/markup-compatibility/2006">
      <mc:Choice Requires="x14">
        <oleObject progId="CorelDraw.Graphic.16" shapeId="7169" r:id="rId4">
          <objectPr defaultSize="0" autoPict="0" r:id="rId5">
            <anchor moveWithCells="1" sizeWithCells="1">
              <from>
                <xdr:col>19</xdr:col>
                <xdr:colOff>60960</xdr:colOff>
                <xdr:row>0</xdr:row>
                <xdr:rowOff>0</xdr:rowOff>
              </from>
              <to>
                <xdr:col>19</xdr:col>
                <xdr:colOff>518160</xdr:colOff>
                <xdr:row>0</xdr:row>
                <xdr:rowOff>640080</xdr:rowOff>
              </to>
            </anchor>
          </objectPr>
        </oleObject>
      </mc:Choice>
      <mc:Fallback>
        <oleObject progId="CorelDraw.Graphic.16" shapeId="7169" r:id="rId4"/>
      </mc:Fallback>
    </mc:AlternateContent>
  </oleObjects>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D9EC02-5F65-49BD-B14C-27A4F3BBE686}">
  <sheetPr>
    <tabColor theme="5" tint="0.59999389629810485"/>
    <pageSetUpPr fitToPage="1"/>
  </sheetPr>
  <dimension ref="B1:X38"/>
  <sheetViews>
    <sheetView showGridLines="0" view="pageBreakPreview" topLeftCell="A3" zoomScale="80" zoomScaleNormal="100" zoomScaleSheetLayoutView="80" workbookViewId="0">
      <selection activeCell="P34" sqref="P34"/>
    </sheetView>
  </sheetViews>
  <sheetFormatPr baseColWidth="10" defaultColWidth="11.5546875" defaultRowHeight="14.4"/>
  <cols>
    <col min="1" max="1" width="5.44140625" style="105" customWidth="1"/>
    <col min="2" max="2" width="7.88671875" style="105" customWidth="1"/>
    <col min="3" max="3" width="20.5546875" style="105" customWidth="1"/>
    <col min="4" max="4" width="15.5546875" style="105" customWidth="1"/>
    <col min="5" max="5" width="28.109375" style="105" customWidth="1"/>
    <col min="6" max="11" width="15.5546875" style="105" customWidth="1"/>
    <col min="12" max="12" width="2.88671875" style="105" customWidth="1"/>
    <col min="13" max="16384" width="11.5546875" style="105"/>
  </cols>
  <sheetData>
    <row r="1" spans="2:24" ht="15" thickBot="1"/>
    <row r="2" spans="2:24" ht="15.6" thickTop="1" thickBot="1">
      <c r="B2" s="525"/>
      <c r="C2" s="526"/>
      <c r="D2" s="526"/>
      <c r="E2" s="526"/>
      <c r="F2" s="526"/>
      <c r="G2" s="526"/>
      <c r="H2" s="526"/>
      <c r="I2" s="526"/>
      <c r="J2" s="526"/>
      <c r="K2" s="526"/>
      <c r="L2" s="527"/>
    </row>
    <row r="3" spans="2:24" ht="6.75" customHeight="1">
      <c r="B3" s="528"/>
      <c r="C3" s="114"/>
      <c r="D3" s="113"/>
      <c r="E3" s="559" t="s">
        <v>242</v>
      </c>
      <c r="F3" s="560"/>
      <c r="G3" s="560"/>
      <c r="H3" s="560"/>
      <c r="I3" s="560"/>
      <c r="J3" s="538" t="s">
        <v>77</v>
      </c>
      <c r="K3" s="539"/>
      <c r="L3" s="530"/>
    </row>
    <row r="4" spans="2:24" ht="7.5" customHeight="1">
      <c r="B4" s="528"/>
      <c r="C4" s="112"/>
      <c r="D4" s="111"/>
      <c r="E4" s="561"/>
      <c r="F4" s="562"/>
      <c r="G4" s="562"/>
      <c r="H4" s="562"/>
      <c r="I4" s="562"/>
      <c r="J4" s="540"/>
      <c r="K4" s="541"/>
      <c r="L4" s="530"/>
    </row>
    <row r="5" spans="2:24" ht="15.9" customHeight="1">
      <c r="B5" s="528"/>
      <c r="C5" s="112"/>
      <c r="D5" s="111"/>
      <c r="E5" s="561"/>
      <c r="F5" s="562"/>
      <c r="G5" s="562"/>
      <c r="H5" s="562"/>
      <c r="I5" s="562"/>
      <c r="J5" s="540" t="s">
        <v>78</v>
      </c>
      <c r="K5" s="541"/>
      <c r="L5" s="530"/>
    </row>
    <row r="6" spans="2:24" ht="15.9" customHeight="1">
      <c r="B6" s="528"/>
      <c r="C6" s="112"/>
      <c r="D6" s="111"/>
      <c r="E6" s="561"/>
      <c r="F6" s="562"/>
      <c r="G6" s="562"/>
      <c r="H6" s="562"/>
      <c r="I6" s="562"/>
      <c r="J6" s="540" t="s">
        <v>79</v>
      </c>
      <c r="K6" s="541"/>
      <c r="L6" s="530"/>
    </row>
    <row r="7" spans="2:24" ht="15.9" customHeight="1" thickBot="1">
      <c r="B7" s="528"/>
      <c r="C7" s="110"/>
      <c r="D7" s="109"/>
      <c r="E7" s="563"/>
      <c r="F7" s="564"/>
      <c r="G7" s="564"/>
      <c r="H7" s="564"/>
      <c r="I7" s="564"/>
      <c r="J7" s="555" t="s">
        <v>80</v>
      </c>
      <c r="K7" s="556"/>
      <c r="L7" s="530"/>
    </row>
    <row r="8" spans="2:24" ht="8.4" customHeight="1">
      <c r="B8" s="528"/>
      <c r="C8"/>
      <c r="D8"/>
      <c r="E8"/>
      <c r="F8"/>
      <c r="G8"/>
      <c r="H8"/>
      <c r="I8"/>
      <c r="J8"/>
      <c r="K8"/>
      <c r="L8" s="530"/>
    </row>
    <row r="9" spans="2:24">
      <c r="B9" s="528"/>
      <c r="C9"/>
      <c r="D9"/>
      <c r="E9"/>
      <c r="F9"/>
      <c r="G9"/>
      <c r="H9"/>
      <c r="I9"/>
      <c r="J9"/>
      <c r="K9"/>
      <c r="L9" s="530"/>
    </row>
    <row r="10" spans="2:24">
      <c r="B10" s="528"/>
      <c r="C10"/>
      <c r="D10"/>
      <c r="E10"/>
      <c r="F10"/>
      <c r="G10"/>
      <c r="H10"/>
      <c r="I10"/>
      <c r="J10"/>
      <c r="K10"/>
      <c r="L10" s="530"/>
      <c r="T10" s="157">
        <v>0</v>
      </c>
      <c r="U10" s="157">
        <v>500</v>
      </c>
      <c r="V10" s="157">
        <v>1000</v>
      </c>
      <c r="W10" s="157">
        <v>2000</v>
      </c>
      <c r="X10" s="157">
        <v>10000</v>
      </c>
    </row>
    <row r="11" spans="2:24">
      <c r="B11" s="528"/>
      <c r="C11"/>
      <c r="D11"/>
      <c r="E11"/>
      <c r="F11"/>
      <c r="G11"/>
      <c r="H11"/>
      <c r="I11"/>
      <c r="J11"/>
      <c r="K11"/>
      <c r="L11" s="530"/>
      <c r="T11" s="157">
        <v>4000</v>
      </c>
      <c r="U11" s="157">
        <v>500</v>
      </c>
      <c r="V11" s="157">
        <v>1000</v>
      </c>
      <c r="W11" s="157">
        <v>2000</v>
      </c>
      <c r="X11" s="157">
        <v>10000</v>
      </c>
    </row>
    <row r="12" spans="2:24">
      <c r="B12" s="528"/>
      <c r="C12"/>
      <c r="D12"/>
      <c r="E12"/>
      <c r="F12"/>
      <c r="G12"/>
      <c r="H12"/>
      <c r="I12"/>
      <c r="J12"/>
      <c r="K12"/>
      <c r="L12" s="530"/>
    </row>
    <row r="13" spans="2:24">
      <c r="B13" s="528"/>
      <c r="C13"/>
      <c r="D13"/>
      <c r="E13"/>
      <c r="F13"/>
      <c r="G13"/>
      <c r="H13"/>
      <c r="I13"/>
      <c r="J13"/>
      <c r="K13"/>
      <c r="L13" s="530"/>
    </row>
    <row r="14" spans="2:24">
      <c r="B14" s="528"/>
      <c r="C14"/>
      <c r="D14"/>
      <c r="E14"/>
      <c r="F14"/>
      <c r="G14"/>
      <c r="H14"/>
      <c r="I14"/>
      <c r="J14"/>
      <c r="K14"/>
      <c r="L14" s="530"/>
    </row>
    <row r="15" spans="2:24">
      <c r="B15" s="528"/>
      <c r="C15"/>
      <c r="D15"/>
      <c r="E15"/>
      <c r="F15"/>
      <c r="G15"/>
      <c r="H15"/>
      <c r="I15"/>
      <c r="J15"/>
      <c r="K15"/>
      <c r="L15" s="530"/>
    </row>
    <row r="16" spans="2:24">
      <c r="B16" s="528"/>
      <c r="C16"/>
      <c r="D16"/>
      <c r="E16"/>
      <c r="F16"/>
      <c r="G16"/>
      <c r="H16"/>
      <c r="I16"/>
      <c r="J16"/>
      <c r="K16"/>
      <c r="L16" s="530"/>
    </row>
    <row r="17" spans="2:12">
      <c r="B17" s="528"/>
      <c r="C17"/>
      <c r="D17"/>
      <c r="E17"/>
      <c r="F17"/>
      <c r="G17"/>
      <c r="H17"/>
      <c r="I17"/>
      <c r="J17"/>
      <c r="K17"/>
      <c r="L17" s="530"/>
    </row>
    <row r="18" spans="2:12">
      <c r="B18" s="528"/>
      <c r="C18"/>
      <c r="D18"/>
      <c r="E18"/>
      <c r="F18"/>
      <c r="G18"/>
      <c r="H18"/>
      <c r="I18"/>
      <c r="J18"/>
      <c r="K18"/>
      <c r="L18" s="530"/>
    </row>
    <row r="19" spans="2:12">
      <c r="B19" s="528"/>
      <c r="C19"/>
      <c r="D19"/>
      <c r="E19"/>
      <c r="F19"/>
      <c r="G19"/>
      <c r="H19"/>
      <c r="I19"/>
      <c r="J19"/>
      <c r="K19"/>
      <c r="L19" s="530"/>
    </row>
    <row r="20" spans="2:12">
      <c r="B20" s="528"/>
      <c r="C20"/>
      <c r="D20"/>
      <c r="E20"/>
      <c r="F20"/>
      <c r="G20"/>
      <c r="H20"/>
      <c r="I20"/>
      <c r="J20"/>
      <c r="K20"/>
      <c r="L20" s="530"/>
    </row>
    <row r="21" spans="2:12">
      <c r="B21" s="528"/>
      <c r="C21"/>
      <c r="D21"/>
      <c r="E21"/>
      <c r="F21"/>
      <c r="G21"/>
      <c r="H21"/>
      <c r="I21"/>
      <c r="J21"/>
      <c r="K21"/>
      <c r="L21" s="530"/>
    </row>
    <row r="22" spans="2:12">
      <c r="B22" s="528"/>
      <c r="C22"/>
      <c r="D22"/>
      <c r="E22"/>
      <c r="F22"/>
      <c r="G22"/>
      <c r="H22"/>
      <c r="I22"/>
      <c r="J22"/>
      <c r="K22"/>
      <c r="L22" s="530"/>
    </row>
    <row r="23" spans="2:12">
      <c r="B23" s="528"/>
      <c r="C23"/>
      <c r="D23"/>
      <c r="E23"/>
      <c r="F23"/>
      <c r="G23"/>
      <c r="H23"/>
      <c r="I23"/>
      <c r="J23"/>
      <c r="K23"/>
      <c r="L23" s="530"/>
    </row>
    <row r="24" spans="2:12">
      <c r="B24" s="528"/>
      <c r="C24"/>
      <c r="D24"/>
      <c r="E24"/>
      <c r="F24"/>
      <c r="G24"/>
      <c r="H24"/>
      <c r="I24"/>
      <c r="J24"/>
      <c r="K24"/>
      <c r="L24" s="530"/>
    </row>
    <row r="25" spans="2:12">
      <c r="B25" s="528"/>
      <c r="C25"/>
      <c r="D25"/>
      <c r="E25"/>
      <c r="F25"/>
      <c r="G25"/>
      <c r="H25"/>
      <c r="I25"/>
      <c r="J25"/>
      <c r="K25"/>
      <c r="L25" s="530"/>
    </row>
    <row r="26" spans="2:12">
      <c r="B26" s="528"/>
      <c r="C26"/>
      <c r="D26"/>
      <c r="E26"/>
      <c r="F26"/>
      <c r="G26"/>
      <c r="H26"/>
      <c r="I26"/>
      <c r="J26"/>
      <c r="K26"/>
      <c r="L26" s="530"/>
    </row>
    <row r="27" spans="2:12" ht="85.5" customHeight="1">
      <c r="B27" s="528"/>
      <c r="C27"/>
      <c r="D27"/>
      <c r="E27"/>
      <c r="F27"/>
      <c r="G27"/>
      <c r="H27"/>
      <c r="I27"/>
      <c r="J27"/>
      <c r="K27"/>
      <c r="L27" s="530"/>
    </row>
    <row r="28" spans="2:12">
      <c r="B28" s="528"/>
      <c r="C28"/>
      <c r="D28"/>
      <c r="E28"/>
      <c r="F28"/>
      <c r="G28"/>
      <c r="H28"/>
      <c r="I28"/>
      <c r="J28"/>
      <c r="K28"/>
      <c r="L28" s="530"/>
    </row>
    <row r="29" spans="2:12" ht="45" customHeight="1">
      <c r="B29" s="528"/>
      <c r="C29"/>
      <c r="D29"/>
      <c r="E29"/>
      <c r="F29"/>
      <c r="G29"/>
      <c r="H29"/>
      <c r="I29"/>
      <c r="J29"/>
      <c r="K29"/>
      <c r="L29" s="530"/>
    </row>
    <row r="30" spans="2:12" ht="9.6" customHeight="1" thickBot="1">
      <c r="B30" s="528"/>
      <c r="C30" s="571"/>
      <c r="D30" s="571"/>
      <c r="E30" s="571"/>
      <c r="F30" s="534"/>
      <c r="G30" s="534"/>
      <c r="H30" s="534"/>
      <c r="I30" s="534"/>
      <c r="J30" s="534"/>
      <c r="K30" s="534"/>
      <c r="L30" s="530"/>
    </row>
    <row r="31" spans="2:12" ht="20.100000000000001" customHeight="1">
      <c r="B31" s="528"/>
      <c r="C31" s="212" t="s">
        <v>210</v>
      </c>
      <c r="D31" s="572">
        <f>Informe!G6</f>
        <v>0</v>
      </c>
      <c r="E31" s="573"/>
      <c r="F31" s="536" t="s">
        <v>205</v>
      </c>
      <c r="G31" s="536"/>
      <c r="H31" s="536"/>
      <c r="I31" s="536"/>
      <c r="J31" s="536"/>
      <c r="K31" s="537"/>
      <c r="L31" s="530"/>
    </row>
    <row r="32" spans="2:12" ht="28.2" customHeight="1">
      <c r="B32" s="528"/>
      <c r="C32" s="213" t="s">
        <v>211</v>
      </c>
      <c r="D32" s="574" t="str">
        <f>Informe!G7</f>
        <v>Mariquita_Cali</v>
      </c>
      <c r="E32" s="575"/>
      <c r="F32" s="576" t="s">
        <v>243</v>
      </c>
      <c r="G32" s="576"/>
      <c r="H32" s="576"/>
      <c r="I32" s="576"/>
      <c r="J32" s="576"/>
      <c r="K32" s="577"/>
      <c r="L32" s="530"/>
    </row>
    <row r="33" spans="2:12" ht="30" customHeight="1">
      <c r="B33" s="528"/>
      <c r="C33" s="213" t="s">
        <v>213</v>
      </c>
      <c r="D33" s="574">
        <f>Informe!G8</f>
        <v>0</v>
      </c>
      <c r="E33" s="575"/>
      <c r="F33" s="578"/>
      <c r="G33" s="578"/>
      <c r="H33" s="578"/>
      <c r="I33" s="578"/>
      <c r="J33" s="578"/>
      <c r="K33" s="579"/>
      <c r="L33" s="530"/>
    </row>
    <row r="34" spans="2:12" ht="30" customHeight="1">
      <c r="B34" s="528"/>
      <c r="C34" s="213" t="s">
        <v>115</v>
      </c>
      <c r="D34" s="582">
        <f>Informe!G36+Informe!G35</f>
        <v>4</v>
      </c>
      <c r="E34" s="583"/>
      <c r="F34" s="578"/>
      <c r="G34" s="578"/>
      <c r="H34" s="578"/>
      <c r="I34" s="578"/>
      <c r="J34" s="578"/>
      <c r="K34" s="579"/>
      <c r="L34" s="530"/>
    </row>
    <row r="35" spans="2:12" ht="28.95" customHeight="1">
      <c r="B35" s="528"/>
      <c r="C35" s="213" t="s">
        <v>214</v>
      </c>
      <c r="D35" s="567">
        <f>Informe!U9</f>
        <v>0</v>
      </c>
      <c r="E35" s="568"/>
      <c r="F35" s="578"/>
      <c r="G35" s="578"/>
      <c r="H35" s="578"/>
      <c r="I35" s="578"/>
      <c r="J35" s="578"/>
      <c r="K35" s="579"/>
      <c r="L35" s="530"/>
    </row>
    <row r="36" spans="2:12" ht="34.950000000000003" customHeight="1" thickBot="1">
      <c r="B36" s="528"/>
      <c r="C36" s="214" t="s">
        <v>215</v>
      </c>
      <c r="D36" s="569">
        <f>Informe!U8</f>
        <v>0</v>
      </c>
      <c r="E36" s="570"/>
      <c r="F36" s="580"/>
      <c r="G36" s="580"/>
      <c r="H36" s="580"/>
      <c r="I36" s="580"/>
      <c r="J36" s="580"/>
      <c r="K36" s="581"/>
      <c r="L36" s="530"/>
    </row>
    <row r="37" spans="2:12" ht="15" thickBot="1">
      <c r="B37" s="529"/>
      <c r="C37" s="532"/>
      <c r="D37" s="532"/>
      <c r="E37" s="532"/>
      <c r="F37" s="532"/>
      <c r="G37" s="532"/>
      <c r="H37" s="532"/>
      <c r="I37" s="532"/>
      <c r="J37" s="532"/>
      <c r="K37" s="532"/>
      <c r="L37" s="531"/>
    </row>
    <row r="38" spans="2:12" ht="15" thickTop="1"/>
  </sheetData>
  <mergeCells count="18">
    <mergeCell ref="D33:E33"/>
    <mergeCell ref="D34:E34"/>
    <mergeCell ref="D35:E35"/>
    <mergeCell ref="D36:E36"/>
    <mergeCell ref="B2:L2"/>
    <mergeCell ref="B3:B37"/>
    <mergeCell ref="E3:I7"/>
    <mergeCell ref="J3:K4"/>
    <mergeCell ref="L3:L37"/>
    <mergeCell ref="J5:K5"/>
    <mergeCell ref="J6:K6"/>
    <mergeCell ref="J7:K7"/>
    <mergeCell ref="C30:K30"/>
    <mergeCell ref="D31:E31"/>
    <mergeCell ref="C37:K37"/>
    <mergeCell ref="F31:K31"/>
    <mergeCell ref="D32:E32"/>
    <mergeCell ref="F32:K36"/>
  </mergeCells>
  <pageMargins left="0.7" right="0.7" top="0.75" bottom="0.75" header="0.3" footer="0.3"/>
  <pageSetup scale="53" orientation="portrait" r:id="rId1"/>
  <drawing r:id="rId2"/>
  <legacyDrawing r:id="rId3"/>
  <oleObjects>
    <mc:AlternateContent xmlns:mc="http://schemas.openxmlformats.org/markup-compatibility/2006">
      <mc:Choice Requires="x14">
        <oleObject progId="CorelDraw.Graphic.16" shapeId="8193" r:id="rId4">
          <objectPr defaultSize="0" autoPict="0" r:id="rId5">
            <anchor moveWithCells="1" sizeWithCells="1">
              <from>
                <xdr:col>10</xdr:col>
                <xdr:colOff>289560</xdr:colOff>
                <xdr:row>2</xdr:row>
                <xdr:rowOff>22860</xdr:rowOff>
              </from>
              <to>
                <xdr:col>10</xdr:col>
                <xdr:colOff>807720</xdr:colOff>
                <xdr:row>6</xdr:row>
                <xdr:rowOff>190500</xdr:rowOff>
              </to>
            </anchor>
          </objectPr>
        </oleObject>
      </mc:Choice>
      <mc:Fallback>
        <oleObject progId="CorelDraw.Graphic.16" shapeId="8193" r:id="rId4"/>
      </mc:Fallback>
    </mc:AlternateContent>
  </oleObjects>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261DB3-E2C6-4BC1-97D8-7987C68217F0}">
  <sheetPr>
    <tabColor theme="3"/>
    <pageSetUpPr fitToPage="1"/>
  </sheetPr>
  <dimension ref="A1:AG294"/>
  <sheetViews>
    <sheetView view="pageBreakPreview" topLeftCell="A88" zoomScale="80" zoomScaleNormal="80" zoomScaleSheetLayoutView="80" zoomScalePageLayoutView="55" workbookViewId="0">
      <selection activeCell="G123" sqref="G123:K123"/>
    </sheetView>
  </sheetViews>
  <sheetFormatPr baseColWidth="10" defaultColWidth="9.109375" defaultRowHeight="13.2"/>
  <cols>
    <col min="1" max="1" width="5.6640625" style="19" customWidth="1"/>
    <col min="2" max="4" width="15.6640625" style="19" customWidth="1"/>
    <col min="5" max="6" width="30.6640625" style="20" customWidth="1"/>
    <col min="7" max="11" width="15.6640625" style="20" customWidth="1"/>
    <col min="12" max="12" width="45.6640625" style="20" customWidth="1"/>
    <col min="13" max="13" width="60.6640625" style="20" customWidth="1"/>
    <col min="14" max="14" width="41.109375" style="20" customWidth="1"/>
    <col min="15" max="16" width="9.109375" style="18"/>
    <col min="17" max="246" width="9.109375" style="19"/>
    <col min="247" max="247" width="5.109375" style="19" bestFit="1" customWidth="1"/>
    <col min="248" max="248" width="15.6640625" style="19" customWidth="1"/>
    <col min="249" max="249" width="14.5546875" style="19" bestFit="1" customWidth="1"/>
    <col min="250" max="250" width="16.88671875" style="19" bestFit="1" customWidth="1"/>
    <col min="251" max="251" width="9.5546875" style="19" customWidth="1"/>
    <col min="252" max="252" width="16.109375" style="19" bestFit="1" customWidth="1"/>
    <col min="253" max="253" width="9.44140625" style="19" customWidth="1"/>
    <col min="254" max="254" width="9.33203125" style="19" customWidth="1"/>
    <col min="255" max="255" width="10.6640625" style="19" bestFit="1" customWidth="1"/>
    <col min="256" max="256" width="15.33203125" style="19" bestFit="1" customWidth="1"/>
    <col min="257" max="257" width="18.88671875" style="19" bestFit="1" customWidth="1"/>
    <col min="258" max="258" width="9.109375" style="19" customWidth="1"/>
    <col min="259" max="259" width="12.44140625" style="19" customWidth="1"/>
    <col min="260" max="260" width="23.6640625" style="19" customWidth="1"/>
    <col min="261" max="502" width="9.109375" style="19"/>
    <col min="503" max="503" width="5.109375" style="19" bestFit="1" customWidth="1"/>
    <col min="504" max="504" width="15.6640625" style="19" customWidth="1"/>
    <col min="505" max="505" width="14.5546875" style="19" bestFit="1" customWidth="1"/>
    <col min="506" max="506" width="16.88671875" style="19" bestFit="1" customWidth="1"/>
    <col min="507" max="507" width="9.5546875" style="19" customWidth="1"/>
    <col min="508" max="508" width="16.109375" style="19" bestFit="1" customWidth="1"/>
    <col min="509" max="509" width="9.44140625" style="19" customWidth="1"/>
    <col min="510" max="510" width="9.33203125" style="19" customWidth="1"/>
    <col min="511" max="511" width="10.6640625" style="19" bestFit="1" customWidth="1"/>
    <col min="512" max="512" width="15.33203125" style="19" bestFit="1" customWidth="1"/>
    <col min="513" max="513" width="18.88671875" style="19" bestFit="1" customWidth="1"/>
    <col min="514" max="514" width="9.109375" style="19" customWidth="1"/>
    <col min="515" max="515" width="12.44140625" style="19" customWidth="1"/>
    <col min="516" max="516" width="23.6640625" style="19" customWidth="1"/>
    <col min="517" max="758" width="9.109375" style="19"/>
    <col min="759" max="759" width="5.109375" style="19" bestFit="1" customWidth="1"/>
    <col min="760" max="760" width="15.6640625" style="19" customWidth="1"/>
    <col min="761" max="761" width="14.5546875" style="19" bestFit="1" customWidth="1"/>
    <col min="762" max="762" width="16.88671875" style="19" bestFit="1" customWidth="1"/>
    <col min="763" max="763" width="9.5546875" style="19" customWidth="1"/>
    <col min="764" max="764" width="16.109375" style="19" bestFit="1" customWidth="1"/>
    <col min="765" max="765" width="9.44140625" style="19" customWidth="1"/>
    <col min="766" max="766" width="9.33203125" style="19" customWidth="1"/>
    <col min="767" max="767" width="10.6640625" style="19" bestFit="1" customWidth="1"/>
    <col min="768" max="768" width="15.33203125" style="19" bestFit="1" customWidth="1"/>
    <col min="769" max="769" width="18.88671875" style="19" bestFit="1" customWidth="1"/>
    <col min="770" max="770" width="9.109375" style="19" customWidth="1"/>
    <col min="771" max="771" width="12.44140625" style="19" customWidth="1"/>
    <col min="772" max="772" width="23.6640625" style="19" customWidth="1"/>
    <col min="773" max="1014" width="9.109375" style="19"/>
    <col min="1015" max="1015" width="5.109375" style="19" bestFit="1" customWidth="1"/>
    <col min="1016" max="1016" width="15.6640625" style="19" customWidth="1"/>
    <col min="1017" max="1017" width="14.5546875" style="19" bestFit="1" customWidth="1"/>
    <col min="1018" max="1018" width="16.88671875" style="19" bestFit="1" customWidth="1"/>
    <col min="1019" max="1019" width="9.5546875" style="19" customWidth="1"/>
    <col min="1020" max="1020" width="16.109375" style="19" bestFit="1" customWidth="1"/>
    <col min="1021" max="1021" width="9.44140625" style="19" customWidth="1"/>
    <col min="1022" max="1022" width="9.33203125" style="19" customWidth="1"/>
    <col min="1023" max="1023" width="10.6640625" style="19" bestFit="1" customWidth="1"/>
    <col min="1024" max="1024" width="15.33203125" style="19" bestFit="1" customWidth="1"/>
    <col min="1025" max="1025" width="18.88671875" style="19" bestFit="1" customWidth="1"/>
    <col min="1026" max="1026" width="9.109375" style="19" customWidth="1"/>
    <col min="1027" max="1027" width="12.44140625" style="19" customWidth="1"/>
    <col min="1028" max="1028" width="23.6640625" style="19" customWidth="1"/>
    <col min="1029" max="1270" width="9.109375" style="19"/>
    <col min="1271" max="1271" width="5.109375" style="19" bestFit="1" customWidth="1"/>
    <col min="1272" max="1272" width="15.6640625" style="19" customWidth="1"/>
    <col min="1273" max="1273" width="14.5546875" style="19" bestFit="1" customWidth="1"/>
    <col min="1274" max="1274" width="16.88671875" style="19" bestFit="1" customWidth="1"/>
    <col min="1275" max="1275" width="9.5546875" style="19" customWidth="1"/>
    <col min="1276" max="1276" width="16.109375" style="19" bestFit="1" customWidth="1"/>
    <col min="1277" max="1277" width="9.44140625" style="19" customWidth="1"/>
    <col min="1278" max="1278" width="9.33203125" style="19" customWidth="1"/>
    <col min="1279" max="1279" width="10.6640625" style="19" bestFit="1" customWidth="1"/>
    <col min="1280" max="1280" width="15.33203125" style="19" bestFit="1" customWidth="1"/>
    <col min="1281" max="1281" width="18.88671875" style="19" bestFit="1" customWidth="1"/>
    <col min="1282" max="1282" width="9.109375" style="19" customWidth="1"/>
    <col min="1283" max="1283" width="12.44140625" style="19" customWidth="1"/>
    <col min="1284" max="1284" width="23.6640625" style="19" customWidth="1"/>
    <col min="1285" max="1526" width="9.109375" style="19"/>
    <col min="1527" max="1527" width="5.109375" style="19" bestFit="1" customWidth="1"/>
    <col min="1528" max="1528" width="15.6640625" style="19" customWidth="1"/>
    <col min="1529" max="1529" width="14.5546875" style="19" bestFit="1" customWidth="1"/>
    <col min="1530" max="1530" width="16.88671875" style="19" bestFit="1" customWidth="1"/>
    <col min="1531" max="1531" width="9.5546875" style="19" customWidth="1"/>
    <col min="1532" max="1532" width="16.109375" style="19" bestFit="1" customWidth="1"/>
    <col min="1533" max="1533" width="9.44140625" style="19" customWidth="1"/>
    <col min="1534" max="1534" width="9.33203125" style="19" customWidth="1"/>
    <col min="1535" max="1535" width="10.6640625" style="19" bestFit="1" customWidth="1"/>
    <col min="1536" max="1536" width="15.33203125" style="19" bestFit="1" customWidth="1"/>
    <col min="1537" max="1537" width="18.88671875" style="19" bestFit="1" customWidth="1"/>
    <col min="1538" max="1538" width="9.109375" style="19" customWidth="1"/>
    <col min="1539" max="1539" width="12.44140625" style="19" customWidth="1"/>
    <col min="1540" max="1540" width="23.6640625" style="19" customWidth="1"/>
    <col min="1541" max="1782" width="9.109375" style="19"/>
    <col min="1783" max="1783" width="5.109375" style="19" bestFit="1" customWidth="1"/>
    <col min="1784" max="1784" width="15.6640625" style="19" customWidth="1"/>
    <col min="1785" max="1785" width="14.5546875" style="19" bestFit="1" customWidth="1"/>
    <col min="1786" max="1786" width="16.88671875" style="19" bestFit="1" customWidth="1"/>
    <col min="1787" max="1787" width="9.5546875" style="19" customWidth="1"/>
    <col min="1788" max="1788" width="16.109375" style="19" bestFit="1" customWidth="1"/>
    <col min="1789" max="1789" width="9.44140625" style="19" customWidth="1"/>
    <col min="1790" max="1790" width="9.33203125" style="19" customWidth="1"/>
    <col min="1791" max="1791" width="10.6640625" style="19" bestFit="1" customWidth="1"/>
    <col min="1792" max="1792" width="15.33203125" style="19" bestFit="1" customWidth="1"/>
    <col min="1793" max="1793" width="18.88671875" style="19" bestFit="1" customWidth="1"/>
    <col min="1794" max="1794" width="9.109375" style="19" customWidth="1"/>
    <col min="1795" max="1795" width="12.44140625" style="19" customWidth="1"/>
    <col min="1796" max="1796" width="23.6640625" style="19" customWidth="1"/>
    <col min="1797" max="2038" width="9.109375" style="19"/>
    <col min="2039" max="2039" width="5.109375" style="19" bestFit="1" customWidth="1"/>
    <col min="2040" max="2040" width="15.6640625" style="19" customWidth="1"/>
    <col min="2041" max="2041" width="14.5546875" style="19" bestFit="1" customWidth="1"/>
    <col min="2042" max="2042" width="16.88671875" style="19" bestFit="1" customWidth="1"/>
    <col min="2043" max="2043" width="9.5546875" style="19" customWidth="1"/>
    <col min="2044" max="2044" width="16.109375" style="19" bestFit="1" customWidth="1"/>
    <col min="2045" max="2045" width="9.44140625" style="19" customWidth="1"/>
    <col min="2046" max="2046" width="9.33203125" style="19" customWidth="1"/>
    <col min="2047" max="2047" width="10.6640625" style="19" bestFit="1" customWidth="1"/>
    <col min="2048" max="2048" width="15.33203125" style="19" bestFit="1" customWidth="1"/>
    <col min="2049" max="2049" width="18.88671875" style="19" bestFit="1" customWidth="1"/>
    <col min="2050" max="2050" width="9.109375" style="19" customWidth="1"/>
    <col min="2051" max="2051" width="12.44140625" style="19" customWidth="1"/>
    <col min="2052" max="2052" width="23.6640625" style="19" customWidth="1"/>
    <col min="2053" max="2294" width="9.109375" style="19"/>
    <col min="2295" max="2295" width="5.109375" style="19" bestFit="1" customWidth="1"/>
    <col min="2296" max="2296" width="15.6640625" style="19" customWidth="1"/>
    <col min="2297" max="2297" width="14.5546875" style="19" bestFit="1" customWidth="1"/>
    <col min="2298" max="2298" width="16.88671875" style="19" bestFit="1" customWidth="1"/>
    <col min="2299" max="2299" width="9.5546875" style="19" customWidth="1"/>
    <col min="2300" max="2300" width="16.109375" style="19" bestFit="1" customWidth="1"/>
    <col min="2301" max="2301" width="9.44140625" style="19" customWidth="1"/>
    <col min="2302" max="2302" width="9.33203125" style="19" customWidth="1"/>
    <col min="2303" max="2303" width="10.6640625" style="19" bestFit="1" customWidth="1"/>
    <col min="2304" max="2304" width="15.33203125" style="19" bestFit="1" customWidth="1"/>
    <col min="2305" max="2305" width="18.88671875" style="19" bestFit="1" customWidth="1"/>
    <col min="2306" max="2306" width="9.109375" style="19" customWidth="1"/>
    <col min="2307" max="2307" width="12.44140625" style="19" customWidth="1"/>
    <col min="2308" max="2308" width="23.6640625" style="19" customWidth="1"/>
    <col min="2309" max="2550" width="9.109375" style="19"/>
    <col min="2551" max="2551" width="5.109375" style="19" bestFit="1" customWidth="1"/>
    <col min="2552" max="2552" width="15.6640625" style="19" customWidth="1"/>
    <col min="2553" max="2553" width="14.5546875" style="19" bestFit="1" customWidth="1"/>
    <col min="2554" max="2554" width="16.88671875" style="19" bestFit="1" customWidth="1"/>
    <col min="2555" max="2555" width="9.5546875" style="19" customWidth="1"/>
    <col min="2556" max="2556" width="16.109375" style="19" bestFit="1" customWidth="1"/>
    <col min="2557" max="2557" width="9.44140625" style="19" customWidth="1"/>
    <col min="2558" max="2558" width="9.33203125" style="19" customWidth="1"/>
    <col min="2559" max="2559" width="10.6640625" style="19" bestFit="1" customWidth="1"/>
    <col min="2560" max="2560" width="15.33203125" style="19" bestFit="1" customWidth="1"/>
    <col min="2561" max="2561" width="18.88671875" style="19" bestFit="1" customWidth="1"/>
    <col min="2562" max="2562" width="9.109375" style="19" customWidth="1"/>
    <col min="2563" max="2563" width="12.44140625" style="19" customWidth="1"/>
    <col min="2564" max="2564" width="23.6640625" style="19" customWidth="1"/>
    <col min="2565" max="2806" width="9.109375" style="19"/>
    <col min="2807" max="2807" width="5.109375" style="19" bestFit="1" customWidth="1"/>
    <col min="2808" max="2808" width="15.6640625" style="19" customWidth="1"/>
    <col min="2809" max="2809" width="14.5546875" style="19" bestFit="1" customWidth="1"/>
    <col min="2810" max="2810" width="16.88671875" style="19" bestFit="1" customWidth="1"/>
    <col min="2811" max="2811" width="9.5546875" style="19" customWidth="1"/>
    <col min="2812" max="2812" width="16.109375" style="19" bestFit="1" customWidth="1"/>
    <col min="2813" max="2813" width="9.44140625" style="19" customWidth="1"/>
    <col min="2814" max="2814" width="9.33203125" style="19" customWidth="1"/>
    <col min="2815" max="2815" width="10.6640625" style="19" bestFit="1" customWidth="1"/>
    <col min="2816" max="2816" width="15.33203125" style="19" bestFit="1" customWidth="1"/>
    <col min="2817" max="2817" width="18.88671875" style="19" bestFit="1" customWidth="1"/>
    <col min="2818" max="2818" width="9.109375" style="19" customWidth="1"/>
    <col min="2819" max="2819" width="12.44140625" style="19" customWidth="1"/>
    <col min="2820" max="2820" width="23.6640625" style="19" customWidth="1"/>
    <col min="2821" max="3062" width="9.109375" style="19"/>
    <col min="3063" max="3063" width="5.109375" style="19" bestFit="1" customWidth="1"/>
    <col min="3064" max="3064" width="15.6640625" style="19" customWidth="1"/>
    <col min="3065" max="3065" width="14.5546875" style="19" bestFit="1" customWidth="1"/>
    <col min="3066" max="3066" width="16.88671875" style="19" bestFit="1" customWidth="1"/>
    <col min="3067" max="3067" width="9.5546875" style="19" customWidth="1"/>
    <col min="3068" max="3068" width="16.109375" style="19" bestFit="1" customWidth="1"/>
    <col min="3069" max="3069" width="9.44140625" style="19" customWidth="1"/>
    <col min="3070" max="3070" width="9.33203125" style="19" customWidth="1"/>
    <col min="3071" max="3071" width="10.6640625" style="19" bestFit="1" customWidth="1"/>
    <col min="3072" max="3072" width="15.33203125" style="19" bestFit="1" customWidth="1"/>
    <col min="3073" max="3073" width="18.88671875" style="19" bestFit="1" customWidth="1"/>
    <col min="3074" max="3074" width="9.109375" style="19" customWidth="1"/>
    <col min="3075" max="3075" width="12.44140625" style="19" customWidth="1"/>
    <col min="3076" max="3076" width="23.6640625" style="19" customWidth="1"/>
    <col min="3077" max="3318" width="9.109375" style="19"/>
    <col min="3319" max="3319" width="5.109375" style="19" bestFit="1" customWidth="1"/>
    <col min="3320" max="3320" width="15.6640625" style="19" customWidth="1"/>
    <col min="3321" max="3321" width="14.5546875" style="19" bestFit="1" customWidth="1"/>
    <col min="3322" max="3322" width="16.88671875" style="19" bestFit="1" customWidth="1"/>
    <col min="3323" max="3323" width="9.5546875" style="19" customWidth="1"/>
    <col min="3324" max="3324" width="16.109375" style="19" bestFit="1" customWidth="1"/>
    <col min="3325" max="3325" width="9.44140625" style="19" customWidth="1"/>
    <col min="3326" max="3326" width="9.33203125" style="19" customWidth="1"/>
    <col min="3327" max="3327" width="10.6640625" style="19" bestFit="1" customWidth="1"/>
    <col min="3328" max="3328" width="15.33203125" style="19" bestFit="1" customWidth="1"/>
    <col min="3329" max="3329" width="18.88671875" style="19" bestFit="1" customWidth="1"/>
    <col min="3330" max="3330" width="9.109375" style="19" customWidth="1"/>
    <col min="3331" max="3331" width="12.44140625" style="19" customWidth="1"/>
    <col min="3332" max="3332" width="23.6640625" style="19" customWidth="1"/>
    <col min="3333" max="3574" width="9.109375" style="19"/>
    <col min="3575" max="3575" width="5.109375" style="19" bestFit="1" customWidth="1"/>
    <col min="3576" max="3576" width="15.6640625" style="19" customWidth="1"/>
    <col min="3577" max="3577" width="14.5546875" style="19" bestFit="1" customWidth="1"/>
    <col min="3578" max="3578" width="16.88671875" style="19" bestFit="1" customWidth="1"/>
    <col min="3579" max="3579" width="9.5546875" style="19" customWidth="1"/>
    <col min="3580" max="3580" width="16.109375" style="19" bestFit="1" customWidth="1"/>
    <col min="3581" max="3581" width="9.44140625" style="19" customWidth="1"/>
    <col min="3582" max="3582" width="9.33203125" style="19" customWidth="1"/>
    <col min="3583" max="3583" width="10.6640625" style="19" bestFit="1" customWidth="1"/>
    <col min="3584" max="3584" width="15.33203125" style="19" bestFit="1" customWidth="1"/>
    <col min="3585" max="3585" width="18.88671875" style="19" bestFit="1" customWidth="1"/>
    <col min="3586" max="3586" width="9.109375" style="19" customWidth="1"/>
    <col min="3587" max="3587" width="12.44140625" style="19" customWidth="1"/>
    <col min="3588" max="3588" width="23.6640625" style="19" customWidth="1"/>
    <col min="3589" max="3830" width="9.109375" style="19"/>
    <col min="3831" max="3831" width="5.109375" style="19" bestFit="1" customWidth="1"/>
    <col min="3832" max="3832" width="15.6640625" style="19" customWidth="1"/>
    <col min="3833" max="3833" width="14.5546875" style="19" bestFit="1" customWidth="1"/>
    <col min="3834" max="3834" width="16.88671875" style="19" bestFit="1" customWidth="1"/>
    <col min="3835" max="3835" width="9.5546875" style="19" customWidth="1"/>
    <col min="3836" max="3836" width="16.109375" style="19" bestFit="1" customWidth="1"/>
    <col min="3837" max="3837" width="9.44140625" style="19" customWidth="1"/>
    <col min="3838" max="3838" width="9.33203125" style="19" customWidth="1"/>
    <col min="3839" max="3839" width="10.6640625" style="19" bestFit="1" customWidth="1"/>
    <col min="3840" max="3840" width="15.33203125" style="19" bestFit="1" customWidth="1"/>
    <col min="3841" max="3841" width="18.88671875" style="19" bestFit="1" customWidth="1"/>
    <col min="3842" max="3842" width="9.109375" style="19" customWidth="1"/>
    <col min="3843" max="3843" width="12.44140625" style="19" customWidth="1"/>
    <col min="3844" max="3844" width="23.6640625" style="19" customWidth="1"/>
    <col min="3845" max="4086" width="9.109375" style="19"/>
    <col min="4087" max="4087" width="5.109375" style="19" bestFit="1" customWidth="1"/>
    <col min="4088" max="4088" width="15.6640625" style="19" customWidth="1"/>
    <col min="4089" max="4089" width="14.5546875" style="19" bestFit="1" customWidth="1"/>
    <col min="4090" max="4090" width="16.88671875" style="19" bestFit="1" customWidth="1"/>
    <col min="4091" max="4091" width="9.5546875" style="19" customWidth="1"/>
    <col min="4092" max="4092" width="16.109375" style="19" bestFit="1" customWidth="1"/>
    <col min="4093" max="4093" width="9.44140625" style="19" customWidth="1"/>
    <col min="4094" max="4094" width="9.33203125" style="19" customWidth="1"/>
    <col min="4095" max="4095" width="10.6640625" style="19" bestFit="1" customWidth="1"/>
    <col min="4096" max="4096" width="15.33203125" style="19" bestFit="1" customWidth="1"/>
    <col min="4097" max="4097" width="18.88671875" style="19" bestFit="1" customWidth="1"/>
    <col min="4098" max="4098" width="9.109375" style="19" customWidth="1"/>
    <col min="4099" max="4099" width="12.44140625" style="19" customWidth="1"/>
    <col min="4100" max="4100" width="23.6640625" style="19" customWidth="1"/>
    <col min="4101" max="4342" width="9.109375" style="19"/>
    <col min="4343" max="4343" width="5.109375" style="19" bestFit="1" customWidth="1"/>
    <col min="4344" max="4344" width="15.6640625" style="19" customWidth="1"/>
    <col min="4345" max="4345" width="14.5546875" style="19" bestFit="1" customWidth="1"/>
    <col min="4346" max="4346" width="16.88671875" style="19" bestFit="1" customWidth="1"/>
    <col min="4347" max="4347" width="9.5546875" style="19" customWidth="1"/>
    <col min="4348" max="4348" width="16.109375" style="19" bestFit="1" customWidth="1"/>
    <col min="4349" max="4349" width="9.44140625" style="19" customWidth="1"/>
    <col min="4350" max="4350" width="9.33203125" style="19" customWidth="1"/>
    <col min="4351" max="4351" width="10.6640625" style="19" bestFit="1" customWidth="1"/>
    <col min="4352" max="4352" width="15.33203125" style="19" bestFit="1" customWidth="1"/>
    <col min="4353" max="4353" width="18.88671875" style="19" bestFit="1" customWidth="1"/>
    <col min="4354" max="4354" width="9.109375" style="19" customWidth="1"/>
    <col min="4355" max="4355" width="12.44140625" style="19" customWidth="1"/>
    <col min="4356" max="4356" width="23.6640625" style="19" customWidth="1"/>
    <col min="4357" max="4598" width="9.109375" style="19"/>
    <col min="4599" max="4599" width="5.109375" style="19" bestFit="1" customWidth="1"/>
    <col min="4600" max="4600" width="15.6640625" style="19" customWidth="1"/>
    <col min="4601" max="4601" width="14.5546875" style="19" bestFit="1" customWidth="1"/>
    <col min="4602" max="4602" width="16.88671875" style="19" bestFit="1" customWidth="1"/>
    <col min="4603" max="4603" width="9.5546875" style="19" customWidth="1"/>
    <col min="4604" max="4604" width="16.109375" style="19" bestFit="1" customWidth="1"/>
    <col min="4605" max="4605" width="9.44140625" style="19" customWidth="1"/>
    <col min="4606" max="4606" width="9.33203125" style="19" customWidth="1"/>
    <col min="4607" max="4607" width="10.6640625" style="19" bestFit="1" customWidth="1"/>
    <col min="4608" max="4608" width="15.33203125" style="19" bestFit="1" customWidth="1"/>
    <col min="4609" max="4609" width="18.88671875" style="19" bestFit="1" customWidth="1"/>
    <col min="4610" max="4610" width="9.109375" style="19" customWidth="1"/>
    <col min="4611" max="4611" width="12.44140625" style="19" customWidth="1"/>
    <col min="4612" max="4612" width="23.6640625" style="19" customWidth="1"/>
    <col min="4613" max="4854" width="9.109375" style="19"/>
    <col min="4855" max="4855" width="5.109375" style="19" bestFit="1" customWidth="1"/>
    <col min="4856" max="4856" width="15.6640625" style="19" customWidth="1"/>
    <col min="4857" max="4857" width="14.5546875" style="19" bestFit="1" customWidth="1"/>
    <col min="4858" max="4858" width="16.88671875" style="19" bestFit="1" customWidth="1"/>
    <col min="4859" max="4859" width="9.5546875" style="19" customWidth="1"/>
    <col min="4860" max="4860" width="16.109375" style="19" bestFit="1" customWidth="1"/>
    <col min="4861" max="4861" width="9.44140625" style="19" customWidth="1"/>
    <col min="4862" max="4862" width="9.33203125" style="19" customWidth="1"/>
    <col min="4863" max="4863" width="10.6640625" style="19" bestFit="1" customWidth="1"/>
    <col min="4864" max="4864" width="15.33203125" style="19" bestFit="1" customWidth="1"/>
    <col min="4865" max="4865" width="18.88671875" style="19" bestFit="1" customWidth="1"/>
    <col min="4866" max="4866" width="9.109375" style="19" customWidth="1"/>
    <col min="4867" max="4867" width="12.44140625" style="19" customWidth="1"/>
    <col min="4868" max="4868" width="23.6640625" style="19" customWidth="1"/>
    <col min="4869" max="5110" width="9.109375" style="19"/>
    <col min="5111" max="5111" width="5.109375" style="19" bestFit="1" customWidth="1"/>
    <col min="5112" max="5112" width="15.6640625" style="19" customWidth="1"/>
    <col min="5113" max="5113" width="14.5546875" style="19" bestFit="1" customWidth="1"/>
    <col min="5114" max="5114" width="16.88671875" style="19" bestFit="1" customWidth="1"/>
    <col min="5115" max="5115" width="9.5546875" style="19" customWidth="1"/>
    <col min="5116" max="5116" width="16.109375" style="19" bestFit="1" customWidth="1"/>
    <col min="5117" max="5117" width="9.44140625" style="19" customWidth="1"/>
    <col min="5118" max="5118" width="9.33203125" style="19" customWidth="1"/>
    <col min="5119" max="5119" width="10.6640625" style="19" bestFit="1" customWidth="1"/>
    <col min="5120" max="5120" width="15.33203125" style="19" bestFit="1" customWidth="1"/>
    <col min="5121" max="5121" width="18.88671875" style="19" bestFit="1" customWidth="1"/>
    <col min="5122" max="5122" width="9.109375" style="19" customWidth="1"/>
    <col min="5123" max="5123" width="12.44140625" style="19" customWidth="1"/>
    <col min="5124" max="5124" width="23.6640625" style="19" customWidth="1"/>
    <col min="5125" max="5366" width="9.109375" style="19"/>
    <col min="5367" max="5367" width="5.109375" style="19" bestFit="1" customWidth="1"/>
    <col min="5368" max="5368" width="15.6640625" style="19" customWidth="1"/>
    <col min="5369" max="5369" width="14.5546875" style="19" bestFit="1" customWidth="1"/>
    <col min="5370" max="5370" width="16.88671875" style="19" bestFit="1" customWidth="1"/>
    <col min="5371" max="5371" width="9.5546875" style="19" customWidth="1"/>
    <col min="5372" max="5372" width="16.109375" style="19" bestFit="1" customWidth="1"/>
    <col min="5373" max="5373" width="9.44140625" style="19" customWidth="1"/>
    <col min="5374" max="5374" width="9.33203125" style="19" customWidth="1"/>
    <col min="5375" max="5375" width="10.6640625" style="19" bestFit="1" customWidth="1"/>
    <col min="5376" max="5376" width="15.33203125" style="19" bestFit="1" customWidth="1"/>
    <col min="5377" max="5377" width="18.88671875" style="19" bestFit="1" customWidth="1"/>
    <col min="5378" max="5378" width="9.109375" style="19" customWidth="1"/>
    <col min="5379" max="5379" width="12.44140625" style="19" customWidth="1"/>
    <col min="5380" max="5380" width="23.6640625" style="19" customWidth="1"/>
    <col min="5381" max="5622" width="9.109375" style="19"/>
    <col min="5623" max="5623" width="5.109375" style="19" bestFit="1" customWidth="1"/>
    <col min="5624" max="5624" width="15.6640625" style="19" customWidth="1"/>
    <col min="5625" max="5625" width="14.5546875" style="19" bestFit="1" customWidth="1"/>
    <col min="5626" max="5626" width="16.88671875" style="19" bestFit="1" customWidth="1"/>
    <col min="5627" max="5627" width="9.5546875" style="19" customWidth="1"/>
    <col min="5628" max="5628" width="16.109375" style="19" bestFit="1" customWidth="1"/>
    <col min="5629" max="5629" width="9.44140625" style="19" customWidth="1"/>
    <col min="5630" max="5630" width="9.33203125" style="19" customWidth="1"/>
    <col min="5631" max="5631" width="10.6640625" style="19" bestFit="1" customWidth="1"/>
    <col min="5632" max="5632" width="15.33203125" style="19" bestFit="1" customWidth="1"/>
    <col min="5633" max="5633" width="18.88671875" style="19" bestFit="1" customWidth="1"/>
    <col min="5634" max="5634" width="9.109375" style="19" customWidth="1"/>
    <col min="5635" max="5635" width="12.44140625" style="19" customWidth="1"/>
    <col min="5636" max="5636" width="23.6640625" style="19" customWidth="1"/>
    <col min="5637" max="5878" width="9.109375" style="19"/>
    <col min="5879" max="5879" width="5.109375" style="19" bestFit="1" customWidth="1"/>
    <col min="5880" max="5880" width="15.6640625" style="19" customWidth="1"/>
    <col min="5881" max="5881" width="14.5546875" style="19" bestFit="1" customWidth="1"/>
    <col min="5882" max="5882" width="16.88671875" style="19" bestFit="1" customWidth="1"/>
    <col min="5883" max="5883" width="9.5546875" style="19" customWidth="1"/>
    <col min="5884" max="5884" width="16.109375" style="19" bestFit="1" customWidth="1"/>
    <col min="5885" max="5885" width="9.44140625" style="19" customWidth="1"/>
    <col min="5886" max="5886" width="9.33203125" style="19" customWidth="1"/>
    <col min="5887" max="5887" width="10.6640625" style="19" bestFit="1" customWidth="1"/>
    <col min="5888" max="5888" width="15.33203125" style="19" bestFit="1" customWidth="1"/>
    <col min="5889" max="5889" width="18.88671875" style="19" bestFit="1" customWidth="1"/>
    <col min="5890" max="5890" width="9.109375" style="19" customWidth="1"/>
    <col min="5891" max="5891" width="12.44140625" style="19" customWidth="1"/>
    <col min="5892" max="5892" width="23.6640625" style="19" customWidth="1"/>
    <col min="5893" max="6134" width="9.109375" style="19"/>
    <col min="6135" max="6135" width="5.109375" style="19" bestFit="1" customWidth="1"/>
    <col min="6136" max="6136" width="15.6640625" style="19" customWidth="1"/>
    <col min="6137" max="6137" width="14.5546875" style="19" bestFit="1" customWidth="1"/>
    <col min="6138" max="6138" width="16.88671875" style="19" bestFit="1" customWidth="1"/>
    <col min="6139" max="6139" width="9.5546875" style="19" customWidth="1"/>
    <col min="6140" max="6140" width="16.109375" style="19" bestFit="1" customWidth="1"/>
    <col min="6141" max="6141" width="9.44140625" style="19" customWidth="1"/>
    <col min="6142" max="6142" width="9.33203125" style="19" customWidth="1"/>
    <col min="6143" max="6143" width="10.6640625" style="19" bestFit="1" customWidth="1"/>
    <col min="6144" max="6144" width="15.33203125" style="19" bestFit="1" customWidth="1"/>
    <col min="6145" max="6145" width="18.88671875" style="19" bestFit="1" customWidth="1"/>
    <col min="6146" max="6146" width="9.109375" style="19" customWidth="1"/>
    <col min="6147" max="6147" width="12.44140625" style="19" customWidth="1"/>
    <col min="6148" max="6148" width="23.6640625" style="19" customWidth="1"/>
    <col min="6149" max="6390" width="9.109375" style="19"/>
    <col min="6391" max="6391" width="5.109375" style="19" bestFit="1" customWidth="1"/>
    <col min="6392" max="6392" width="15.6640625" style="19" customWidth="1"/>
    <col min="6393" max="6393" width="14.5546875" style="19" bestFit="1" customWidth="1"/>
    <col min="6394" max="6394" width="16.88671875" style="19" bestFit="1" customWidth="1"/>
    <col min="6395" max="6395" width="9.5546875" style="19" customWidth="1"/>
    <col min="6396" max="6396" width="16.109375" style="19" bestFit="1" customWidth="1"/>
    <col min="6397" max="6397" width="9.44140625" style="19" customWidth="1"/>
    <col min="6398" max="6398" width="9.33203125" style="19" customWidth="1"/>
    <col min="6399" max="6399" width="10.6640625" style="19" bestFit="1" customWidth="1"/>
    <col min="6400" max="6400" width="15.33203125" style="19" bestFit="1" customWidth="1"/>
    <col min="6401" max="6401" width="18.88671875" style="19" bestFit="1" customWidth="1"/>
    <col min="6402" max="6402" width="9.109375" style="19" customWidth="1"/>
    <col min="6403" max="6403" width="12.44140625" style="19" customWidth="1"/>
    <col min="6404" max="6404" width="23.6640625" style="19" customWidth="1"/>
    <col min="6405" max="6646" width="9.109375" style="19"/>
    <col min="6647" max="6647" width="5.109375" style="19" bestFit="1" customWidth="1"/>
    <col min="6648" max="6648" width="15.6640625" style="19" customWidth="1"/>
    <col min="6649" max="6649" width="14.5546875" style="19" bestFit="1" customWidth="1"/>
    <col min="6650" max="6650" width="16.88671875" style="19" bestFit="1" customWidth="1"/>
    <col min="6651" max="6651" width="9.5546875" style="19" customWidth="1"/>
    <col min="6652" max="6652" width="16.109375" style="19" bestFit="1" customWidth="1"/>
    <col min="6653" max="6653" width="9.44140625" style="19" customWidth="1"/>
    <col min="6654" max="6654" width="9.33203125" style="19" customWidth="1"/>
    <col min="6655" max="6655" width="10.6640625" style="19" bestFit="1" customWidth="1"/>
    <col min="6656" max="6656" width="15.33203125" style="19" bestFit="1" customWidth="1"/>
    <col min="6657" max="6657" width="18.88671875" style="19" bestFit="1" customWidth="1"/>
    <col min="6658" max="6658" width="9.109375" style="19" customWidth="1"/>
    <col min="6659" max="6659" width="12.44140625" style="19" customWidth="1"/>
    <col min="6660" max="6660" width="23.6640625" style="19" customWidth="1"/>
    <col min="6661" max="6902" width="9.109375" style="19"/>
    <col min="6903" max="6903" width="5.109375" style="19" bestFit="1" customWidth="1"/>
    <col min="6904" max="6904" width="15.6640625" style="19" customWidth="1"/>
    <col min="6905" max="6905" width="14.5546875" style="19" bestFit="1" customWidth="1"/>
    <col min="6906" max="6906" width="16.88671875" style="19" bestFit="1" customWidth="1"/>
    <col min="6907" max="6907" width="9.5546875" style="19" customWidth="1"/>
    <col min="6908" max="6908" width="16.109375" style="19" bestFit="1" customWidth="1"/>
    <col min="6909" max="6909" width="9.44140625" style="19" customWidth="1"/>
    <col min="6910" max="6910" width="9.33203125" style="19" customWidth="1"/>
    <col min="6911" max="6911" width="10.6640625" style="19" bestFit="1" customWidth="1"/>
    <col min="6912" max="6912" width="15.33203125" style="19" bestFit="1" customWidth="1"/>
    <col min="6913" max="6913" width="18.88671875" style="19" bestFit="1" customWidth="1"/>
    <col min="6914" max="6914" width="9.109375" style="19" customWidth="1"/>
    <col min="6915" max="6915" width="12.44140625" style="19" customWidth="1"/>
    <col min="6916" max="6916" width="23.6640625" style="19" customWidth="1"/>
    <col min="6917" max="7158" width="9.109375" style="19"/>
    <col min="7159" max="7159" width="5.109375" style="19" bestFit="1" customWidth="1"/>
    <col min="7160" max="7160" width="15.6640625" style="19" customWidth="1"/>
    <col min="7161" max="7161" width="14.5546875" style="19" bestFit="1" customWidth="1"/>
    <col min="7162" max="7162" width="16.88671875" style="19" bestFit="1" customWidth="1"/>
    <col min="7163" max="7163" width="9.5546875" style="19" customWidth="1"/>
    <col min="7164" max="7164" width="16.109375" style="19" bestFit="1" customWidth="1"/>
    <col min="7165" max="7165" width="9.44140625" style="19" customWidth="1"/>
    <col min="7166" max="7166" width="9.33203125" style="19" customWidth="1"/>
    <col min="7167" max="7167" width="10.6640625" style="19" bestFit="1" customWidth="1"/>
    <col min="7168" max="7168" width="15.33203125" style="19" bestFit="1" customWidth="1"/>
    <col min="7169" max="7169" width="18.88671875" style="19" bestFit="1" customWidth="1"/>
    <col min="7170" max="7170" width="9.109375" style="19" customWidth="1"/>
    <col min="7171" max="7171" width="12.44140625" style="19" customWidth="1"/>
    <col min="7172" max="7172" width="23.6640625" style="19" customWidth="1"/>
    <col min="7173" max="7414" width="9.109375" style="19"/>
    <col min="7415" max="7415" width="5.109375" style="19" bestFit="1" customWidth="1"/>
    <col min="7416" max="7416" width="15.6640625" style="19" customWidth="1"/>
    <col min="7417" max="7417" width="14.5546875" style="19" bestFit="1" customWidth="1"/>
    <col min="7418" max="7418" width="16.88671875" style="19" bestFit="1" customWidth="1"/>
    <col min="7419" max="7419" width="9.5546875" style="19" customWidth="1"/>
    <col min="7420" max="7420" width="16.109375" style="19" bestFit="1" customWidth="1"/>
    <col min="7421" max="7421" width="9.44140625" style="19" customWidth="1"/>
    <col min="7422" max="7422" width="9.33203125" style="19" customWidth="1"/>
    <col min="7423" max="7423" width="10.6640625" style="19" bestFit="1" customWidth="1"/>
    <col min="7424" max="7424" width="15.33203125" style="19" bestFit="1" customWidth="1"/>
    <col min="7425" max="7425" width="18.88671875" style="19" bestFit="1" customWidth="1"/>
    <col min="7426" max="7426" width="9.109375" style="19" customWidth="1"/>
    <col min="7427" max="7427" width="12.44140625" style="19" customWidth="1"/>
    <col min="7428" max="7428" width="23.6640625" style="19" customWidth="1"/>
    <col min="7429" max="7670" width="9.109375" style="19"/>
    <col min="7671" max="7671" width="5.109375" style="19" bestFit="1" customWidth="1"/>
    <col min="7672" max="7672" width="15.6640625" style="19" customWidth="1"/>
    <col min="7673" max="7673" width="14.5546875" style="19" bestFit="1" customWidth="1"/>
    <col min="7674" max="7674" width="16.88671875" style="19" bestFit="1" customWidth="1"/>
    <col min="7675" max="7675" width="9.5546875" style="19" customWidth="1"/>
    <col min="7676" max="7676" width="16.109375" style="19" bestFit="1" customWidth="1"/>
    <col min="7677" max="7677" width="9.44140625" style="19" customWidth="1"/>
    <col min="7678" max="7678" width="9.33203125" style="19" customWidth="1"/>
    <col min="7679" max="7679" width="10.6640625" style="19" bestFit="1" customWidth="1"/>
    <col min="7680" max="7680" width="15.33203125" style="19" bestFit="1" customWidth="1"/>
    <col min="7681" max="7681" width="18.88671875" style="19" bestFit="1" customWidth="1"/>
    <col min="7682" max="7682" width="9.109375" style="19" customWidth="1"/>
    <col min="7683" max="7683" width="12.44140625" style="19" customWidth="1"/>
    <col min="7684" max="7684" width="23.6640625" style="19" customWidth="1"/>
    <col min="7685" max="7926" width="9.109375" style="19"/>
    <col min="7927" max="7927" width="5.109375" style="19" bestFit="1" customWidth="1"/>
    <col min="7928" max="7928" width="15.6640625" style="19" customWidth="1"/>
    <col min="7929" max="7929" width="14.5546875" style="19" bestFit="1" customWidth="1"/>
    <col min="7930" max="7930" width="16.88671875" style="19" bestFit="1" customWidth="1"/>
    <col min="7931" max="7931" width="9.5546875" style="19" customWidth="1"/>
    <col min="7932" max="7932" width="16.109375" style="19" bestFit="1" customWidth="1"/>
    <col min="7933" max="7933" width="9.44140625" style="19" customWidth="1"/>
    <col min="7934" max="7934" width="9.33203125" style="19" customWidth="1"/>
    <col min="7935" max="7935" width="10.6640625" style="19" bestFit="1" customWidth="1"/>
    <col min="7936" max="7936" width="15.33203125" style="19" bestFit="1" customWidth="1"/>
    <col min="7937" max="7937" width="18.88671875" style="19" bestFit="1" customWidth="1"/>
    <col min="7938" max="7938" width="9.109375" style="19" customWidth="1"/>
    <col min="7939" max="7939" width="12.44140625" style="19" customWidth="1"/>
    <col min="7940" max="7940" width="23.6640625" style="19" customWidth="1"/>
    <col min="7941" max="8182" width="9.109375" style="19"/>
    <col min="8183" max="8183" width="5.109375" style="19" bestFit="1" customWidth="1"/>
    <col min="8184" max="8184" width="15.6640625" style="19" customWidth="1"/>
    <col min="8185" max="8185" width="14.5546875" style="19" bestFit="1" customWidth="1"/>
    <col min="8186" max="8186" width="16.88671875" style="19" bestFit="1" customWidth="1"/>
    <col min="8187" max="8187" width="9.5546875" style="19" customWidth="1"/>
    <col min="8188" max="8188" width="16.109375" style="19" bestFit="1" customWidth="1"/>
    <col min="8189" max="8189" width="9.44140625" style="19" customWidth="1"/>
    <col min="8190" max="8190" width="9.33203125" style="19" customWidth="1"/>
    <col min="8191" max="8191" width="10.6640625" style="19" bestFit="1" customWidth="1"/>
    <col min="8192" max="8192" width="15.33203125" style="19" bestFit="1" customWidth="1"/>
    <col min="8193" max="8193" width="18.88671875" style="19" bestFit="1" customWidth="1"/>
    <col min="8194" max="8194" width="9.109375" style="19" customWidth="1"/>
    <col min="8195" max="8195" width="12.44140625" style="19" customWidth="1"/>
    <col min="8196" max="8196" width="23.6640625" style="19" customWidth="1"/>
    <col min="8197" max="8438" width="9.109375" style="19"/>
    <col min="8439" max="8439" width="5.109375" style="19" bestFit="1" customWidth="1"/>
    <col min="8440" max="8440" width="15.6640625" style="19" customWidth="1"/>
    <col min="8441" max="8441" width="14.5546875" style="19" bestFit="1" customWidth="1"/>
    <col min="8442" max="8442" width="16.88671875" style="19" bestFit="1" customWidth="1"/>
    <col min="8443" max="8443" width="9.5546875" style="19" customWidth="1"/>
    <col min="8444" max="8444" width="16.109375" style="19" bestFit="1" customWidth="1"/>
    <col min="8445" max="8445" width="9.44140625" style="19" customWidth="1"/>
    <col min="8446" max="8446" width="9.33203125" style="19" customWidth="1"/>
    <col min="8447" max="8447" width="10.6640625" style="19" bestFit="1" customWidth="1"/>
    <col min="8448" max="8448" width="15.33203125" style="19" bestFit="1" customWidth="1"/>
    <col min="8449" max="8449" width="18.88671875" style="19" bestFit="1" customWidth="1"/>
    <col min="8450" max="8450" width="9.109375" style="19" customWidth="1"/>
    <col min="8451" max="8451" width="12.44140625" style="19" customWidth="1"/>
    <col min="8452" max="8452" width="23.6640625" style="19" customWidth="1"/>
    <col min="8453" max="8694" width="9.109375" style="19"/>
    <col min="8695" max="8695" width="5.109375" style="19" bestFit="1" customWidth="1"/>
    <col min="8696" max="8696" width="15.6640625" style="19" customWidth="1"/>
    <col min="8697" max="8697" width="14.5546875" style="19" bestFit="1" customWidth="1"/>
    <col min="8698" max="8698" width="16.88671875" style="19" bestFit="1" customWidth="1"/>
    <col min="8699" max="8699" width="9.5546875" style="19" customWidth="1"/>
    <col min="8700" max="8700" width="16.109375" style="19" bestFit="1" customWidth="1"/>
    <col min="8701" max="8701" width="9.44140625" style="19" customWidth="1"/>
    <col min="8702" max="8702" width="9.33203125" style="19" customWidth="1"/>
    <col min="8703" max="8703" width="10.6640625" style="19" bestFit="1" customWidth="1"/>
    <col min="8704" max="8704" width="15.33203125" style="19" bestFit="1" customWidth="1"/>
    <col min="8705" max="8705" width="18.88671875" style="19" bestFit="1" customWidth="1"/>
    <col min="8706" max="8706" width="9.109375" style="19" customWidth="1"/>
    <col min="8707" max="8707" width="12.44140625" style="19" customWidth="1"/>
    <col min="8708" max="8708" width="23.6640625" style="19" customWidth="1"/>
    <col min="8709" max="8950" width="9.109375" style="19"/>
    <col min="8951" max="8951" width="5.109375" style="19" bestFit="1" customWidth="1"/>
    <col min="8952" max="8952" width="15.6640625" style="19" customWidth="1"/>
    <col min="8953" max="8953" width="14.5546875" style="19" bestFit="1" customWidth="1"/>
    <col min="8954" max="8954" width="16.88671875" style="19" bestFit="1" customWidth="1"/>
    <col min="8955" max="8955" width="9.5546875" style="19" customWidth="1"/>
    <col min="8956" max="8956" width="16.109375" style="19" bestFit="1" customWidth="1"/>
    <col min="8957" max="8957" width="9.44140625" style="19" customWidth="1"/>
    <col min="8958" max="8958" width="9.33203125" style="19" customWidth="1"/>
    <col min="8959" max="8959" width="10.6640625" style="19" bestFit="1" customWidth="1"/>
    <col min="8960" max="8960" width="15.33203125" style="19" bestFit="1" customWidth="1"/>
    <col min="8961" max="8961" width="18.88671875" style="19" bestFit="1" customWidth="1"/>
    <col min="8962" max="8962" width="9.109375" style="19" customWidth="1"/>
    <col min="8963" max="8963" width="12.44140625" style="19" customWidth="1"/>
    <col min="8964" max="8964" width="23.6640625" style="19" customWidth="1"/>
    <col min="8965" max="9206" width="9.109375" style="19"/>
    <col min="9207" max="9207" width="5.109375" style="19" bestFit="1" customWidth="1"/>
    <col min="9208" max="9208" width="15.6640625" style="19" customWidth="1"/>
    <col min="9209" max="9209" width="14.5546875" style="19" bestFit="1" customWidth="1"/>
    <col min="9210" max="9210" width="16.88671875" style="19" bestFit="1" customWidth="1"/>
    <col min="9211" max="9211" width="9.5546875" style="19" customWidth="1"/>
    <col min="9212" max="9212" width="16.109375" style="19" bestFit="1" customWidth="1"/>
    <col min="9213" max="9213" width="9.44140625" style="19" customWidth="1"/>
    <col min="9214" max="9214" width="9.33203125" style="19" customWidth="1"/>
    <col min="9215" max="9215" width="10.6640625" style="19" bestFit="1" customWidth="1"/>
    <col min="9216" max="9216" width="15.33203125" style="19" bestFit="1" customWidth="1"/>
    <col min="9217" max="9217" width="18.88671875" style="19" bestFit="1" customWidth="1"/>
    <col min="9218" max="9218" width="9.109375" style="19" customWidth="1"/>
    <col min="9219" max="9219" width="12.44140625" style="19" customWidth="1"/>
    <col min="9220" max="9220" width="23.6640625" style="19" customWidth="1"/>
    <col min="9221" max="9462" width="9.109375" style="19"/>
    <col min="9463" max="9463" width="5.109375" style="19" bestFit="1" customWidth="1"/>
    <col min="9464" max="9464" width="15.6640625" style="19" customWidth="1"/>
    <col min="9465" max="9465" width="14.5546875" style="19" bestFit="1" customWidth="1"/>
    <col min="9466" max="9466" width="16.88671875" style="19" bestFit="1" customWidth="1"/>
    <col min="9467" max="9467" width="9.5546875" style="19" customWidth="1"/>
    <col min="9468" max="9468" width="16.109375" style="19" bestFit="1" customWidth="1"/>
    <col min="9469" max="9469" width="9.44140625" style="19" customWidth="1"/>
    <col min="9470" max="9470" width="9.33203125" style="19" customWidth="1"/>
    <col min="9471" max="9471" width="10.6640625" style="19" bestFit="1" customWidth="1"/>
    <col min="9472" max="9472" width="15.33203125" style="19" bestFit="1" customWidth="1"/>
    <col min="9473" max="9473" width="18.88671875" style="19" bestFit="1" customWidth="1"/>
    <col min="9474" max="9474" width="9.109375" style="19" customWidth="1"/>
    <col min="9475" max="9475" width="12.44140625" style="19" customWidth="1"/>
    <col min="9476" max="9476" width="23.6640625" style="19" customWidth="1"/>
    <col min="9477" max="9718" width="9.109375" style="19"/>
    <col min="9719" max="9719" width="5.109375" style="19" bestFit="1" customWidth="1"/>
    <col min="9720" max="9720" width="15.6640625" style="19" customWidth="1"/>
    <col min="9721" max="9721" width="14.5546875" style="19" bestFit="1" customWidth="1"/>
    <col min="9722" max="9722" width="16.88671875" style="19" bestFit="1" customWidth="1"/>
    <col min="9723" max="9723" width="9.5546875" style="19" customWidth="1"/>
    <col min="9724" max="9724" width="16.109375" style="19" bestFit="1" customWidth="1"/>
    <col min="9725" max="9725" width="9.44140625" style="19" customWidth="1"/>
    <col min="9726" max="9726" width="9.33203125" style="19" customWidth="1"/>
    <col min="9727" max="9727" width="10.6640625" style="19" bestFit="1" customWidth="1"/>
    <col min="9728" max="9728" width="15.33203125" style="19" bestFit="1" customWidth="1"/>
    <col min="9729" max="9729" width="18.88671875" style="19" bestFit="1" customWidth="1"/>
    <col min="9730" max="9730" width="9.109375" style="19" customWidth="1"/>
    <col min="9731" max="9731" width="12.44140625" style="19" customWidth="1"/>
    <col min="9732" max="9732" width="23.6640625" style="19" customWidth="1"/>
    <col min="9733" max="9974" width="9.109375" style="19"/>
    <col min="9975" max="9975" width="5.109375" style="19" bestFit="1" customWidth="1"/>
    <col min="9976" max="9976" width="15.6640625" style="19" customWidth="1"/>
    <col min="9977" max="9977" width="14.5546875" style="19" bestFit="1" customWidth="1"/>
    <col min="9978" max="9978" width="16.88671875" style="19" bestFit="1" customWidth="1"/>
    <col min="9979" max="9979" width="9.5546875" style="19" customWidth="1"/>
    <col min="9980" max="9980" width="16.109375" style="19" bestFit="1" customWidth="1"/>
    <col min="9981" max="9981" width="9.44140625" style="19" customWidth="1"/>
    <col min="9982" max="9982" width="9.33203125" style="19" customWidth="1"/>
    <col min="9983" max="9983" width="10.6640625" style="19" bestFit="1" customWidth="1"/>
    <col min="9984" max="9984" width="15.33203125" style="19" bestFit="1" customWidth="1"/>
    <col min="9985" max="9985" width="18.88671875" style="19" bestFit="1" customWidth="1"/>
    <col min="9986" max="9986" width="9.109375" style="19" customWidth="1"/>
    <col min="9987" max="9987" width="12.44140625" style="19" customWidth="1"/>
    <col min="9988" max="9988" width="23.6640625" style="19" customWidth="1"/>
    <col min="9989" max="10230" width="9.109375" style="19"/>
    <col min="10231" max="10231" width="5.109375" style="19" bestFit="1" customWidth="1"/>
    <col min="10232" max="10232" width="15.6640625" style="19" customWidth="1"/>
    <col min="10233" max="10233" width="14.5546875" style="19" bestFit="1" customWidth="1"/>
    <col min="10234" max="10234" width="16.88671875" style="19" bestFit="1" customWidth="1"/>
    <col min="10235" max="10235" width="9.5546875" style="19" customWidth="1"/>
    <col min="10236" max="10236" width="16.109375" style="19" bestFit="1" customWidth="1"/>
    <col min="10237" max="10237" width="9.44140625" style="19" customWidth="1"/>
    <col min="10238" max="10238" width="9.33203125" style="19" customWidth="1"/>
    <col min="10239" max="10239" width="10.6640625" style="19" bestFit="1" customWidth="1"/>
    <col min="10240" max="10240" width="15.33203125" style="19" bestFit="1" customWidth="1"/>
    <col min="10241" max="10241" width="18.88671875" style="19" bestFit="1" customWidth="1"/>
    <col min="10242" max="10242" width="9.109375" style="19" customWidth="1"/>
    <col min="10243" max="10243" width="12.44140625" style="19" customWidth="1"/>
    <col min="10244" max="10244" width="23.6640625" style="19" customWidth="1"/>
    <col min="10245" max="10486" width="9.109375" style="19"/>
    <col min="10487" max="10487" width="5.109375" style="19" bestFit="1" customWidth="1"/>
    <col min="10488" max="10488" width="15.6640625" style="19" customWidth="1"/>
    <col min="10489" max="10489" width="14.5546875" style="19" bestFit="1" customWidth="1"/>
    <col min="10490" max="10490" width="16.88671875" style="19" bestFit="1" customWidth="1"/>
    <col min="10491" max="10491" width="9.5546875" style="19" customWidth="1"/>
    <col min="10492" max="10492" width="16.109375" style="19" bestFit="1" customWidth="1"/>
    <col min="10493" max="10493" width="9.44140625" style="19" customWidth="1"/>
    <col min="10494" max="10494" width="9.33203125" style="19" customWidth="1"/>
    <col min="10495" max="10495" width="10.6640625" style="19" bestFit="1" customWidth="1"/>
    <col min="10496" max="10496" width="15.33203125" style="19" bestFit="1" customWidth="1"/>
    <col min="10497" max="10497" width="18.88671875" style="19" bestFit="1" customWidth="1"/>
    <col min="10498" max="10498" width="9.109375" style="19" customWidth="1"/>
    <col min="10499" max="10499" width="12.44140625" style="19" customWidth="1"/>
    <col min="10500" max="10500" width="23.6640625" style="19" customWidth="1"/>
    <col min="10501" max="10742" width="9.109375" style="19"/>
    <col min="10743" max="10743" width="5.109375" style="19" bestFit="1" customWidth="1"/>
    <col min="10744" max="10744" width="15.6640625" style="19" customWidth="1"/>
    <col min="10745" max="10745" width="14.5546875" style="19" bestFit="1" customWidth="1"/>
    <col min="10746" max="10746" width="16.88671875" style="19" bestFit="1" customWidth="1"/>
    <col min="10747" max="10747" width="9.5546875" style="19" customWidth="1"/>
    <col min="10748" max="10748" width="16.109375" style="19" bestFit="1" customWidth="1"/>
    <col min="10749" max="10749" width="9.44140625" style="19" customWidth="1"/>
    <col min="10750" max="10750" width="9.33203125" style="19" customWidth="1"/>
    <col min="10751" max="10751" width="10.6640625" style="19" bestFit="1" customWidth="1"/>
    <col min="10752" max="10752" width="15.33203125" style="19" bestFit="1" customWidth="1"/>
    <col min="10753" max="10753" width="18.88671875" style="19" bestFit="1" customWidth="1"/>
    <col min="10754" max="10754" width="9.109375" style="19" customWidth="1"/>
    <col min="10755" max="10755" width="12.44140625" style="19" customWidth="1"/>
    <col min="10756" max="10756" width="23.6640625" style="19" customWidth="1"/>
    <col min="10757" max="10998" width="9.109375" style="19"/>
    <col min="10999" max="10999" width="5.109375" style="19" bestFit="1" customWidth="1"/>
    <col min="11000" max="11000" width="15.6640625" style="19" customWidth="1"/>
    <col min="11001" max="11001" width="14.5546875" style="19" bestFit="1" customWidth="1"/>
    <col min="11002" max="11002" width="16.88671875" style="19" bestFit="1" customWidth="1"/>
    <col min="11003" max="11003" width="9.5546875" style="19" customWidth="1"/>
    <col min="11004" max="11004" width="16.109375" style="19" bestFit="1" customWidth="1"/>
    <col min="11005" max="11005" width="9.44140625" style="19" customWidth="1"/>
    <col min="11006" max="11006" width="9.33203125" style="19" customWidth="1"/>
    <col min="11007" max="11007" width="10.6640625" style="19" bestFit="1" customWidth="1"/>
    <col min="11008" max="11008" width="15.33203125" style="19" bestFit="1" customWidth="1"/>
    <col min="11009" max="11009" width="18.88671875" style="19" bestFit="1" customWidth="1"/>
    <col min="11010" max="11010" width="9.109375" style="19" customWidth="1"/>
    <col min="11011" max="11011" width="12.44140625" style="19" customWidth="1"/>
    <col min="11012" max="11012" width="23.6640625" style="19" customWidth="1"/>
    <col min="11013" max="11254" width="9.109375" style="19"/>
    <col min="11255" max="11255" width="5.109375" style="19" bestFit="1" customWidth="1"/>
    <col min="11256" max="11256" width="15.6640625" style="19" customWidth="1"/>
    <col min="11257" max="11257" width="14.5546875" style="19" bestFit="1" customWidth="1"/>
    <col min="11258" max="11258" width="16.88671875" style="19" bestFit="1" customWidth="1"/>
    <col min="11259" max="11259" width="9.5546875" style="19" customWidth="1"/>
    <col min="11260" max="11260" width="16.109375" style="19" bestFit="1" customWidth="1"/>
    <col min="11261" max="11261" width="9.44140625" style="19" customWidth="1"/>
    <col min="11262" max="11262" width="9.33203125" style="19" customWidth="1"/>
    <col min="11263" max="11263" width="10.6640625" style="19" bestFit="1" customWidth="1"/>
    <col min="11264" max="11264" width="15.33203125" style="19" bestFit="1" customWidth="1"/>
    <col min="11265" max="11265" width="18.88671875" style="19" bestFit="1" customWidth="1"/>
    <col min="11266" max="11266" width="9.109375" style="19" customWidth="1"/>
    <col min="11267" max="11267" width="12.44140625" style="19" customWidth="1"/>
    <col min="11268" max="11268" width="23.6640625" style="19" customWidth="1"/>
    <col min="11269" max="11510" width="9.109375" style="19"/>
    <col min="11511" max="11511" width="5.109375" style="19" bestFit="1" customWidth="1"/>
    <col min="11512" max="11512" width="15.6640625" style="19" customWidth="1"/>
    <col min="11513" max="11513" width="14.5546875" style="19" bestFit="1" customWidth="1"/>
    <col min="11514" max="11514" width="16.88671875" style="19" bestFit="1" customWidth="1"/>
    <col min="11515" max="11515" width="9.5546875" style="19" customWidth="1"/>
    <col min="11516" max="11516" width="16.109375" style="19" bestFit="1" customWidth="1"/>
    <col min="11517" max="11517" width="9.44140625" style="19" customWidth="1"/>
    <col min="11518" max="11518" width="9.33203125" style="19" customWidth="1"/>
    <col min="11519" max="11519" width="10.6640625" style="19" bestFit="1" customWidth="1"/>
    <col min="11520" max="11520" width="15.33203125" style="19" bestFit="1" customWidth="1"/>
    <col min="11521" max="11521" width="18.88671875" style="19" bestFit="1" customWidth="1"/>
    <col min="11522" max="11522" width="9.109375" style="19" customWidth="1"/>
    <col min="11523" max="11523" width="12.44140625" style="19" customWidth="1"/>
    <col min="11524" max="11524" width="23.6640625" style="19" customWidth="1"/>
    <col min="11525" max="11766" width="9.109375" style="19"/>
    <col min="11767" max="11767" width="5.109375" style="19" bestFit="1" customWidth="1"/>
    <col min="11768" max="11768" width="15.6640625" style="19" customWidth="1"/>
    <col min="11769" max="11769" width="14.5546875" style="19" bestFit="1" customWidth="1"/>
    <col min="11770" max="11770" width="16.88671875" style="19" bestFit="1" customWidth="1"/>
    <col min="11771" max="11771" width="9.5546875" style="19" customWidth="1"/>
    <col min="11772" max="11772" width="16.109375" style="19" bestFit="1" customWidth="1"/>
    <col min="11773" max="11773" width="9.44140625" style="19" customWidth="1"/>
    <col min="11774" max="11774" width="9.33203125" style="19" customWidth="1"/>
    <col min="11775" max="11775" width="10.6640625" style="19" bestFit="1" customWidth="1"/>
    <col min="11776" max="11776" width="15.33203125" style="19" bestFit="1" customWidth="1"/>
    <col min="11777" max="11777" width="18.88671875" style="19" bestFit="1" customWidth="1"/>
    <col min="11778" max="11778" width="9.109375" style="19" customWidth="1"/>
    <col min="11779" max="11779" width="12.44140625" style="19" customWidth="1"/>
    <col min="11780" max="11780" width="23.6640625" style="19" customWidth="1"/>
    <col min="11781" max="12022" width="9.109375" style="19"/>
    <col min="12023" max="12023" width="5.109375" style="19" bestFit="1" customWidth="1"/>
    <col min="12024" max="12024" width="15.6640625" style="19" customWidth="1"/>
    <col min="12025" max="12025" width="14.5546875" style="19" bestFit="1" customWidth="1"/>
    <col min="12026" max="12026" width="16.88671875" style="19" bestFit="1" customWidth="1"/>
    <col min="12027" max="12027" width="9.5546875" style="19" customWidth="1"/>
    <col min="12028" max="12028" width="16.109375" style="19" bestFit="1" customWidth="1"/>
    <col min="12029" max="12029" width="9.44140625" style="19" customWidth="1"/>
    <col min="12030" max="12030" width="9.33203125" style="19" customWidth="1"/>
    <col min="12031" max="12031" width="10.6640625" style="19" bestFit="1" customWidth="1"/>
    <col min="12032" max="12032" width="15.33203125" style="19" bestFit="1" customWidth="1"/>
    <col min="12033" max="12033" width="18.88671875" style="19" bestFit="1" customWidth="1"/>
    <col min="12034" max="12034" width="9.109375" style="19" customWidth="1"/>
    <col min="12035" max="12035" width="12.44140625" style="19" customWidth="1"/>
    <col min="12036" max="12036" width="23.6640625" style="19" customWidth="1"/>
    <col min="12037" max="12278" width="9.109375" style="19"/>
    <col min="12279" max="12279" width="5.109375" style="19" bestFit="1" customWidth="1"/>
    <col min="12280" max="12280" width="15.6640625" style="19" customWidth="1"/>
    <col min="12281" max="12281" width="14.5546875" style="19" bestFit="1" customWidth="1"/>
    <col min="12282" max="12282" width="16.88671875" style="19" bestFit="1" customWidth="1"/>
    <col min="12283" max="12283" width="9.5546875" style="19" customWidth="1"/>
    <col min="12284" max="12284" width="16.109375" style="19" bestFit="1" customWidth="1"/>
    <col min="12285" max="12285" width="9.44140625" style="19" customWidth="1"/>
    <col min="12286" max="12286" width="9.33203125" style="19" customWidth="1"/>
    <col min="12287" max="12287" width="10.6640625" style="19" bestFit="1" customWidth="1"/>
    <col min="12288" max="12288" width="15.33203125" style="19" bestFit="1" customWidth="1"/>
    <col min="12289" max="12289" width="18.88671875" style="19" bestFit="1" customWidth="1"/>
    <col min="12290" max="12290" width="9.109375" style="19" customWidth="1"/>
    <col min="12291" max="12291" width="12.44140625" style="19" customWidth="1"/>
    <col min="12292" max="12292" width="23.6640625" style="19" customWidth="1"/>
    <col min="12293" max="12534" width="9.109375" style="19"/>
    <col min="12535" max="12535" width="5.109375" style="19" bestFit="1" customWidth="1"/>
    <col min="12536" max="12536" width="15.6640625" style="19" customWidth="1"/>
    <col min="12537" max="12537" width="14.5546875" style="19" bestFit="1" customWidth="1"/>
    <col min="12538" max="12538" width="16.88671875" style="19" bestFit="1" customWidth="1"/>
    <col min="12539" max="12539" width="9.5546875" style="19" customWidth="1"/>
    <col min="12540" max="12540" width="16.109375" style="19" bestFit="1" customWidth="1"/>
    <col min="12541" max="12541" width="9.44140625" style="19" customWidth="1"/>
    <col min="12542" max="12542" width="9.33203125" style="19" customWidth="1"/>
    <col min="12543" max="12543" width="10.6640625" style="19" bestFit="1" customWidth="1"/>
    <col min="12544" max="12544" width="15.33203125" style="19" bestFit="1" customWidth="1"/>
    <col min="12545" max="12545" width="18.88671875" style="19" bestFit="1" customWidth="1"/>
    <col min="12546" max="12546" width="9.109375" style="19" customWidth="1"/>
    <col min="12547" max="12547" width="12.44140625" style="19" customWidth="1"/>
    <col min="12548" max="12548" width="23.6640625" style="19" customWidth="1"/>
    <col min="12549" max="12790" width="9.109375" style="19"/>
    <col min="12791" max="12791" width="5.109375" style="19" bestFit="1" customWidth="1"/>
    <col min="12792" max="12792" width="15.6640625" style="19" customWidth="1"/>
    <col min="12793" max="12793" width="14.5546875" style="19" bestFit="1" customWidth="1"/>
    <col min="12794" max="12794" width="16.88671875" style="19" bestFit="1" customWidth="1"/>
    <col min="12795" max="12795" width="9.5546875" style="19" customWidth="1"/>
    <col min="12796" max="12796" width="16.109375" style="19" bestFit="1" customWidth="1"/>
    <col min="12797" max="12797" width="9.44140625" style="19" customWidth="1"/>
    <col min="12798" max="12798" width="9.33203125" style="19" customWidth="1"/>
    <col min="12799" max="12799" width="10.6640625" style="19" bestFit="1" customWidth="1"/>
    <col min="12800" max="12800" width="15.33203125" style="19" bestFit="1" customWidth="1"/>
    <col min="12801" max="12801" width="18.88671875" style="19" bestFit="1" customWidth="1"/>
    <col min="12802" max="12802" width="9.109375" style="19" customWidth="1"/>
    <col min="12803" max="12803" width="12.44140625" style="19" customWidth="1"/>
    <col min="12804" max="12804" width="23.6640625" style="19" customWidth="1"/>
    <col min="12805" max="13046" width="9.109375" style="19"/>
    <col min="13047" max="13047" width="5.109375" style="19" bestFit="1" customWidth="1"/>
    <col min="13048" max="13048" width="15.6640625" style="19" customWidth="1"/>
    <col min="13049" max="13049" width="14.5546875" style="19" bestFit="1" customWidth="1"/>
    <col min="13050" max="13050" width="16.88671875" style="19" bestFit="1" customWidth="1"/>
    <col min="13051" max="13051" width="9.5546875" style="19" customWidth="1"/>
    <col min="13052" max="13052" width="16.109375" style="19" bestFit="1" customWidth="1"/>
    <col min="13053" max="13053" width="9.44140625" style="19" customWidth="1"/>
    <col min="13054" max="13054" width="9.33203125" style="19" customWidth="1"/>
    <col min="13055" max="13055" width="10.6640625" style="19" bestFit="1" customWidth="1"/>
    <col min="13056" max="13056" width="15.33203125" style="19" bestFit="1" customWidth="1"/>
    <col min="13057" max="13057" width="18.88671875" style="19" bestFit="1" customWidth="1"/>
    <col min="13058" max="13058" width="9.109375" style="19" customWidth="1"/>
    <col min="13059" max="13059" width="12.44140625" style="19" customWidth="1"/>
    <col min="13060" max="13060" width="23.6640625" style="19" customWidth="1"/>
    <col min="13061" max="13302" width="9.109375" style="19"/>
    <col min="13303" max="13303" width="5.109375" style="19" bestFit="1" customWidth="1"/>
    <col min="13304" max="13304" width="15.6640625" style="19" customWidth="1"/>
    <col min="13305" max="13305" width="14.5546875" style="19" bestFit="1" customWidth="1"/>
    <col min="13306" max="13306" width="16.88671875" style="19" bestFit="1" customWidth="1"/>
    <col min="13307" max="13307" width="9.5546875" style="19" customWidth="1"/>
    <col min="13308" max="13308" width="16.109375" style="19" bestFit="1" customWidth="1"/>
    <col min="13309" max="13309" width="9.44140625" style="19" customWidth="1"/>
    <col min="13310" max="13310" width="9.33203125" style="19" customWidth="1"/>
    <col min="13311" max="13311" width="10.6640625" style="19" bestFit="1" customWidth="1"/>
    <col min="13312" max="13312" width="15.33203125" style="19" bestFit="1" customWidth="1"/>
    <col min="13313" max="13313" width="18.88671875" style="19" bestFit="1" customWidth="1"/>
    <col min="13314" max="13314" width="9.109375" style="19" customWidth="1"/>
    <col min="13315" max="13315" width="12.44140625" style="19" customWidth="1"/>
    <col min="13316" max="13316" width="23.6640625" style="19" customWidth="1"/>
    <col min="13317" max="13558" width="9.109375" style="19"/>
    <col min="13559" max="13559" width="5.109375" style="19" bestFit="1" customWidth="1"/>
    <col min="13560" max="13560" width="15.6640625" style="19" customWidth="1"/>
    <col min="13561" max="13561" width="14.5546875" style="19" bestFit="1" customWidth="1"/>
    <col min="13562" max="13562" width="16.88671875" style="19" bestFit="1" customWidth="1"/>
    <col min="13563" max="13563" width="9.5546875" style="19" customWidth="1"/>
    <col min="13564" max="13564" width="16.109375" style="19" bestFit="1" customWidth="1"/>
    <col min="13565" max="13565" width="9.44140625" style="19" customWidth="1"/>
    <col min="13566" max="13566" width="9.33203125" style="19" customWidth="1"/>
    <col min="13567" max="13567" width="10.6640625" style="19" bestFit="1" customWidth="1"/>
    <col min="13568" max="13568" width="15.33203125" style="19" bestFit="1" customWidth="1"/>
    <col min="13569" max="13569" width="18.88671875" style="19" bestFit="1" customWidth="1"/>
    <col min="13570" max="13570" width="9.109375" style="19" customWidth="1"/>
    <col min="13571" max="13571" width="12.44140625" style="19" customWidth="1"/>
    <col min="13572" max="13572" width="23.6640625" style="19" customWidth="1"/>
    <col min="13573" max="13814" width="9.109375" style="19"/>
    <col min="13815" max="13815" width="5.109375" style="19" bestFit="1" customWidth="1"/>
    <col min="13816" max="13816" width="15.6640625" style="19" customWidth="1"/>
    <col min="13817" max="13817" width="14.5546875" style="19" bestFit="1" customWidth="1"/>
    <col min="13818" max="13818" width="16.88671875" style="19" bestFit="1" customWidth="1"/>
    <col min="13819" max="13819" width="9.5546875" style="19" customWidth="1"/>
    <col min="13820" max="13820" width="16.109375" style="19" bestFit="1" customWidth="1"/>
    <col min="13821" max="13821" width="9.44140625" style="19" customWidth="1"/>
    <col min="13822" max="13822" width="9.33203125" style="19" customWidth="1"/>
    <col min="13823" max="13823" width="10.6640625" style="19" bestFit="1" customWidth="1"/>
    <col min="13824" max="13824" width="15.33203125" style="19" bestFit="1" customWidth="1"/>
    <col min="13825" max="13825" width="18.88671875" style="19" bestFit="1" customWidth="1"/>
    <col min="13826" max="13826" width="9.109375" style="19" customWidth="1"/>
    <col min="13827" max="13827" width="12.44140625" style="19" customWidth="1"/>
    <col min="13828" max="13828" width="23.6640625" style="19" customWidth="1"/>
    <col min="13829" max="14070" width="9.109375" style="19"/>
    <col min="14071" max="14071" width="5.109375" style="19" bestFit="1" customWidth="1"/>
    <col min="14072" max="14072" width="15.6640625" style="19" customWidth="1"/>
    <col min="14073" max="14073" width="14.5546875" style="19" bestFit="1" customWidth="1"/>
    <col min="14074" max="14074" width="16.88671875" style="19" bestFit="1" customWidth="1"/>
    <col min="14075" max="14075" width="9.5546875" style="19" customWidth="1"/>
    <col min="14076" max="14076" width="16.109375" style="19" bestFit="1" customWidth="1"/>
    <col min="14077" max="14077" width="9.44140625" style="19" customWidth="1"/>
    <col min="14078" max="14078" width="9.33203125" style="19" customWidth="1"/>
    <col min="14079" max="14079" width="10.6640625" style="19" bestFit="1" customWidth="1"/>
    <col min="14080" max="14080" width="15.33203125" style="19" bestFit="1" customWidth="1"/>
    <col min="14081" max="14081" width="18.88671875" style="19" bestFit="1" customWidth="1"/>
    <col min="14082" max="14082" width="9.109375" style="19" customWidth="1"/>
    <col min="14083" max="14083" width="12.44140625" style="19" customWidth="1"/>
    <col min="14084" max="14084" width="23.6640625" style="19" customWidth="1"/>
    <col min="14085" max="14326" width="9.109375" style="19"/>
    <col min="14327" max="14327" width="5.109375" style="19" bestFit="1" customWidth="1"/>
    <col min="14328" max="14328" width="15.6640625" style="19" customWidth="1"/>
    <col min="14329" max="14329" width="14.5546875" style="19" bestFit="1" customWidth="1"/>
    <col min="14330" max="14330" width="16.88671875" style="19" bestFit="1" customWidth="1"/>
    <col min="14331" max="14331" width="9.5546875" style="19" customWidth="1"/>
    <col min="14332" max="14332" width="16.109375" style="19" bestFit="1" customWidth="1"/>
    <col min="14333" max="14333" width="9.44140625" style="19" customWidth="1"/>
    <col min="14334" max="14334" width="9.33203125" style="19" customWidth="1"/>
    <col min="14335" max="14335" width="10.6640625" style="19" bestFit="1" customWidth="1"/>
    <col min="14336" max="14336" width="15.33203125" style="19" bestFit="1" customWidth="1"/>
    <col min="14337" max="14337" width="18.88671875" style="19" bestFit="1" customWidth="1"/>
    <col min="14338" max="14338" width="9.109375" style="19" customWidth="1"/>
    <col min="14339" max="14339" width="12.44140625" style="19" customWidth="1"/>
    <col min="14340" max="14340" width="23.6640625" style="19" customWidth="1"/>
    <col min="14341" max="14582" width="9.109375" style="19"/>
    <col min="14583" max="14583" width="5.109375" style="19" bestFit="1" customWidth="1"/>
    <col min="14584" max="14584" width="15.6640625" style="19" customWidth="1"/>
    <col min="14585" max="14585" width="14.5546875" style="19" bestFit="1" customWidth="1"/>
    <col min="14586" max="14586" width="16.88671875" style="19" bestFit="1" customWidth="1"/>
    <col min="14587" max="14587" width="9.5546875" style="19" customWidth="1"/>
    <col min="14588" max="14588" width="16.109375" style="19" bestFit="1" customWidth="1"/>
    <col min="14589" max="14589" width="9.44140625" style="19" customWidth="1"/>
    <col min="14590" max="14590" width="9.33203125" style="19" customWidth="1"/>
    <col min="14591" max="14591" width="10.6640625" style="19" bestFit="1" customWidth="1"/>
    <col min="14592" max="14592" width="15.33203125" style="19" bestFit="1" customWidth="1"/>
    <col min="14593" max="14593" width="18.88671875" style="19" bestFit="1" customWidth="1"/>
    <col min="14594" max="14594" width="9.109375" style="19" customWidth="1"/>
    <col min="14595" max="14595" width="12.44140625" style="19" customWidth="1"/>
    <col min="14596" max="14596" width="23.6640625" style="19" customWidth="1"/>
    <col min="14597" max="14838" width="9.109375" style="19"/>
    <col min="14839" max="14839" width="5.109375" style="19" bestFit="1" customWidth="1"/>
    <col min="14840" max="14840" width="15.6640625" style="19" customWidth="1"/>
    <col min="14841" max="14841" width="14.5546875" style="19" bestFit="1" customWidth="1"/>
    <col min="14842" max="14842" width="16.88671875" style="19" bestFit="1" customWidth="1"/>
    <col min="14843" max="14843" width="9.5546875" style="19" customWidth="1"/>
    <col min="14844" max="14844" width="16.109375" style="19" bestFit="1" customWidth="1"/>
    <col min="14845" max="14845" width="9.44140625" style="19" customWidth="1"/>
    <col min="14846" max="14846" width="9.33203125" style="19" customWidth="1"/>
    <col min="14847" max="14847" width="10.6640625" style="19" bestFit="1" customWidth="1"/>
    <col min="14848" max="14848" width="15.33203125" style="19" bestFit="1" customWidth="1"/>
    <col min="14849" max="14849" width="18.88671875" style="19" bestFit="1" customWidth="1"/>
    <col min="14850" max="14850" width="9.109375" style="19" customWidth="1"/>
    <col min="14851" max="14851" width="12.44140625" style="19" customWidth="1"/>
    <col min="14852" max="14852" width="23.6640625" style="19" customWidth="1"/>
    <col min="14853" max="15094" width="9.109375" style="19"/>
    <col min="15095" max="15095" width="5.109375" style="19" bestFit="1" customWidth="1"/>
    <col min="15096" max="15096" width="15.6640625" style="19" customWidth="1"/>
    <col min="15097" max="15097" width="14.5546875" style="19" bestFit="1" customWidth="1"/>
    <col min="15098" max="15098" width="16.88671875" style="19" bestFit="1" customWidth="1"/>
    <col min="15099" max="15099" width="9.5546875" style="19" customWidth="1"/>
    <col min="15100" max="15100" width="16.109375" style="19" bestFit="1" customWidth="1"/>
    <col min="15101" max="15101" width="9.44140625" style="19" customWidth="1"/>
    <col min="15102" max="15102" width="9.33203125" style="19" customWidth="1"/>
    <col min="15103" max="15103" width="10.6640625" style="19" bestFit="1" customWidth="1"/>
    <col min="15104" max="15104" width="15.33203125" style="19" bestFit="1" customWidth="1"/>
    <col min="15105" max="15105" width="18.88671875" style="19" bestFit="1" customWidth="1"/>
    <col min="15106" max="15106" width="9.109375" style="19" customWidth="1"/>
    <col min="15107" max="15107" width="12.44140625" style="19" customWidth="1"/>
    <col min="15108" max="15108" width="23.6640625" style="19" customWidth="1"/>
    <col min="15109" max="15350" width="9.109375" style="19"/>
    <col min="15351" max="15351" width="5.109375" style="19" bestFit="1" customWidth="1"/>
    <col min="15352" max="15352" width="15.6640625" style="19" customWidth="1"/>
    <col min="15353" max="15353" width="14.5546875" style="19" bestFit="1" customWidth="1"/>
    <col min="15354" max="15354" width="16.88671875" style="19" bestFit="1" customWidth="1"/>
    <col min="15355" max="15355" width="9.5546875" style="19" customWidth="1"/>
    <col min="15356" max="15356" width="16.109375" style="19" bestFit="1" customWidth="1"/>
    <col min="15357" max="15357" width="9.44140625" style="19" customWidth="1"/>
    <col min="15358" max="15358" width="9.33203125" style="19" customWidth="1"/>
    <col min="15359" max="15359" width="10.6640625" style="19" bestFit="1" customWidth="1"/>
    <col min="15360" max="15360" width="15.33203125" style="19" bestFit="1" customWidth="1"/>
    <col min="15361" max="15361" width="18.88671875" style="19" bestFit="1" customWidth="1"/>
    <col min="15362" max="15362" width="9.109375" style="19" customWidth="1"/>
    <col min="15363" max="15363" width="12.44140625" style="19" customWidth="1"/>
    <col min="15364" max="15364" width="23.6640625" style="19" customWidth="1"/>
    <col min="15365" max="15606" width="9.109375" style="19"/>
    <col min="15607" max="15607" width="5.109375" style="19" bestFit="1" customWidth="1"/>
    <col min="15608" max="15608" width="15.6640625" style="19" customWidth="1"/>
    <col min="15609" max="15609" width="14.5546875" style="19" bestFit="1" customWidth="1"/>
    <col min="15610" max="15610" width="16.88671875" style="19" bestFit="1" customWidth="1"/>
    <col min="15611" max="15611" width="9.5546875" style="19" customWidth="1"/>
    <col min="15612" max="15612" width="16.109375" style="19" bestFit="1" customWidth="1"/>
    <col min="15613" max="15613" width="9.44140625" style="19" customWidth="1"/>
    <col min="15614" max="15614" width="9.33203125" style="19" customWidth="1"/>
    <col min="15615" max="15615" width="10.6640625" style="19" bestFit="1" customWidth="1"/>
    <col min="15616" max="15616" width="15.33203125" style="19" bestFit="1" customWidth="1"/>
    <col min="15617" max="15617" width="18.88671875" style="19" bestFit="1" customWidth="1"/>
    <col min="15618" max="15618" width="9.109375" style="19" customWidth="1"/>
    <col min="15619" max="15619" width="12.44140625" style="19" customWidth="1"/>
    <col min="15620" max="15620" width="23.6640625" style="19" customWidth="1"/>
    <col min="15621" max="15862" width="9.109375" style="19"/>
    <col min="15863" max="15863" width="5.109375" style="19" bestFit="1" customWidth="1"/>
    <col min="15864" max="15864" width="15.6640625" style="19" customWidth="1"/>
    <col min="15865" max="15865" width="14.5546875" style="19" bestFit="1" customWidth="1"/>
    <col min="15866" max="15866" width="16.88671875" style="19" bestFit="1" customWidth="1"/>
    <col min="15867" max="15867" width="9.5546875" style="19" customWidth="1"/>
    <col min="15868" max="15868" width="16.109375" style="19" bestFit="1" customWidth="1"/>
    <col min="15869" max="15869" width="9.44140625" style="19" customWidth="1"/>
    <col min="15870" max="15870" width="9.33203125" style="19" customWidth="1"/>
    <col min="15871" max="15871" width="10.6640625" style="19" bestFit="1" customWidth="1"/>
    <col min="15872" max="15872" width="15.33203125" style="19" bestFit="1" customWidth="1"/>
    <col min="15873" max="15873" width="18.88671875" style="19" bestFit="1" customWidth="1"/>
    <col min="15874" max="15874" width="9.109375" style="19" customWidth="1"/>
    <col min="15875" max="15875" width="12.44140625" style="19" customWidth="1"/>
    <col min="15876" max="15876" width="23.6640625" style="19" customWidth="1"/>
    <col min="15877" max="16118" width="9.109375" style="19"/>
    <col min="16119" max="16119" width="5.109375" style="19" bestFit="1" customWidth="1"/>
    <col min="16120" max="16120" width="15.6640625" style="19" customWidth="1"/>
    <col min="16121" max="16121" width="14.5546875" style="19" bestFit="1" customWidth="1"/>
    <col min="16122" max="16122" width="16.88671875" style="19" bestFit="1" customWidth="1"/>
    <col min="16123" max="16123" width="9.5546875" style="19" customWidth="1"/>
    <col min="16124" max="16124" width="16.109375" style="19" bestFit="1" customWidth="1"/>
    <col min="16125" max="16125" width="9.44140625" style="19" customWidth="1"/>
    <col min="16126" max="16126" width="9.33203125" style="19" customWidth="1"/>
    <col min="16127" max="16127" width="10.6640625" style="19" bestFit="1" customWidth="1"/>
    <col min="16128" max="16128" width="15.33203125" style="19" bestFit="1" customWidth="1"/>
    <col min="16129" max="16129" width="18.88671875" style="19" bestFit="1" customWidth="1"/>
    <col min="16130" max="16130" width="9.109375" style="19" customWidth="1"/>
    <col min="16131" max="16131" width="12.44140625" style="19" customWidth="1"/>
    <col min="16132" max="16132" width="23.6640625" style="19" customWidth="1"/>
    <col min="16133" max="16384" width="9.109375" style="19"/>
  </cols>
  <sheetData>
    <row r="1" spans="1:16" ht="15.9" customHeight="1">
      <c r="A1" s="625"/>
      <c r="B1" s="626"/>
      <c r="C1" s="627"/>
      <c r="D1" s="642" t="s">
        <v>244</v>
      </c>
      <c r="E1" s="643"/>
      <c r="F1" s="643"/>
      <c r="G1" s="643"/>
      <c r="H1" s="643"/>
      <c r="I1" s="643"/>
      <c r="J1" s="643"/>
      <c r="K1" s="643"/>
      <c r="L1" s="644"/>
      <c r="M1" s="120" t="s">
        <v>77</v>
      </c>
      <c r="N1" s="121"/>
      <c r="O1" s="122"/>
    </row>
    <row r="2" spans="1:16" ht="15.9" customHeight="1">
      <c r="A2" s="628"/>
      <c r="B2" s="629"/>
      <c r="C2" s="630"/>
      <c r="D2" s="645"/>
      <c r="E2" s="646"/>
      <c r="F2" s="646"/>
      <c r="G2" s="646"/>
      <c r="H2" s="646"/>
      <c r="I2" s="646"/>
      <c r="J2" s="646"/>
      <c r="K2" s="646"/>
      <c r="L2" s="647"/>
      <c r="M2" s="123" t="s">
        <v>78</v>
      </c>
      <c r="N2" s="121"/>
      <c r="O2" s="122"/>
    </row>
    <row r="3" spans="1:16" ht="15.9" customHeight="1">
      <c r="A3" s="628"/>
      <c r="B3" s="629"/>
      <c r="C3" s="630"/>
      <c r="D3" s="645"/>
      <c r="E3" s="646"/>
      <c r="F3" s="646"/>
      <c r="G3" s="646"/>
      <c r="H3" s="646"/>
      <c r="I3" s="646"/>
      <c r="J3" s="646"/>
      <c r="K3" s="646"/>
      <c r="L3" s="647"/>
      <c r="M3" s="123" t="s">
        <v>79</v>
      </c>
      <c r="N3" s="121"/>
      <c r="O3" s="122"/>
    </row>
    <row r="4" spans="1:16" ht="15.9" customHeight="1" thickBot="1">
      <c r="A4" s="631"/>
      <c r="B4" s="632"/>
      <c r="C4" s="633"/>
      <c r="D4" s="648"/>
      <c r="E4" s="649"/>
      <c r="F4" s="649"/>
      <c r="G4" s="649"/>
      <c r="H4" s="649"/>
      <c r="I4" s="649"/>
      <c r="J4" s="649"/>
      <c r="K4" s="649"/>
      <c r="L4" s="650"/>
      <c r="M4" s="124" t="s">
        <v>80</v>
      </c>
      <c r="N4" s="121"/>
      <c r="O4" s="122"/>
    </row>
    <row r="5" spans="1:16" ht="16.5" customHeight="1" thickBot="1">
      <c r="A5" s="634"/>
      <c r="B5" s="635"/>
      <c r="C5" s="636"/>
      <c r="D5" s="636"/>
      <c r="E5" s="636"/>
      <c r="F5" s="636"/>
      <c r="G5" s="636"/>
      <c r="H5" s="636"/>
      <c r="I5" s="636"/>
      <c r="J5" s="635"/>
      <c r="K5" s="635"/>
      <c r="L5" s="635"/>
      <c r="M5" s="637"/>
      <c r="N5" s="125"/>
    </row>
    <row r="6" spans="1:16" ht="16.5" customHeight="1">
      <c r="A6" s="638" t="s">
        <v>245</v>
      </c>
      <c r="B6" s="639"/>
      <c r="C6" s="651">
        <f>Informe!G6</f>
        <v>0</v>
      </c>
      <c r="D6" s="652"/>
      <c r="E6" s="652"/>
      <c r="F6" s="652"/>
      <c r="G6" s="652"/>
      <c r="H6" s="652"/>
      <c r="I6" s="653"/>
      <c r="J6" s="639" t="s">
        <v>246</v>
      </c>
      <c r="K6" s="264"/>
      <c r="L6" s="640" t="str">
        <f>Informe!P33</f>
        <v>Inspección indirecta del estado del Recubrimiento</v>
      </c>
      <c r="M6" s="641"/>
      <c r="N6" s="126"/>
    </row>
    <row r="7" spans="1:16" ht="18" customHeight="1">
      <c r="A7" s="621" t="s">
        <v>84</v>
      </c>
      <c r="B7" s="622"/>
      <c r="C7" s="623" t="str">
        <f>Informe!G7</f>
        <v>Mariquita_Cali</v>
      </c>
      <c r="D7" s="357"/>
      <c r="E7" s="357"/>
      <c r="F7" s="357"/>
      <c r="G7" s="357"/>
      <c r="H7" s="357"/>
      <c r="I7" s="624"/>
      <c r="J7" s="622" t="s">
        <v>83</v>
      </c>
      <c r="K7" s="279"/>
      <c r="L7" s="607">
        <f>Informe!AE6</f>
        <v>551007370</v>
      </c>
      <c r="M7" s="608"/>
      <c r="N7" s="119"/>
    </row>
    <row r="8" spans="1:16" ht="18" customHeight="1">
      <c r="A8" s="621" t="s">
        <v>89</v>
      </c>
      <c r="B8" s="622"/>
      <c r="C8" s="623">
        <f>Informe!G8</f>
        <v>0</v>
      </c>
      <c r="D8" s="357"/>
      <c r="E8" s="357"/>
      <c r="F8" s="357"/>
      <c r="G8" s="357"/>
      <c r="H8" s="357"/>
      <c r="I8" s="624"/>
      <c r="J8" s="622" t="s">
        <v>87</v>
      </c>
      <c r="K8" s="279"/>
      <c r="L8" s="607" t="str">
        <f>Informe!AE7</f>
        <v>PCC</v>
      </c>
      <c r="M8" s="608"/>
      <c r="N8" s="119"/>
    </row>
    <row r="9" spans="1:16" ht="18" customHeight="1" thickBot="1">
      <c r="A9" s="604" t="s">
        <v>92</v>
      </c>
      <c r="B9" s="605"/>
      <c r="C9" s="618">
        <f>Informe!G9</f>
        <v>0</v>
      </c>
      <c r="D9" s="619"/>
      <c r="E9" s="619"/>
      <c r="F9" s="619"/>
      <c r="G9" s="619"/>
      <c r="H9" s="619"/>
      <c r="I9" s="620"/>
      <c r="J9" s="605" t="s">
        <v>91</v>
      </c>
      <c r="K9" s="606"/>
      <c r="L9" s="607">
        <f>Informe!AE8</f>
        <v>0</v>
      </c>
      <c r="M9" s="608"/>
      <c r="N9" s="119"/>
    </row>
    <row r="10" spans="1:16" ht="18" customHeight="1" thickBot="1">
      <c r="A10" s="609"/>
      <c r="B10" s="610"/>
      <c r="C10" s="611"/>
      <c r="D10" s="611"/>
      <c r="E10" s="611"/>
      <c r="F10" s="611"/>
      <c r="G10" s="611"/>
      <c r="H10" s="611"/>
      <c r="I10" s="611"/>
      <c r="J10" s="610"/>
      <c r="K10" s="610"/>
      <c r="L10" s="610"/>
      <c r="M10" s="612"/>
      <c r="N10" s="127"/>
      <c r="P10" s="19"/>
    </row>
    <row r="11" spans="1:16" s="20" customFormat="1" ht="18" customHeight="1">
      <c r="A11" s="128" t="s">
        <v>189</v>
      </c>
      <c r="B11" s="128" t="s">
        <v>247</v>
      </c>
      <c r="C11" s="128" t="s">
        <v>248</v>
      </c>
      <c r="D11" s="128" t="s">
        <v>249</v>
      </c>
      <c r="E11" s="128" t="s">
        <v>250</v>
      </c>
      <c r="F11" s="128" t="s">
        <v>213</v>
      </c>
      <c r="G11" s="128" t="s">
        <v>251</v>
      </c>
      <c r="H11" s="128" t="s">
        <v>252</v>
      </c>
      <c r="I11" s="128" t="s">
        <v>253</v>
      </c>
      <c r="J11" s="128" t="s">
        <v>254</v>
      </c>
      <c r="K11" s="128" t="s">
        <v>255</v>
      </c>
      <c r="L11" s="128" t="s">
        <v>57</v>
      </c>
      <c r="M11" s="129" t="s">
        <v>256</v>
      </c>
      <c r="N11" s="127"/>
      <c r="O11" s="130"/>
    </row>
    <row r="12" spans="1:16" ht="18" customHeight="1">
      <c r="A12" s="162"/>
      <c r="B12" s="116"/>
      <c r="C12" s="131"/>
      <c r="D12" s="218"/>
      <c r="E12" s="161"/>
      <c r="F12" s="161"/>
      <c r="G12" s="165"/>
      <c r="H12" s="165"/>
      <c r="I12" s="165"/>
      <c r="J12" s="165"/>
      <c r="K12" s="175"/>
      <c r="L12" s="101"/>
      <c r="M12" s="101"/>
      <c r="N12" s="43"/>
      <c r="P12" s="19"/>
    </row>
    <row r="13" spans="1:16" ht="18" customHeight="1">
      <c r="A13" s="162"/>
      <c r="B13" s="116"/>
      <c r="C13" s="131"/>
      <c r="D13" s="218"/>
      <c r="E13" s="161"/>
      <c r="F13" s="161"/>
      <c r="G13" s="165"/>
      <c r="H13" s="165"/>
      <c r="I13" s="165"/>
      <c r="J13" s="165"/>
      <c r="K13" s="175"/>
      <c r="L13" s="101"/>
      <c r="M13" s="101"/>
      <c r="N13" s="43"/>
      <c r="P13" s="19"/>
    </row>
    <row r="14" spans="1:16" ht="18" customHeight="1">
      <c r="A14" s="162"/>
      <c r="B14" s="116"/>
      <c r="C14" s="131"/>
      <c r="D14" s="218"/>
      <c r="E14" s="161"/>
      <c r="F14" s="161"/>
      <c r="G14" s="165"/>
      <c r="H14" s="165"/>
      <c r="I14" s="165"/>
      <c r="J14" s="165"/>
      <c r="K14" s="175"/>
      <c r="L14" s="101"/>
      <c r="M14" s="101"/>
      <c r="N14" s="43"/>
      <c r="P14" s="19"/>
    </row>
    <row r="15" spans="1:16" ht="18" customHeight="1">
      <c r="A15" s="162"/>
      <c r="B15" s="116"/>
      <c r="C15" s="131"/>
      <c r="D15" s="218"/>
      <c r="E15" s="161"/>
      <c r="F15" s="161"/>
      <c r="G15" s="165"/>
      <c r="H15" s="165"/>
      <c r="I15" s="165"/>
      <c r="J15" s="165"/>
      <c r="K15" s="175"/>
      <c r="L15" s="101"/>
      <c r="M15" s="101"/>
      <c r="N15" s="43"/>
      <c r="P15" s="19"/>
    </row>
    <row r="16" spans="1:16" ht="18" customHeight="1">
      <c r="A16" s="162"/>
      <c r="B16" s="116"/>
      <c r="C16" s="131"/>
      <c r="D16" s="218"/>
      <c r="E16" s="161"/>
      <c r="F16" s="161"/>
      <c r="G16" s="165"/>
      <c r="H16" s="165"/>
      <c r="I16" s="165"/>
      <c r="J16" s="165"/>
      <c r="K16" s="175"/>
      <c r="L16" s="101"/>
      <c r="M16" s="101"/>
      <c r="N16" s="43"/>
      <c r="P16" s="19"/>
    </row>
    <row r="17" spans="1:16" ht="18" customHeight="1">
      <c r="A17" s="162"/>
      <c r="B17" s="116"/>
      <c r="C17" s="116"/>
      <c r="D17" s="218"/>
      <c r="E17" s="161"/>
      <c r="F17" s="161"/>
      <c r="G17" s="165"/>
      <c r="H17" s="165"/>
      <c r="I17" s="165"/>
      <c r="J17" s="165"/>
      <c r="K17" s="175"/>
      <c r="L17" s="101"/>
      <c r="M17" s="101"/>
      <c r="N17" s="43"/>
      <c r="P17" s="19"/>
    </row>
    <row r="18" spans="1:16" ht="18" customHeight="1">
      <c r="A18" s="162"/>
      <c r="B18" s="116"/>
      <c r="C18" s="131"/>
      <c r="D18" s="218"/>
      <c r="E18" s="161"/>
      <c r="F18" s="161"/>
      <c r="G18" s="165"/>
      <c r="H18" s="165"/>
      <c r="I18" s="165"/>
      <c r="J18" s="165"/>
      <c r="K18" s="175"/>
      <c r="L18" s="101"/>
      <c r="M18" s="101"/>
      <c r="N18" s="43"/>
      <c r="P18" s="19"/>
    </row>
    <row r="19" spans="1:16" ht="18" customHeight="1">
      <c r="A19" s="162"/>
      <c r="B19" s="116"/>
      <c r="C19" s="131"/>
      <c r="D19" s="218"/>
      <c r="E19" s="161"/>
      <c r="F19" s="161"/>
      <c r="G19" s="165"/>
      <c r="H19" s="165"/>
      <c r="I19" s="165"/>
      <c r="J19" s="165"/>
      <c r="K19" s="175"/>
      <c r="L19" s="101"/>
      <c r="M19" s="101"/>
      <c r="N19" s="43"/>
      <c r="P19" s="19"/>
    </row>
    <row r="20" spans="1:16" ht="18" customHeight="1">
      <c r="A20" s="162"/>
      <c r="B20" s="116"/>
      <c r="C20" s="131"/>
      <c r="D20" s="218"/>
      <c r="E20" s="161"/>
      <c r="F20" s="161"/>
      <c r="G20" s="165"/>
      <c r="H20" s="165"/>
      <c r="I20" s="165"/>
      <c r="J20" s="165"/>
      <c r="K20" s="175"/>
      <c r="L20" s="101"/>
      <c r="M20" s="101"/>
      <c r="N20" s="43"/>
      <c r="P20" s="19"/>
    </row>
    <row r="21" spans="1:16" ht="18" customHeight="1">
      <c r="A21" s="162"/>
      <c r="B21" s="116"/>
      <c r="C21" s="131"/>
      <c r="D21" s="218"/>
      <c r="E21" s="161"/>
      <c r="F21" s="161"/>
      <c r="G21" s="165"/>
      <c r="H21" s="165"/>
      <c r="I21" s="165"/>
      <c r="J21" s="165"/>
      <c r="K21" s="175"/>
      <c r="L21" s="101"/>
      <c r="M21" s="101"/>
      <c r="N21" s="43"/>
      <c r="P21" s="19"/>
    </row>
    <row r="22" spans="1:16" ht="18" customHeight="1">
      <c r="A22" s="162"/>
      <c r="B22" s="116"/>
      <c r="C22" s="131"/>
      <c r="D22" s="218"/>
      <c r="E22" s="161"/>
      <c r="F22" s="161"/>
      <c r="G22" s="165"/>
      <c r="H22" s="165"/>
      <c r="I22" s="165"/>
      <c r="J22" s="165"/>
      <c r="K22" s="175"/>
      <c r="L22" s="101"/>
      <c r="M22" s="101"/>
      <c r="N22" s="43"/>
      <c r="P22" s="19"/>
    </row>
    <row r="23" spans="1:16" ht="18" customHeight="1">
      <c r="A23" s="162"/>
      <c r="B23" s="116"/>
      <c r="C23" s="131"/>
      <c r="D23" s="218"/>
      <c r="E23" s="161"/>
      <c r="F23" s="161"/>
      <c r="G23" s="165"/>
      <c r="H23" s="165"/>
      <c r="I23" s="165"/>
      <c r="J23" s="165"/>
      <c r="K23" s="175"/>
      <c r="L23" s="101"/>
      <c r="M23" s="101"/>
      <c r="N23" s="43"/>
      <c r="P23" s="19"/>
    </row>
    <row r="24" spans="1:16" ht="18" customHeight="1">
      <c r="A24" s="162"/>
      <c r="B24" s="116"/>
      <c r="C24" s="131"/>
      <c r="D24" s="218"/>
      <c r="E24" s="161"/>
      <c r="F24" s="161"/>
      <c r="G24" s="165"/>
      <c r="H24" s="165"/>
      <c r="I24" s="165"/>
      <c r="J24" s="165"/>
      <c r="K24" s="175"/>
      <c r="L24" s="101"/>
      <c r="M24" s="101"/>
      <c r="N24" s="43"/>
      <c r="P24" s="19"/>
    </row>
    <row r="25" spans="1:16" ht="18" customHeight="1">
      <c r="A25" s="162"/>
      <c r="B25" s="116"/>
      <c r="C25" s="131"/>
      <c r="D25" s="218"/>
      <c r="E25" s="161"/>
      <c r="F25" s="161"/>
      <c r="G25" s="165"/>
      <c r="H25" s="165"/>
      <c r="I25" s="165"/>
      <c r="J25" s="165"/>
      <c r="K25" s="175"/>
      <c r="L25" s="101"/>
      <c r="M25" s="101"/>
      <c r="N25" s="43"/>
      <c r="P25" s="19"/>
    </row>
    <row r="26" spans="1:16" ht="18" customHeight="1">
      <c r="A26" s="162"/>
      <c r="B26" s="116"/>
      <c r="C26" s="131"/>
      <c r="D26" s="218"/>
      <c r="E26" s="161"/>
      <c r="F26" s="161"/>
      <c r="G26" s="165"/>
      <c r="H26" s="165"/>
      <c r="I26" s="165"/>
      <c r="J26" s="165"/>
      <c r="K26" s="175"/>
      <c r="L26" s="101"/>
      <c r="M26" s="101"/>
      <c r="N26" s="43"/>
      <c r="P26" s="19"/>
    </row>
    <row r="27" spans="1:16" ht="18" customHeight="1">
      <c r="A27" s="162"/>
      <c r="B27" s="116"/>
      <c r="C27" s="131"/>
      <c r="D27" s="218"/>
      <c r="E27" s="161"/>
      <c r="F27" s="161"/>
      <c r="G27" s="165"/>
      <c r="H27" s="165"/>
      <c r="I27" s="165"/>
      <c r="J27" s="165"/>
      <c r="K27" s="175"/>
      <c r="L27" s="101"/>
      <c r="M27" s="101"/>
      <c r="N27" s="43"/>
      <c r="P27" s="19"/>
    </row>
    <row r="28" spans="1:16" ht="18" customHeight="1">
      <c r="A28" s="162"/>
      <c r="B28" s="116"/>
      <c r="C28" s="131"/>
      <c r="D28" s="218"/>
      <c r="E28" s="161"/>
      <c r="F28" s="161"/>
      <c r="G28" s="165"/>
      <c r="H28" s="165"/>
      <c r="I28" s="165"/>
      <c r="J28" s="165"/>
      <c r="K28" s="175"/>
      <c r="L28" s="101"/>
      <c r="M28" s="101"/>
      <c r="N28" s="43"/>
      <c r="P28" s="19"/>
    </row>
    <row r="29" spans="1:16" ht="18" customHeight="1">
      <c r="A29" s="162"/>
      <c r="B29" s="116"/>
      <c r="C29" s="131"/>
      <c r="D29" s="218"/>
      <c r="E29" s="161"/>
      <c r="F29" s="161"/>
      <c r="G29" s="165"/>
      <c r="H29" s="165"/>
      <c r="I29" s="165"/>
      <c r="J29" s="165"/>
      <c r="K29" s="175"/>
      <c r="L29" s="101"/>
      <c r="M29" s="101"/>
      <c r="N29" s="43"/>
      <c r="P29" s="19"/>
    </row>
    <row r="30" spans="1:16" ht="18" customHeight="1">
      <c r="A30" s="162"/>
      <c r="B30" s="116"/>
      <c r="C30" s="131"/>
      <c r="D30" s="218"/>
      <c r="E30" s="161"/>
      <c r="F30" s="161"/>
      <c r="G30" s="165"/>
      <c r="H30" s="165"/>
      <c r="I30" s="165"/>
      <c r="J30" s="165"/>
      <c r="K30" s="175"/>
      <c r="L30" s="101"/>
      <c r="M30" s="101"/>
      <c r="N30" s="43"/>
      <c r="P30" s="19"/>
    </row>
    <row r="31" spans="1:16" ht="18" customHeight="1">
      <c r="A31" s="162"/>
      <c r="B31" s="116"/>
      <c r="C31" s="131"/>
      <c r="D31" s="218"/>
      <c r="E31" s="161"/>
      <c r="F31" s="161"/>
      <c r="G31" s="165"/>
      <c r="H31" s="165"/>
      <c r="I31" s="165"/>
      <c r="J31" s="165"/>
      <c r="K31" s="175"/>
      <c r="L31" s="101"/>
      <c r="M31" s="101"/>
      <c r="N31" s="43"/>
      <c r="P31" s="19"/>
    </row>
    <row r="32" spans="1:16" ht="18" customHeight="1">
      <c r="A32" s="162"/>
      <c r="B32" s="116"/>
      <c r="C32" s="131"/>
      <c r="D32" s="218"/>
      <c r="E32" s="161"/>
      <c r="F32" s="161"/>
      <c r="G32" s="165"/>
      <c r="H32" s="165"/>
      <c r="I32" s="165"/>
      <c r="J32" s="165"/>
      <c r="K32" s="175"/>
      <c r="L32" s="101"/>
      <c r="M32" s="101"/>
      <c r="N32" s="43"/>
      <c r="P32" s="19"/>
    </row>
    <row r="33" spans="1:16" ht="18" customHeight="1">
      <c r="A33" s="162"/>
      <c r="B33" s="116"/>
      <c r="C33" s="131"/>
      <c r="D33" s="218"/>
      <c r="E33" s="161"/>
      <c r="F33" s="161"/>
      <c r="G33" s="165"/>
      <c r="H33" s="165"/>
      <c r="I33" s="165"/>
      <c r="J33" s="165"/>
      <c r="K33" s="175"/>
      <c r="L33" s="101"/>
      <c r="M33" s="101"/>
      <c r="N33" s="43"/>
      <c r="P33" s="19"/>
    </row>
    <row r="34" spans="1:16" ht="18" customHeight="1">
      <c r="A34" s="162"/>
      <c r="B34" s="116"/>
      <c r="C34" s="131"/>
      <c r="D34" s="218"/>
      <c r="E34" s="161"/>
      <c r="F34" s="161"/>
      <c r="G34" s="165"/>
      <c r="H34" s="165"/>
      <c r="I34" s="165"/>
      <c r="J34" s="165"/>
      <c r="K34" s="175"/>
      <c r="L34" s="101"/>
      <c r="M34" s="101"/>
      <c r="N34" s="43"/>
      <c r="P34" s="19"/>
    </row>
    <row r="35" spans="1:16" ht="18" customHeight="1">
      <c r="A35" s="162"/>
      <c r="B35" s="116"/>
      <c r="C35" s="131"/>
      <c r="D35" s="218"/>
      <c r="E35" s="161"/>
      <c r="F35" s="161"/>
      <c r="G35" s="165"/>
      <c r="H35" s="165"/>
      <c r="I35" s="165"/>
      <c r="J35" s="165"/>
      <c r="K35" s="175"/>
      <c r="L35" s="101"/>
      <c r="M35" s="101"/>
      <c r="N35" s="43"/>
      <c r="P35" s="19"/>
    </row>
    <row r="36" spans="1:16" ht="18" customHeight="1">
      <c r="A36" s="162"/>
      <c r="B36" s="116"/>
      <c r="C36" s="131"/>
      <c r="D36" s="218"/>
      <c r="E36" s="161"/>
      <c r="F36" s="161"/>
      <c r="G36" s="165"/>
      <c r="H36" s="165"/>
      <c r="I36" s="165"/>
      <c r="J36" s="165"/>
      <c r="K36" s="175"/>
      <c r="L36" s="101"/>
      <c r="M36" s="101"/>
      <c r="N36" s="43"/>
      <c r="P36" s="19"/>
    </row>
    <row r="37" spans="1:16" ht="18" customHeight="1">
      <c r="A37" s="162"/>
      <c r="B37" s="116"/>
      <c r="C37" s="131"/>
      <c r="D37" s="218"/>
      <c r="E37" s="161"/>
      <c r="F37" s="161"/>
      <c r="G37" s="165"/>
      <c r="H37" s="165"/>
      <c r="I37" s="165"/>
      <c r="J37" s="165"/>
      <c r="K37" s="175"/>
      <c r="L37" s="101"/>
      <c r="M37" s="101"/>
      <c r="N37" s="43"/>
      <c r="P37" s="19"/>
    </row>
    <row r="38" spans="1:16" ht="18" customHeight="1">
      <c r="A38" s="162"/>
      <c r="B38" s="116"/>
      <c r="C38" s="131"/>
      <c r="D38" s="218"/>
      <c r="E38" s="161"/>
      <c r="F38" s="161"/>
      <c r="G38" s="165"/>
      <c r="H38" s="165"/>
      <c r="I38" s="165"/>
      <c r="J38" s="165"/>
      <c r="K38" s="175"/>
      <c r="L38" s="101"/>
      <c r="M38" s="101"/>
      <c r="N38" s="43"/>
      <c r="P38" s="19"/>
    </row>
    <row r="39" spans="1:16" ht="18" customHeight="1">
      <c r="A39" s="162"/>
      <c r="B39" s="116"/>
      <c r="C39" s="131"/>
      <c r="D39" s="218"/>
      <c r="E39" s="161"/>
      <c r="F39" s="161"/>
      <c r="G39" s="165"/>
      <c r="H39" s="165"/>
      <c r="I39" s="165"/>
      <c r="J39" s="165"/>
      <c r="K39" s="175"/>
      <c r="L39" s="101"/>
      <c r="M39" s="101"/>
      <c r="N39" s="43"/>
      <c r="P39" s="19"/>
    </row>
    <row r="40" spans="1:16" ht="18" customHeight="1">
      <c r="A40" s="162"/>
      <c r="B40" s="116"/>
      <c r="C40" s="131"/>
      <c r="D40" s="218"/>
      <c r="E40" s="161"/>
      <c r="F40" s="161"/>
      <c r="G40" s="165"/>
      <c r="H40" s="165"/>
      <c r="I40" s="165"/>
      <c r="J40" s="165"/>
      <c r="K40" s="175"/>
      <c r="L40" s="101"/>
      <c r="M40" s="101"/>
      <c r="N40" s="43"/>
      <c r="P40" s="19"/>
    </row>
    <row r="41" spans="1:16" ht="18" customHeight="1">
      <c r="A41" s="162"/>
      <c r="B41" s="116"/>
      <c r="C41" s="131"/>
      <c r="D41" s="218"/>
      <c r="E41" s="161"/>
      <c r="F41" s="161"/>
      <c r="G41" s="165"/>
      <c r="H41" s="165"/>
      <c r="I41" s="165"/>
      <c r="J41" s="165"/>
      <c r="K41" s="175"/>
      <c r="L41" s="101"/>
      <c r="M41" s="101"/>
      <c r="N41" s="43"/>
      <c r="P41" s="19"/>
    </row>
    <row r="42" spans="1:16" ht="18" customHeight="1">
      <c r="A42" s="162"/>
      <c r="B42" s="116"/>
      <c r="C42" s="131"/>
      <c r="D42" s="218"/>
      <c r="E42" s="161"/>
      <c r="F42" s="161"/>
      <c r="G42" s="165"/>
      <c r="H42" s="165"/>
      <c r="I42" s="165"/>
      <c r="J42" s="165"/>
      <c r="K42" s="175"/>
      <c r="L42" s="101"/>
      <c r="M42" s="101"/>
      <c r="N42" s="43"/>
      <c r="P42" s="19"/>
    </row>
    <row r="43" spans="1:16" ht="18" customHeight="1">
      <c r="A43" s="162"/>
      <c r="B43" s="116"/>
      <c r="C43" s="131"/>
      <c r="D43" s="218"/>
      <c r="E43" s="161"/>
      <c r="F43" s="161"/>
      <c r="G43" s="165"/>
      <c r="H43" s="165"/>
      <c r="I43" s="165"/>
      <c r="J43" s="165"/>
      <c r="K43" s="175"/>
      <c r="L43" s="101"/>
      <c r="M43" s="101"/>
      <c r="N43" s="43"/>
      <c r="P43" s="19"/>
    </row>
    <row r="44" spans="1:16" ht="18" customHeight="1">
      <c r="A44" s="162"/>
      <c r="B44" s="116"/>
      <c r="C44" s="131"/>
      <c r="D44" s="218"/>
      <c r="E44" s="161"/>
      <c r="F44" s="161"/>
      <c r="G44" s="165"/>
      <c r="H44" s="165"/>
      <c r="I44" s="165"/>
      <c r="J44" s="165"/>
      <c r="K44" s="175"/>
      <c r="L44" s="101"/>
      <c r="M44" s="101"/>
      <c r="N44" s="43"/>
      <c r="P44" s="19"/>
    </row>
    <row r="45" spans="1:16" ht="18" customHeight="1">
      <c r="A45" s="162"/>
      <c r="B45" s="116"/>
      <c r="C45" s="131"/>
      <c r="D45" s="218"/>
      <c r="E45" s="161"/>
      <c r="F45" s="161"/>
      <c r="G45" s="165"/>
      <c r="H45" s="165"/>
      <c r="I45" s="165"/>
      <c r="J45" s="165"/>
      <c r="K45" s="175"/>
      <c r="L45" s="101"/>
      <c r="M45" s="101"/>
      <c r="N45" s="43"/>
      <c r="P45" s="19"/>
    </row>
    <row r="46" spans="1:16" ht="18" customHeight="1">
      <c r="A46" s="162"/>
      <c r="B46" s="116"/>
      <c r="C46" s="131"/>
      <c r="D46" s="218"/>
      <c r="E46" s="161"/>
      <c r="F46" s="161"/>
      <c r="G46" s="165"/>
      <c r="H46" s="165"/>
      <c r="I46" s="165"/>
      <c r="J46" s="165"/>
      <c r="K46" s="175"/>
      <c r="L46" s="101"/>
      <c r="M46" s="101"/>
      <c r="N46" s="43"/>
      <c r="P46" s="19"/>
    </row>
    <row r="47" spans="1:16" ht="18" customHeight="1">
      <c r="A47" s="162"/>
      <c r="B47" s="116"/>
      <c r="C47" s="131"/>
      <c r="D47" s="218"/>
      <c r="E47" s="161"/>
      <c r="F47" s="161"/>
      <c r="G47" s="165"/>
      <c r="H47" s="165"/>
      <c r="I47" s="165"/>
      <c r="J47" s="165"/>
      <c r="K47" s="175"/>
      <c r="L47" s="101"/>
      <c r="M47" s="101"/>
      <c r="N47" s="43"/>
      <c r="P47" s="19"/>
    </row>
    <row r="48" spans="1:16" ht="18" customHeight="1">
      <c r="A48" s="162"/>
      <c r="B48" s="116"/>
      <c r="C48" s="131"/>
      <c r="D48" s="218"/>
      <c r="E48" s="161"/>
      <c r="F48" s="161"/>
      <c r="G48" s="165"/>
      <c r="H48" s="165"/>
      <c r="I48" s="165"/>
      <c r="J48" s="165"/>
      <c r="K48" s="175"/>
      <c r="L48" s="101"/>
      <c r="M48" s="101"/>
      <c r="N48" s="43"/>
      <c r="P48" s="19"/>
    </row>
    <row r="49" spans="1:16" ht="18" customHeight="1">
      <c r="A49" s="162"/>
      <c r="B49" s="116"/>
      <c r="C49" s="131"/>
      <c r="D49" s="218"/>
      <c r="E49" s="161"/>
      <c r="F49" s="161"/>
      <c r="G49" s="165"/>
      <c r="H49" s="165"/>
      <c r="I49" s="165"/>
      <c r="J49" s="165"/>
      <c r="K49" s="175"/>
      <c r="L49" s="101"/>
      <c r="M49" s="101"/>
      <c r="N49" s="43"/>
      <c r="P49" s="19"/>
    </row>
    <row r="50" spans="1:16" ht="18" customHeight="1">
      <c r="A50" s="162"/>
      <c r="B50" s="116"/>
      <c r="C50" s="116"/>
      <c r="D50" s="218"/>
      <c r="E50" s="161"/>
      <c r="F50" s="161"/>
      <c r="G50" s="165"/>
      <c r="H50" s="165"/>
      <c r="I50" s="165"/>
      <c r="J50" s="165"/>
      <c r="K50" s="175"/>
      <c r="L50" s="101"/>
      <c r="M50" s="101"/>
      <c r="N50" s="43"/>
      <c r="P50" s="19"/>
    </row>
    <row r="51" spans="1:16" ht="18" customHeight="1">
      <c r="A51" s="162"/>
      <c r="B51" s="116"/>
      <c r="C51" s="131"/>
      <c r="D51" s="218"/>
      <c r="E51" s="161"/>
      <c r="F51" s="161"/>
      <c r="G51" s="165"/>
      <c r="H51" s="165"/>
      <c r="I51" s="165"/>
      <c r="J51" s="165"/>
      <c r="K51" s="175"/>
      <c r="L51" s="101"/>
      <c r="M51" s="101"/>
      <c r="N51" s="43"/>
      <c r="P51" s="19"/>
    </row>
    <row r="52" spans="1:16" ht="18" customHeight="1">
      <c r="A52" s="162"/>
      <c r="B52" s="116"/>
      <c r="C52" s="131"/>
      <c r="D52" s="218"/>
      <c r="E52" s="161"/>
      <c r="F52" s="161"/>
      <c r="G52" s="165"/>
      <c r="H52" s="165"/>
      <c r="I52" s="165"/>
      <c r="J52" s="165"/>
      <c r="K52" s="175"/>
      <c r="L52" s="101"/>
      <c r="M52" s="101"/>
      <c r="N52" s="43"/>
      <c r="P52" s="19"/>
    </row>
    <row r="53" spans="1:16" ht="18" customHeight="1">
      <c r="A53" s="162"/>
      <c r="B53" s="116"/>
      <c r="C53" s="131"/>
      <c r="D53" s="218"/>
      <c r="E53" s="161"/>
      <c r="F53" s="161"/>
      <c r="G53" s="165"/>
      <c r="H53" s="165"/>
      <c r="I53" s="165"/>
      <c r="J53" s="165"/>
      <c r="K53" s="175"/>
      <c r="L53" s="101"/>
      <c r="M53" s="101"/>
      <c r="N53" s="43"/>
      <c r="P53" s="19"/>
    </row>
    <row r="54" spans="1:16" ht="18" customHeight="1">
      <c r="A54" s="162"/>
      <c r="B54" s="116"/>
      <c r="C54" s="131"/>
      <c r="D54" s="218"/>
      <c r="E54" s="161"/>
      <c r="F54" s="161"/>
      <c r="G54" s="165"/>
      <c r="H54" s="165"/>
      <c r="I54" s="165"/>
      <c r="J54" s="165"/>
      <c r="K54" s="175"/>
      <c r="L54" s="101"/>
      <c r="M54" s="101"/>
      <c r="N54" s="43"/>
      <c r="P54" s="19"/>
    </row>
    <row r="55" spans="1:16" ht="18" customHeight="1">
      <c r="A55" s="162"/>
      <c r="B55" s="116"/>
      <c r="C55" s="131"/>
      <c r="D55" s="218"/>
      <c r="E55" s="161"/>
      <c r="F55" s="161"/>
      <c r="G55" s="165"/>
      <c r="H55" s="165"/>
      <c r="I55" s="165"/>
      <c r="J55" s="165"/>
      <c r="K55" s="175"/>
      <c r="L55" s="101"/>
      <c r="M55" s="101"/>
      <c r="N55" s="43"/>
      <c r="P55" s="19"/>
    </row>
    <row r="56" spans="1:16" ht="18" customHeight="1">
      <c r="A56" s="162"/>
      <c r="B56" s="116"/>
      <c r="C56" s="131"/>
      <c r="D56" s="218"/>
      <c r="E56" s="161"/>
      <c r="F56" s="161"/>
      <c r="G56" s="165"/>
      <c r="H56" s="165"/>
      <c r="I56" s="165"/>
      <c r="J56" s="165"/>
      <c r="K56" s="175"/>
      <c r="L56" s="101"/>
      <c r="M56" s="101"/>
      <c r="N56" s="43"/>
      <c r="P56" s="19"/>
    </row>
    <row r="57" spans="1:16" ht="18" customHeight="1">
      <c r="A57" s="162"/>
      <c r="B57" s="116"/>
      <c r="C57" s="131"/>
      <c r="D57" s="218"/>
      <c r="E57" s="161"/>
      <c r="F57" s="161"/>
      <c r="G57" s="165"/>
      <c r="H57" s="165"/>
      <c r="I57" s="165"/>
      <c r="J57" s="165"/>
      <c r="K57" s="175"/>
      <c r="L57" s="101"/>
      <c r="M57" s="101"/>
      <c r="N57" s="43"/>
      <c r="P57" s="19"/>
    </row>
    <row r="58" spans="1:16" ht="18" customHeight="1">
      <c r="A58" s="162"/>
      <c r="B58" s="116"/>
      <c r="C58" s="131"/>
      <c r="D58" s="218"/>
      <c r="E58" s="161"/>
      <c r="F58" s="161"/>
      <c r="G58" s="165"/>
      <c r="H58" s="165"/>
      <c r="I58" s="165"/>
      <c r="J58" s="165"/>
      <c r="K58" s="175"/>
      <c r="L58" s="101"/>
      <c r="M58" s="101"/>
      <c r="N58" s="43"/>
      <c r="P58" s="19"/>
    </row>
    <row r="59" spans="1:16" ht="18" customHeight="1">
      <c r="A59" s="162"/>
      <c r="B59" s="116"/>
      <c r="C59" s="131"/>
      <c r="D59" s="218"/>
      <c r="E59" s="161"/>
      <c r="F59" s="161"/>
      <c r="G59" s="165"/>
      <c r="H59" s="165"/>
      <c r="I59" s="165"/>
      <c r="J59" s="165"/>
      <c r="K59" s="175"/>
      <c r="L59" s="101"/>
      <c r="M59" s="101"/>
      <c r="N59" s="43"/>
      <c r="P59" s="19"/>
    </row>
    <row r="60" spans="1:16" ht="18" customHeight="1">
      <c r="A60" s="162"/>
      <c r="B60" s="116"/>
      <c r="C60" s="131"/>
      <c r="D60" s="218"/>
      <c r="E60" s="161"/>
      <c r="F60" s="161"/>
      <c r="G60" s="165"/>
      <c r="H60" s="165"/>
      <c r="I60" s="165"/>
      <c r="J60" s="165"/>
      <c r="K60" s="175"/>
      <c r="L60" s="101"/>
      <c r="M60" s="101"/>
      <c r="N60" s="43"/>
      <c r="P60" s="19"/>
    </row>
    <row r="61" spans="1:16" ht="18" customHeight="1">
      <c r="A61" s="162"/>
      <c r="B61" s="116"/>
      <c r="C61" s="131"/>
      <c r="D61" s="218"/>
      <c r="E61" s="161"/>
      <c r="F61" s="161"/>
      <c r="G61" s="165"/>
      <c r="H61" s="165"/>
      <c r="I61" s="165"/>
      <c r="J61" s="165"/>
      <c r="K61" s="175"/>
      <c r="L61" s="101"/>
      <c r="M61" s="101"/>
      <c r="N61" s="43"/>
      <c r="P61" s="19"/>
    </row>
    <row r="62" spans="1:16" ht="18" customHeight="1">
      <c r="A62" s="162"/>
      <c r="B62" s="116"/>
      <c r="C62" s="131"/>
      <c r="D62" s="218"/>
      <c r="E62" s="161"/>
      <c r="F62" s="161"/>
      <c r="G62" s="165"/>
      <c r="H62" s="165"/>
      <c r="I62" s="165"/>
      <c r="J62" s="165"/>
      <c r="K62" s="175"/>
      <c r="L62" s="101"/>
      <c r="M62" s="101"/>
      <c r="N62" s="43"/>
      <c r="P62" s="19"/>
    </row>
    <row r="63" spans="1:16" ht="18" customHeight="1">
      <c r="A63" s="162"/>
      <c r="B63" s="116"/>
      <c r="C63" s="131"/>
      <c r="D63" s="218"/>
      <c r="E63" s="161"/>
      <c r="F63" s="161"/>
      <c r="G63" s="165"/>
      <c r="H63" s="165"/>
      <c r="I63" s="165"/>
      <c r="J63" s="165"/>
      <c r="K63" s="175"/>
      <c r="L63" s="101"/>
      <c r="M63" s="101"/>
      <c r="N63" s="43"/>
      <c r="P63" s="19"/>
    </row>
    <row r="64" spans="1:16" ht="18" customHeight="1">
      <c r="A64" s="162"/>
      <c r="B64" s="116"/>
      <c r="C64" s="131"/>
      <c r="D64" s="218"/>
      <c r="E64" s="161"/>
      <c r="F64" s="161"/>
      <c r="G64" s="165"/>
      <c r="H64" s="165"/>
      <c r="I64" s="165"/>
      <c r="J64" s="165"/>
      <c r="K64" s="175"/>
      <c r="L64" s="101"/>
      <c r="M64" s="101"/>
      <c r="N64" s="43"/>
      <c r="P64" s="19"/>
    </row>
    <row r="65" spans="1:16" ht="18" customHeight="1">
      <c r="A65" s="162"/>
      <c r="B65" s="116"/>
      <c r="C65" s="131"/>
      <c r="D65" s="218"/>
      <c r="E65" s="161"/>
      <c r="F65" s="161"/>
      <c r="G65" s="165"/>
      <c r="H65" s="165"/>
      <c r="I65" s="165"/>
      <c r="J65" s="165"/>
      <c r="K65" s="175"/>
      <c r="L65" s="101"/>
      <c r="M65" s="101"/>
      <c r="N65" s="43"/>
      <c r="P65" s="19"/>
    </row>
    <row r="66" spans="1:16" ht="18" customHeight="1">
      <c r="A66" s="162"/>
      <c r="B66" s="116"/>
      <c r="C66" s="131"/>
      <c r="D66" s="218"/>
      <c r="E66" s="161"/>
      <c r="F66" s="161"/>
      <c r="G66" s="165"/>
      <c r="H66" s="165"/>
      <c r="I66" s="165"/>
      <c r="J66" s="165"/>
      <c r="K66" s="175"/>
      <c r="L66" s="101"/>
      <c r="M66" s="101"/>
      <c r="N66" s="43"/>
      <c r="P66" s="19"/>
    </row>
    <row r="67" spans="1:16" ht="18" customHeight="1">
      <c r="A67" s="162"/>
      <c r="B67" s="116"/>
      <c r="C67" s="131"/>
      <c r="D67" s="218"/>
      <c r="E67" s="161"/>
      <c r="F67" s="161"/>
      <c r="G67" s="165"/>
      <c r="H67" s="165"/>
      <c r="I67" s="165"/>
      <c r="J67" s="165"/>
      <c r="K67" s="175"/>
      <c r="L67" s="101"/>
      <c r="M67" s="101"/>
      <c r="N67" s="43"/>
      <c r="P67" s="19"/>
    </row>
    <row r="68" spans="1:16" ht="18" customHeight="1">
      <c r="A68" s="162"/>
      <c r="B68" s="116"/>
      <c r="C68" s="131"/>
      <c r="D68" s="218"/>
      <c r="E68" s="161"/>
      <c r="F68" s="161"/>
      <c r="G68" s="165"/>
      <c r="H68" s="165"/>
      <c r="I68" s="165"/>
      <c r="J68" s="165"/>
      <c r="K68" s="175"/>
      <c r="L68" s="101"/>
      <c r="M68" s="101"/>
      <c r="N68" s="43"/>
      <c r="P68" s="19"/>
    </row>
    <row r="69" spans="1:16" ht="18" customHeight="1">
      <c r="A69" s="162"/>
      <c r="B69" s="116"/>
      <c r="C69" s="131"/>
      <c r="D69" s="218"/>
      <c r="E69" s="161"/>
      <c r="F69" s="161"/>
      <c r="G69" s="165"/>
      <c r="H69" s="165"/>
      <c r="I69" s="165"/>
      <c r="J69" s="165"/>
      <c r="K69" s="175"/>
      <c r="L69" s="101"/>
      <c r="M69" s="101"/>
      <c r="N69" s="43"/>
      <c r="P69" s="19"/>
    </row>
    <row r="70" spans="1:16" ht="18" customHeight="1">
      <c r="A70" s="162"/>
      <c r="B70" s="116"/>
      <c r="C70" s="131"/>
      <c r="D70" s="218"/>
      <c r="E70" s="161"/>
      <c r="F70" s="161"/>
      <c r="G70" s="165"/>
      <c r="H70" s="165"/>
      <c r="I70" s="165"/>
      <c r="J70" s="165"/>
      <c r="K70" s="175"/>
      <c r="L70" s="101"/>
      <c r="M70" s="101"/>
      <c r="N70" s="43"/>
      <c r="P70" s="19"/>
    </row>
    <row r="71" spans="1:16" ht="18" customHeight="1">
      <c r="A71" s="162"/>
      <c r="B71" s="116"/>
      <c r="C71" s="131"/>
      <c r="D71" s="218"/>
      <c r="E71" s="161"/>
      <c r="F71" s="161"/>
      <c r="G71" s="165"/>
      <c r="H71" s="165"/>
      <c r="I71" s="165"/>
      <c r="J71" s="165"/>
      <c r="K71" s="175"/>
      <c r="L71" s="101"/>
      <c r="M71" s="101"/>
      <c r="N71" s="43"/>
      <c r="P71" s="19"/>
    </row>
    <row r="72" spans="1:16" ht="18" customHeight="1">
      <c r="A72" s="162"/>
      <c r="B72" s="116"/>
      <c r="C72" s="116"/>
      <c r="D72" s="218"/>
      <c r="E72" s="161"/>
      <c r="F72" s="161"/>
      <c r="G72" s="165"/>
      <c r="H72" s="165"/>
      <c r="I72" s="165"/>
      <c r="J72" s="165"/>
      <c r="K72" s="175"/>
      <c r="L72" s="101"/>
      <c r="M72" s="101"/>
      <c r="N72" s="43"/>
      <c r="P72" s="19"/>
    </row>
    <row r="73" spans="1:16" ht="18" customHeight="1">
      <c r="A73" s="162"/>
      <c r="B73" s="116"/>
      <c r="C73" s="131"/>
      <c r="D73" s="218"/>
      <c r="E73" s="161"/>
      <c r="F73" s="161"/>
      <c r="G73" s="165"/>
      <c r="H73" s="165"/>
      <c r="I73" s="165"/>
      <c r="J73" s="165"/>
      <c r="K73" s="175"/>
      <c r="L73" s="101"/>
      <c r="M73" s="101"/>
      <c r="N73" s="43"/>
      <c r="P73" s="19"/>
    </row>
    <row r="74" spans="1:16" ht="18" customHeight="1">
      <c r="A74" s="162"/>
      <c r="B74" s="116"/>
      <c r="C74" s="131"/>
      <c r="D74" s="218"/>
      <c r="E74" s="161"/>
      <c r="F74" s="161"/>
      <c r="G74" s="165"/>
      <c r="H74" s="165"/>
      <c r="I74" s="165"/>
      <c r="J74" s="165"/>
      <c r="K74" s="175"/>
      <c r="L74" s="101"/>
      <c r="M74" s="101"/>
      <c r="N74" s="43"/>
      <c r="P74" s="19"/>
    </row>
    <row r="75" spans="1:16" ht="18" customHeight="1">
      <c r="A75" s="162"/>
      <c r="B75" s="116"/>
      <c r="C75" s="131"/>
      <c r="D75" s="218"/>
      <c r="E75" s="161"/>
      <c r="F75" s="161"/>
      <c r="G75" s="165"/>
      <c r="H75" s="165"/>
      <c r="I75" s="165"/>
      <c r="J75" s="165"/>
      <c r="K75" s="175"/>
      <c r="L75" s="101"/>
      <c r="M75" s="101"/>
      <c r="N75" s="43"/>
      <c r="P75" s="19"/>
    </row>
    <row r="76" spans="1:16" ht="18" customHeight="1">
      <c r="A76" s="162"/>
      <c r="B76" s="116"/>
      <c r="C76" s="131"/>
      <c r="D76" s="218"/>
      <c r="E76" s="161"/>
      <c r="F76" s="161"/>
      <c r="G76" s="165"/>
      <c r="H76" s="165"/>
      <c r="I76" s="165"/>
      <c r="J76" s="165"/>
      <c r="K76" s="175"/>
      <c r="L76" s="101"/>
      <c r="M76" s="101"/>
      <c r="N76" s="43"/>
      <c r="P76" s="19"/>
    </row>
    <row r="77" spans="1:16" ht="18" customHeight="1">
      <c r="A77" s="162"/>
      <c r="B77" s="116"/>
      <c r="C77" s="131"/>
      <c r="D77" s="218"/>
      <c r="E77" s="161"/>
      <c r="F77" s="161"/>
      <c r="G77" s="165"/>
      <c r="H77" s="165"/>
      <c r="I77" s="165"/>
      <c r="J77" s="165"/>
      <c r="K77" s="175"/>
      <c r="L77" s="101"/>
      <c r="M77" s="101"/>
      <c r="N77" s="43"/>
      <c r="P77" s="19"/>
    </row>
    <row r="78" spans="1:16" ht="18" customHeight="1">
      <c r="A78" s="162"/>
      <c r="B78" s="116"/>
      <c r="C78" s="131"/>
      <c r="D78" s="218"/>
      <c r="E78" s="161"/>
      <c r="F78" s="161"/>
      <c r="G78" s="165"/>
      <c r="H78" s="165"/>
      <c r="I78" s="165"/>
      <c r="J78" s="165"/>
      <c r="K78" s="175"/>
      <c r="L78" s="101"/>
      <c r="M78" s="101"/>
      <c r="N78" s="43"/>
      <c r="P78" s="19"/>
    </row>
    <row r="79" spans="1:16" ht="18" customHeight="1">
      <c r="A79" s="162"/>
      <c r="B79" s="116"/>
      <c r="C79" s="131"/>
      <c r="D79" s="218"/>
      <c r="E79" s="161"/>
      <c r="F79" s="161"/>
      <c r="G79" s="165"/>
      <c r="H79" s="165"/>
      <c r="I79" s="165"/>
      <c r="J79" s="165"/>
      <c r="K79" s="175"/>
      <c r="L79" s="101"/>
      <c r="M79" s="101"/>
      <c r="N79" s="43"/>
      <c r="P79" s="19"/>
    </row>
    <row r="80" spans="1:16" ht="18" customHeight="1">
      <c r="A80" s="162"/>
      <c r="B80" s="116"/>
      <c r="C80" s="131"/>
      <c r="D80" s="218"/>
      <c r="E80" s="161"/>
      <c r="F80" s="161"/>
      <c r="G80" s="165"/>
      <c r="H80" s="165"/>
      <c r="I80" s="165"/>
      <c r="J80" s="165"/>
      <c r="K80" s="175"/>
      <c r="L80" s="101"/>
      <c r="M80" s="101"/>
      <c r="N80" s="43"/>
      <c r="P80" s="19"/>
    </row>
    <row r="81" spans="1:16" ht="18" customHeight="1">
      <c r="A81" s="162"/>
      <c r="B81" s="116"/>
      <c r="C81" s="131"/>
      <c r="D81" s="218"/>
      <c r="E81" s="161"/>
      <c r="F81" s="161"/>
      <c r="G81" s="165"/>
      <c r="H81" s="165"/>
      <c r="I81" s="165"/>
      <c r="J81" s="165"/>
      <c r="K81" s="175"/>
      <c r="L81" s="101"/>
      <c r="M81" s="101"/>
      <c r="N81" s="43"/>
      <c r="P81" s="19"/>
    </row>
    <row r="82" spans="1:16" ht="18" customHeight="1">
      <c r="A82" s="162"/>
      <c r="B82" s="116"/>
      <c r="C82" s="131"/>
      <c r="D82" s="218"/>
      <c r="E82" s="161"/>
      <c r="F82" s="161"/>
      <c r="G82" s="165"/>
      <c r="H82" s="165"/>
      <c r="I82" s="165"/>
      <c r="J82" s="165"/>
      <c r="K82" s="175"/>
      <c r="L82" s="101"/>
      <c r="M82" s="101"/>
      <c r="N82" s="43"/>
      <c r="P82" s="19"/>
    </row>
    <row r="83" spans="1:16" ht="18" customHeight="1">
      <c r="A83" s="162"/>
      <c r="B83" s="116"/>
      <c r="C83" s="131"/>
      <c r="D83" s="218"/>
      <c r="E83" s="161"/>
      <c r="F83" s="161"/>
      <c r="G83" s="165"/>
      <c r="H83" s="165"/>
      <c r="I83" s="165"/>
      <c r="J83" s="165"/>
      <c r="K83" s="175"/>
      <c r="L83" s="101"/>
      <c r="M83" s="101"/>
      <c r="N83" s="43"/>
      <c r="P83" s="19"/>
    </row>
    <row r="84" spans="1:16" ht="18" customHeight="1">
      <c r="A84" s="162"/>
      <c r="B84" s="116"/>
      <c r="C84" s="131"/>
      <c r="D84" s="218"/>
      <c r="E84" s="161"/>
      <c r="F84" s="161"/>
      <c r="G84" s="165"/>
      <c r="H84" s="165"/>
      <c r="I84" s="165"/>
      <c r="J84" s="165"/>
      <c r="K84" s="175"/>
      <c r="L84" s="101"/>
      <c r="M84" s="101"/>
      <c r="N84" s="43"/>
      <c r="P84" s="19"/>
    </row>
    <row r="85" spans="1:16" ht="18" customHeight="1">
      <c r="A85" s="162"/>
      <c r="B85" s="116"/>
      <c r="C85" s="131"/>
      <c r="D85" s="218"/>
      <c r="E85" s="161"/>
      <c r="F85" s="161"/>
      <c r="G85" s="165"/>
      <c r="H85" s="165"/>
      <c r="I85" s="165"/>
      <c r="J85" s="165"/>
      <c r="K85" s="175"/>
      <c r="L85" s="101"/>
      <c r="M85" s="101"/>
      <c r="N85" s="43"/>
      <c r="P85" s="19"/>
    </row>
    <row r="86" spans="1:16" ht="18" customHeight="1">
      <c r="A86" s="162"/>
      <c r="B86" s="116"/>
      <c r="C86" s="131"/>
      <c r="D86" s="218"/>
      <c r="E86" s="161"/>
      <c r="F86" s="161"/>
      <c r="G86" s="165"/>
      <c r="H86" s="165"/>
      <c r="I86" s="165"/>
      <c r="J86" s="165"/>
      <c r="K86" s="175"/>
      <c r="L86" s="101"/>
      <c r="M86" s="101"/>
      <c r="N86" s="43"/>
      <c r="P86" s="19"/>
    </row>
    <row r="87" spans="1:16" ht="18" customHeight="1">
      <c r="A87" s="162"/>
      <c r="B87" s="116"/>
      <c r="C87" s="131"/>
      <c r="D87" s="218"/>
      <c r="E87" s="161"/>
      <c r="F87" s="161"/>
      <c r="G87" s="165"/>
      <c r="H87" s="165"/>
      <c r="I87" s="165"/>
      <c r="J87" s="165"/>
      <c r="K87" s="175"/>
      <c r="L87" s="101"/>
      <c r="M87" s="101"/>
      <c r="N87" s="43"/>
      <c r="P87" s="19"/>
    </row>
    <row r="88" spans="1:16" ht="18" customHeight="1">
      <c r="A88" s="162"/>
      <c r="B88" s="116"/>
      <c r="C88" s="131"/>
      <c r="D88" s="218"/>
      <c r="E88" s="161"/>
      <c r="F88" s="161"/>
      <c r="G88" s="165"/>
      <c r="H88" s="165"/>
      <c r="I88" s="165"/>
      <c r="J88" s="165"/>
      <c r="K88" s="175"/>
      <c r="L88" s="101"/>
      <c r="M88" s="101"/>
      <c r="N88" s="43"/>
      <c r="P88" s="19"/>
    </row>
    <row r="89" spans="1:16" ht="18" customHeight="1">
      <c r="A89" s="162"/>
      <c r="B89" s="116"/>
      <c r="C89" s="131"/>
      <c r="D89" s="218"/>
      <c r="E89" s="161"/>
      <c r="F89" s="161"/>
      <c r="G89" s="165"/>
      <c r="H89" s="165"/>
      <c r="I89" s="165"/>
      <c r="J89" s="165"/>
      <c r="K89" s="175"/>
      <c r="L89" s="101"/>
      <c r="M89" s="101"/>
      <c r="N89" s="43"/>
      <c r="P89" s="19"/>
    </row>
    <row r="90" spans="1:16" ht="18" customHeight="1">
      <c r="A90" s="162"/>
      <c r="B90" s="116"/>
      <c r="C90" s="131"/>
      <c r="D90" s="218"/>
      <c r="E90" s="161"/>
      <c r="F90" s="161"/>
      <c r="G90" s="165"/>
      <c r="H90" s="165"/>
      <c r="I90" s="165"/>
      <c r="J90" s="165"/>
      <c r="K90" s="175"/>
      <c r="L90" s="101"/>
      <c r="M90" s="101"/>
      <c r="N90" s="43"/>
      <c r="P90" s="19"/>
    </row>
    <row r="91" spans="1:16" ht="18" customHeight="1">
      <c r="A91" s="162"/>
      <c r="B91" s="116"/>
      <c r="C91" s="131"/>
      <c r="D91" s="218"/>
      <c r="E91" s="161"/>
      <c r="F91" s="161"/>
      <c r="G91" s="165"/>
      <c r="H91" s="165"/>
      <c r="I91" s="165"/>
      <c r="J91" s="165"/>
      <c r="K91" s="175"/>
      <c r="L91" s="101"/>
      <c r="M91" s="101"/>
      <c r="N91" s="43"/>
      <c r="P91" s="19"/>
    </row>
    <row r="92" spans="1:16" ht="18" customHeight="1">
      <c r="A92" s="162"/>
      <c r="B92" s="116"/>
      <c r="C92" s="131"/>
      <c r="D92" s="218"/>
      <c r="E92" s="161"/>
      <c r="F92" s="161"/>
      <c r="G92" s="165"/>
      <c r="H92" s="165"/>
      <c r="I92" s="165"/>
      <c r="J92" s="165"/>
      <c r="K92" s="175"/>
      <c r="L92" s="101"/>
      <c r="M92" s="101"/>
      <c r="N92" s="43"/>
      <c r="P92" s="19"/>
    </row>
    <row r="93" spans="1:16" ht="18" customHeight="1">
      <c r="A93" s="162"/>
      <c r="B93" s="116"/>
      <c r="C93" s="131"/>
      <c r="D93" s="218"/>
      <c r="E93" s="161"/>
      <c r="F93" s="161"/>
      <c r="G93" s="165"/>
      <c r="H93" s="165"/>
      <c r="I93" s="165"/>
      <c r="J93" s="165"/>
      <c r="K93" s="175"/>
      <c r="L93" s="101"/>
      <c r="M93" s="101"/>
      <c r="N93" s="43"/>
      <c r="P93" s="19"/>
    </row>
    <row r="94" spans="1:16" ht="18" customHeight="1">
      <c r="A94" s="162"/>
      <c r="B94" s="116"/>
      <c r="C94" s="131"/>
      <c r="D94" s="218"/>
      <c r="E94" s="161"/>
      <c r="F94" s="161"/>
      <c r="G94" s="165"/>
      <c r="H94" s="165"/>
      <c r="I94" s="165"/>
      <c r="J94" s="165"/>
      <c r="K94" s="175"/>
      <c r="L94" s="101"/>
      <c r="M94" s="101"/>
      <c r="N94" s="43"/>
      <c r="P94" s="19"/>
    </row>
    <row r="95" spans="1:16" ht="18" customHeight="1">
      <c r="A95" s="162"/>
      <c r="B95" s="116"/>
      <c r="C95" s="131"/>
      <c r="D95" s="218"/>
      <c r="E95" s="161"/>
      <c r="F95" s="161"/>
      <c r="G95" s="165"/>
      <c r="H95" s="165"/>
      <c r="I95" s="165"/>
      <c r="J95" s="165"/>
      <c r="K95" s="175"/>
      <c r="L95" s="101"/>
      <c r="M95" s="101"/>
      <c r="N95" s="43"/>
      <c r="P95" s="19"/>
    </row>
    <row r="96" spans="1:16" ht="18" customHeight="1">
      <c r="A96" s="162"/>
      <c r="B96" s="116"/>
      <c r="C96" s="131"/>
      <c r="D96" s="218"/>
      <c r="E96" s="161"/>
      <c r="F96" s="161"/>
      <c r="G96" s="165"/>
      <c r="H96" s="165"/>
      <c r="I96" s="165"/>
      <c r="J96" s="165"/>
      <c r="K96" s="175"/>
      <c r="L96" s="101"/>
      <c r="M96" s="101"/>
      <c r="N96" s="43"/>
      <c r="P96" s="19"/>
    </row>
    <row r="97" spans="1:16" ht="18" customHeight="1">
      <c r="A97" s="162"/>
      <c r="B97" s="116"/>
      <c r="C97" s="131"/>
      <c r="D97" s="218"/>
      <c r="E97" s="161"/>
      <c r="F97" s="161"/>
      <c r="G97" s="165"/>
      <c r="H97" s="165"/>
      <c r="I97" s="165"/>
      <c r="J97" s="165"/>
      <c r="K97" s="175"/>
      <c r="L97" s="101"/>
      <c r="M97" s="101"/>
      <c r="N97" s="43"/>
      <c r="P97" s="19"/>
    </row>
    <row r="98" spans="1:16" ht="18" customHeight="1">
      <c r="A98" s="162"/>
      <c r="B98" s="116"/>
      <c r="C98" s="131"/>
      <c r="D98" s="218"/>
      <c r="E98" s="161"/>
      <c r="F98" s="161"/>
      <c r="G98" s="165"/>
      <c r="H98" s="165"/>
      <c r="I98" s="165"/>
      <c r="J98" s="165"/>
      <c r="K98" s="175"/>
      <c r="L98" s="101"/>
      <c r="M98" s="101"/>
      <c r="N98" s="43"/>
      <c r="P98" s="19"/>
    </row>
    <row r="99" spans="1:16" ht="18" customHeight="1">
      <c r="A99" s="162"/>
      <c r="B99" s="116"/>
      <c r="C99" s="131"/>
      <c r="D99" s="218"/>
      <c r="E99" s="161"/>
      <c r="F99" s="161"/>
      <c r="G99" s="165"/>
      <c r="H99" s="165"/>
      <c r="I99" s="165"/>
      <c r="J99" s="165"/>
      <c r="K99" s="175"/>
      <c r="L99" s="101"/>
      <c r="M99" s="101"/>
      <c r="N99" s="43"/>
      <c r="P99" s="19"/>
    </row>
    <row r="100" spans="1:16" ht="18" customHeight="1">
      <c r="A100" s="162"/>
      <c r="B100" s="116"/>
      <c r="C100" s="131"/>
      <c r="D100" s="218"/>
      <c r="E100" s="161"/>
      <c r="F100" s="161"/>
      <c r="G100" s="165"/>
      <c r="H100" s="165"/>
      <c r="I100" s="165"/>
      <c r="J100" s="165"/>
      <c r="K100" s="175"/>
      <c r="L100" s="101"/>
      <c r="M100" s="101"/>
      <c r="N100" s="43"/>
      <c r="P100" s="19"/>
    </row>
    <row r="101" spans="1:16" ht="18" customHeight="1">
      <c r="A101" s="162"/>
      <c r="B101" s="116"/>
      <c r="C101" s="131"/>
      <c r="D101" s="218"/>
      <c r="E101" s="161"/>
      <c r="F101" s="161"/>
      <c r="G101" s="165"/>
      <c r="H101" s="165"/>
      <c r="I101" s="165"/>
      <c r="J101" s="165"/>
      <c r="K101" s="175"/>
      <c r="L101" s="101"/>
      <c r="M101" s="101"/>
      <c r="N101" s="43"/>
      <c r="P101" s="19"/>
    </row>
    <row r="102" spans="1:16" ht="18" customHeight="1">
      <c r="A102" s="162"/>
      <c r="B102" s="116"/>
      <c r="C102" s="131"/>
      <c r="D102" s="218"/>
      <c r="E102" s="161"/>
      <c r="F102" s="161"/>
      <c r="G102" s="165"/>
      <c r="H102" s="165"/>
      <c r="I102" s="165"/>
      <c r="J102" s="165"/>
      <c r="K102" s="175"/>
      <c r="L102" s="101"/>
      <c r="M102" s="101"/>
      <c r="N102" s="43"/>
      <c r="P102" s="19"/>
    </row>
    <row r="103" spans="1:16" ht="18" customHeight="1">
      <c r="A103" s="162"/>
      <c r="B103" s="116"/>
      <c r="C103" s="131"/>
      <c r="D103" s="218"/>
      <c r="E103" s="161"/>
      <c r="F103" s="161"/>
      <c r="G103" s="165"/>
      <c r="H103" s="165"/>
      <c r="I103" s="165"/>
      <c r="J103" s="165"/>
      <c r="K103" s="175"/>
      <c r="L103" s="101"/>
      <c r="M103" s="101"/>
      <c r="N103" s="43"/>
      <c r="P103" s="19"/>
    </row>
    <row r="104" spans="1:16" ht="18" customHeight="1">
      <c r="A104" s="162"/>
      <c r="B104" s="116"/>
      <c r="C104" s="131"/>
      <c r="D104" s="131"/>
      <c r="E104" s="161"/>
      <c r="F104" s="161"/>
      <c r="G104" s="161"/>
      <c r="H104" s="161"/>
      <c r="I104" s="161"/>
      <c r="J104" s="161"/>
      <c r="K104" s="163"/>
      <c r="L104" s="101"/>
      <c r="M104" s="101"/>
      <c r="N104" s="43"/>
      <c r="P104" s="19"/>
    </row>
    <row r="105" spans="1:16" ht="18" customHeight="1">
      <c r="A105" s="39"/>
      <c r="B105" s="131"/>
      <c r="C105" s="131"/>
      <c r="D105" s="131"/>
      <c r="E105" s="40"/>
      <c r="F105" s="40"/>
      <c r="G105" s="40"/>
      <c r="H105" s="40"/>
      <c r="I105" s="40"/>
      <c r="J105" s="40"/>
      <c r="K105" s="132"/>
      <c r="L105" s="40"/>
      <c r="M105" s="41"/>
      <c r="N105" s="43"/>
      <c r="P105" s="19"/>
    </row>
    <row r="106" spans="1:16" ht="18" customHeight="1">
      <c r="A106" s="39"/>
      <c r="B106" s="131"/>
      <c r="C106" s="131"/>
      <c r="D106" s="131"/>
      <c r="E106" s="40"/>
      <c r="F106" s="40"/>
      <c r="G106" s="40"/>
      <c r="H106" s="40"/>
      <c r="I106" s="40"/>
      <c r="J106" s="40"/>
      <c r="K106" s="132"/>
      <c r="L106" s="40"/>
      <c r="M106" s="41"/>
      <c r="N106" s="43"/>
      <c r="P106" s="19"/>
    </row>
    <row r="107" spans="1:16" ht="18" customHeight="1">
      <c r="A107" s="39"/>
      <c r="B107" s="131"/>
      <c r="C107" s="131"/>
      <c r="D107" s="131"/>
      <c r="E107" s="40"/>
      <c r="F107" s="40"/>
      <c r="G107" s="40"/>
      <c r="H107" s="40"/>
      <c r="I107" s="40"/>
      <c r="J107" s="40"/>
      <c r="K107" s="132"/>
      <c r="L107" s="40"/>
      <c r="M107" s="41"/>
      <c r="N107" s="43"/>
      <c r="P107" s="19"/>
    </row>
    <row r="108" spans="1:16" ht="18" customHeight="1">
      <c r="A108" s="39"/>
      <c r="B108" s="131"/>
      <c r="C108" s="131"/>
      <c r="D108" s="131"/>
      <c r="E108" s="40"/>
      <c r="F108" s="40"/>
      <c r="G108" s="40"/>
      <c r="H108" s="40"/>
      <c r="I108" s="40"/>
      <c r="J108" s="40"/>
      <c r="K108" s="132"/>
      <c r="L108" s="40"/>
      <c r="M108" s="41"/>
      <c r="N108" s="43"/>
      <c r="P108" s="19"/>
    </row>
    <row r="109" spans="1:16" ht="18" customHeight="1">
      <c r="A109" s="39"/>
      <c r="B109" s="131"/>
      <c r="C109" s="131"/>
      <c r="D109" s="131"/>
      <c r="E109" s="40"/>
      <c r="F109" s="40"/>
      <c r="G109" s="40"/>
      <c r="H109" s="40"/>
      <c r="I109" s="40"/>
      <c r="J109" s="40"/>
      <c r="K109" s="132"/>
      <c r="L109" s="40"/>
      <c r="M109" s="41"/>
      <c r="N109" s="43"/>
      <c r="P109" s="19"/>
    </row>
    <row r="110" spans="1:16" ht="18" customHeight="1">
      <c r="A110" s="39"/>
      <c r="B110" s="131"/>
      <c r="C110" s="131"/>
      <c r="D110" s="131"/>
      <c r="E110" s="40"/>
      <c r="F110" s="40"/>
      <c r="G110" s="40"/>
      <c r="H110" s="40"/>
      <c r="I110" s="40"/>
      <c r="J110" s="40"/>
      <c r="K110" s="132"/>
      <c r="L110" s="40"/>
      <c r="M110" s="41"/>
      <c r="N110" s="43"/>
      <c r="P110" s="19"/>
    </row>
    <row r="111" spans="1:16" ht="18" customHeight="1">
      <c r="A111" s="39"/>
      <c r="B111" s="131"/>
      <c r="C111" s="131"/>
      <c r="D111" s="131"/>
      <c r="E111" s="40"/>
      <c r="F111" s="40"/>
      <c r="G111" s="40"/>
      <c r="H111" s="40"/>
      <c r="I111" s="40"/>
      <c r="J111" s="40"/>
      <c r="K111" s="132"/>
      <c r="L111" s="40"/>
      <c r="M111" s="41"/>
      <c r="N111" s="43"/>
      <c r="P111" s="19"/>
    </row>
    <row r="112" spans="1:16" ht="18" customHeight="1">
      <c r="A112" s="39"/>
      <c r="B112" s="131"/>
      <c r="C112" s="131"/>
      <c r="D112" s="131"/>
      <c r="E112" s="40"/>
      <c r="F112" s="40"/>
      <c r="G112" s="40"/>
      <c r="H112" s="40"/>
      <c r="I112" s="40"/>
      <c r="J112" s="40"/>
      <c r="K112" s="132"/>
      <c r="L112" s="40"/>
      <c r="M112" s="41"/>
      <c r="N112" s="43"/>
      <c r="P112" s="19"/>
    </row>
    <row r="113" spans="1:18" ht="18" customHeight="1">
      <c r="A113" s="39"/>
      <c r="B113" s="131"/>
      <c r="C113" s="131"/>
      <c r="D113" s="131"/>
      <c r="E113" s="40"/>
      <c r="F113" s="40"/>
      <c r="G113" s="40"/>
      <c r="H113" s="40"/>
      <c r="I113" s="40"/>
      <c r="J113" s="40"/>
      <c r="K113" s="132"/>
      <c r="L113" s="40"/>
      <c r="M113" s="41"/>
      <c r="N113" s="43"/>
      <c r="P113" s="19"/>
    </row>
    <row r="114" spans="1:18" ht="18" customHeight="1">
      <c r="A114" s="39"/>
      <c r="B114" s="131"/>
      <c r="C114" s="131"/>
      <c r="D114" s="131"/>
      <c r="E114" s="40"/>
      <c r="F114" s="40"/>
      <c r="G114" s="40"/>
      <c r="H114" s="40"/>
      <c r="I114" s="40"/>
      <c r="J114" s="40"/>
      <c r="K114" s="132"/>
      <c r="L114" s="40"/>
      <c r="M114" s="41"/>
      <c r="N114" s="43"/>
      <c r="P114" s="19"/>
    </row>
    <row r="115" spans="1:18" ht="18" customHeight="1">
      <c r="A115" s="39"/>
      <c r="B115" s="131"/>
      <c r="C115" s="131"/>
      <c r="D115" s="131"/>
      <c r="E115" s="40"/>
      <c r="F115" s="40"/>
      <c r="G115" s="40"/>
      <c r="H115" s="40"/>
      <c r="I115" s="40"/>
      <c r="J115" s="40"/>
      <c r="K115" s="132"/>
      <c r="L115" s="40"/>
      <c r="M115" s="41"/>
      <c r="N115" s="43"/>
      <c r="P115" s="19"/>
    </row>
    <row r="116" spans="1:18" ht="18" customHeight="1">
      <c r="A116" s="39"/>
      <c r="B116" s="131"/>
      <c r="C116" s="131"/>
      <c r="D116" s="131"/>
      <c r="E116" s="40"/>
      <c r="F116" s="40"/>
      <c r="G116" s="40"/>
      <c r="H116" s="40"/>
      <c r="I116" s="40"/>
      <c r="J116" s="40"/>
      <c r="K116" s="132"/>
      <c r="L116" s="40"/>
      <c r="M116" s="41"/>
      <c r="N116" s="43"/>
      <c r="P116" s="19"/>
    </row>
    <row r="117" spans="1:18" ht="18" customHeight="1">
      <c r="A117" s="39"/>
      <c r="B117" s="131"/>
      <c r="C117" s="131"/>
      <c r="D117" s="131"/>
      <c r="E117" s="40"/>
      <c r="F117" s="40"/>
      <c r="G117" s="40"/>
      <c r="H117" s="40"/>
      <c r="I117" s="40"/>
      <c r="J117" s="40"/>
      <c r="K117" s="132"/>
      <c r="L117" s="40"/>
      <c r="M117" s="41"/>
      <c r="N117" s="43"/>
      <c r="P117" s="19"/>
    </row>
    <row r="118" spans="1:18" ht="18" customHeight="1">
      <c r="A118" s="39"/>
      <c r="B118" s="131"/>
      <c r="C118" s="131"/>
      <c r="D118" s="131"/>
      <c r="E118" s="40"/>
      <c r="F118" s="40"/>
      <c r="G118" s="40"/>
      <c r="H118" s="40"/>
      <c r="I118" s="40"/>
      <c r="J118" s="40"/>
      <c r="K118" s="132"/>
      <c r="L118" s="40"/>
      <c r="M118" s="41"/>
      <c r="N118" s="43"/>
      <c r="P118" s="19"/>
    </row>
    <row r="119" spans="1:18" ht="18" customHeight="1">
      <c r="A119" s="39"/>
      <c r="B119" s="131"/>
      <c r="C119" s="131"/>
      <c r="D119" s="131"/>
      <c r="E119" s="40"/>
      <c r="F119" s="40"/>
      <c r="G119" s="40"/>
      <c r="H119" s="40"/>
      <c r="I119" s="40"/>
      <c r="J119" s="40"/>
      <c r="K119" s="132"/>
      <c r="L119" s="40"/>
      <c r="M119" s="41"/>
      <c r="N119" s="43"/>
      <c r="P119" s="19"/>
    </row>
    <row r="120" spans="1:18" ht="15" customHeight="1">
      <c r="A120" s="39"/>
      <c r="B120" s="131"/>
      <c r="C120" s="131"/>
      <c r="D120" s="131"/>
      <c r="E120" s="40"/>
      <c r="F120" s="40"/>
      <c r="G120" s="40"/>
      <c r="H120" s="40"/>
      <c r="I120" s="40"/>
      <c r="J120" s="40"/>
      <c r="K120" s="132"/>
      <c r="L120" s="40"/>
      <c r="M120" s="41"/>
      <c r="N120" s="43"/>
      <c r="P120" s="19"/>
    </row>
    <row r="121" spans="1:18" ht="12.6" customHeight="1" thickBot="1">
      <c r="A121" s="42"/>
      <c r="B121" s="43"/>
      <c r="C121" s="43"/>
      <c r="D121" s="43"/>
      <c r="E121" s="43"/>
      <c r="F121" s="43"/>
      <c r="G121" s="43"/>
      <c r="H121" s="43"/>
      <c r="I121" s="43"/>
      <c r="J121" s="43"/>
      <c r="K121" s="43"/>
      <c r="L121" s="43"/>
      <c r="M121" s="44"/>
      <c r="N121" s="43"/>
      <c r="O121" s="19"/>
      <c r="P121" s="19"/>
    </row>
    <row r="122" spans="1:18" ht="16.2" thickBot="1">
      <c r="A122" s="613"/>
      <c r="B122" s="614"/>
      <c r="C122" s="615" t="s">
        <v>178</v>
      </c>
      <c r="D122" s="616"/>
      <c r="E122" s="616"/>
      <c r="F122" s="617"/>
      <c r="G122" s="615" t="s">
        <v>179</v>
      </c>
      <c r="H122" s="616"/>
      <c r="I122" s="616"/>
      <c r="J122" s="616"/>
      <c r="K122" s="617"/>
      <c r="L122" s="615" t="s">
        <v>180</v>
      </c>
      <c r="M122" s="617"/>
      <c r="N122" s="133"/>
      <c r="O122" s="134"/>
      <c r="P122" s="33"/>
      <c r="Q122" s="33"/>
      <c r="R122" s="33"/>
    </row>
    <row r="123" spans="1:18" ht="19.5" customHeight="1">
      <c r="A123" s="591" t="s">
        <v>181</v>
      </c>
      <c r="B123" s="592"/>
      <c r="C123" s="593"/>
      <c r="D123" s="594"/>
      <c r="E123" s="594"/>
      <c r="F123" s="595"/>
      <c r="G123" s="593"/>
      <c r="H123" s="594"/>
      <c r="I123" s="594"/>
      <c r="J123" s="594"/>
      <c r="K123" s="595"/>
      <c r="L123" s="593" t="str">
        <f>Informe!W99</f>
        <v>Alejando Rivera</v>
      </c>
      <c r="M123" s="596"/>
      <c r="N123" s="135"/>
      <c r="O123" s="597"/>
      <c r="P123" s="597"/>
      <c r="Q123" s="597"/>
      <c r="R123" s="597"/>
    </row>
    <row r="124" spans="1:18" ht="19.5" customHeight="1">
      <c r="A124" s="598" t="s">
        <v>183</v>
      </c>
      <c r="B124" s="599"/>
      <c r="C124" s="600" t="str">
        <f>Informe!D100</f>
        <v>Ingeniero Junior</v>
      </c>
      <c r="D124" s="601"/>
      <c r="E124" s="601"/>
      <c r="F124" s="602"/>
      <c r="G124" s="600" t="str">
        <f>Informe!O100</f>
        <v>Ingeniero Residente</v>
      </c>
      <c r="H124" s="601"/>
      <c r="I124" s="601"/>
      <c r="J124" s="601"/>
      <c r="K124" s="602"/>
      <c r="L124" s="600" t="str">
        <f>Informe!W100</f>
        <v>Coordinador de Proyectos</v>
      </c>
      <c r="M124" s="603"/>
      <c r="N124" s="135"/>
      <c r="O124" s="597"/>
      <c r="P124" s="597"/>
      <c r="Q124" s="597"/>
      <c r="R124" s="597"/>
    </row>
    <row r="125" spans="1:18" ht="25.5" customHeight="1" thickBot="1">
      <c r="A125" s="584" t="s">
        <v>187</v>
      </c>
      <c r="B125" s="585"/>
      <c r="C125" s="586" t="str">
        <f>Informe!D101</f>
        <v>Protección Catódica de Colombia SAS</v>
      </c>
      <c r="D125" s="587"/>
      <c r="E125" s="587"/>
      <c r="F125" s="588"/>
      <c r="G125" s="586" t="str">
        <f>Informe!O101</f>
        <v>Protección Catódica de Colombia SAS</v>
      </c>
      <c r="H125" s="587"/>
      <c r="I125" s="587"/>
      <c r="J125" s="587"/>
      <c r="K125" s="588"/>
      <c r="L125" s="586" t="str">
        <f>Informe!W101</f>
        <v>Protección Catódica de Colombia SAS</v>
      </c>
      <c r="M125" s="589"/>
      <c r="N125" s="135"/>
      <c r="O125" s="590"/>
      <c r="P125" s="590"/>
      <c r="Q125" s="590"/>
      <c r="R125" s="590"/>
    </row>
    <row r="126" spans="1:18">
      <c r="A126" s="20"/>
    </row>
    <row r="127" spans="1:18">
      <c r="A127" s="20"/>
    </row>
    <row r="128" spans="1:18">
      <c r="A128" s="20"/>
    </row>
    <row r="129" spans="1:33" ht="12.6" customHeight="1">
      <c r="A129" s="20"/>
    </row>
    <row r="130" spans="1:33" ht="12.6" customHeight="1">
      <c r="A130" s="20"/>
    </row>
    <row r="131" spans="1:33">
      <c r="A131" s="20"/>
    </row>
    <row r="132" spans="1:33">
      <c r="A132" s="20"/>
    </row>
    <row r="133" spans="1:33">
      <c r="A133" s="20"/>
    </row>
    <row r="134" spans="1:33">
      <c r="A134" s="20"/>
    </row>
    <row r="135" spans="1:33">
      <c r="A135" s="20"/>
    </row>
    <row r="136" spans="1:33">
      <c r="A136" s="20"/>
    </row>
    <row r="137" spans="1:33">
      <c r="A137" s="20"/>
    </row>
    <row r="138" spans="1:33" s="18" customFormat="1">
      <c r="A138" s="20"/>
      <c r="B138" s="19"/>
      <c r="C138" s="19"/>
      <c r="D138" s="19"/>
      <c r="E138" s="20"/>
      <c r="F138" s="20"/>
      <c r="G138" s="20"/>
      <c r="H138" s="20"/>
      <c r="I138" s="20"/>
      <c r="J138" s="20"/>
      <c r="K138" s="20"/>
      <c r="L138" s="20"/>
      <c r="M138" s="20"/>
      <c r="N138" s="20"/>
      <c r="Q138" s="19"/>
      <c r="R138" s="19"/>
      <c r="S138" s="19"/>
      <c r="T138" s="19"/>
      <c r="U138" s="19"/>
      <c r="V138" s="19"/>
      <c r="W138" s="19"/>
      <c r="X138" s="19"/>
      <c r="Y138" s="19"/>
      <c r="Z138" s="19"/>
      <c r="AA138" s="19"/>
      <c r="AB138" s="19"/>
      <c r="AC138" s="19"/>
      <c r="AD138" s="19"/>
      <c r="AE138" s="19"/>
      <c r="AF138" s="19"/>
      <c r="AG138" s="19"/>
    </row>
    <row r="139" spans="1:33" s="18" customFormat="1">
      <c r="A139" s="20"/>
      <c r="B139" s="19"/>
      <c r="C139" s="19"/>
      <c r="D139" s="19"/>
      <c r="E139" s="20"/>
      <c r="F139" s="20"/>
      <c r="G139" s="20"/>
      <c r="H139" s="20"/>
      <c r="I139" s="20"/>
      <c r="J139" s="20"/>
      <c r="K139" s="20"/>
      <c r="L139" s="20"/>
      <c r="M139" s="20"/>
      <c r="N139" s="20"/>
      <c r="Q139" s="19"/>
      <c r="R139" s="19"/>
      <c r="S139" s="19"/>
      <c r="T139" s="19"/>
      <c r="U139" s="19"/>
      <c r="V139" s="19"/>
      <c r="W139" s="19"/>
      <c r="X139" s="19"/>
      <c r="Y139" s="19"/>
      <c r="Z139" s="19"/>
      <c r="AA139" s="19"/>
      <c r="AB139" s="19"/>
      <c r="AC139" s="19"/>
      <c r="AD139" s="19"/>
      <c r="AE139" s="19"/>
      <c r="AF139" s="19"/>
      <c r="AG139" s="19"/>
    </row>
    <row r="140" spans="1:33" s="18" customFormat="1">
      <c r="A140" s="20"/>
      <c r="B140" s="19"/>
      <c r="C140" s="19"/>
      <c r="D140" s="19"/>
      <c r="E140" s="20"/>
      <c r="F140" s="20"/>
      <c r="G140" s="20"/>
      <c r="H140" s="20"/>
      <c r="I140" s="20"/>
      <c r="J140" s="20"/>
      <c r="K140" s="20"/>
      <c r="L140" s="20"/>
      <c r="M140" s="20"/>
      <c r="N140" s="20"/>
      <c r="Q140" s="19"/>
      <c r="R140" s="19"/>
      <c r="S140" s="19"/>
      <c r="T140" s="19"/>
      <c r="U140" s="19"/>
      <c r="V140" s="19"/>
      <c r="W140" s="19"/>
      <c r="X140" s="19"/>
      <c r="Y140" s="19"/>
      <c r="Z140" s="19"/>
      <c r="AA140" s="19"/>
      <c r="AB140" s="19"/>
      <c r="AC140" s="19"/>
      <c r="AD140" s="19"/>
      <c r="AE140" s="19"/>
      <c r="AF140" s="19"/>
      <c r="AG140" s="19"/>
    </row>
    <row r="141" spans="1:33" s="18" customFormat="1">
      <c r="A141" s="20"/>
      <c r="B141" s="19"/>
      <c r="C141" s="19"/>
      <c r="D141" s="19"/>
      <c r="E141" s="20"/>
      <c r="F141" s="20"/>
      <c r="G141" s="20"/>
      <c r="H141" s="20"/>
      <c r="I141" s="20"/>
      <c r="J141" s="20"/>
      <c r="K141" s="20"/>
      <c r="L141" s="20"/>
      <c r="M141" s="20"/>
      <c r="N141" s="20"/>
      <c r="Q141" s="19"/>
      <c r="R141" s="19"/>
      <c r="S141" s="19"/>
      <c r="T141" s="19"/>
      <c r="U141" s="19"/>
      <c r="V141" s="19"/>
      <c r="W141" s="19"/>
      <c r="X141" s="19"/>
      <c r="Y141" s="19"/>
      <c r="Z141" s="19"/>
      <c r="AA141" s="19"/>
      <c r="AB141" s="19"/>
      <c r="AC141" s="19"/>
      <c r="AD141" s="19"/>
      <c r="AE141" s="19"/>
      <c r="AF141" s="19"/>
      <c r="AG141" s="19"/>
    </row>
    <row r="142" spans="1:33" s="18" customFormat="1">
      <c r="A142" s="20"/>
      <c r="B142" s="19"/>
      <c r="C142" s="19"/>
      <c r="D142" s="19"/>
      <c r="E142" s="20"/>
      <c r="F142" s="20"/>
      <c r="G142" s="20"/>
      <c r="H142" s="20"/>
      <c r="I142" s="20"/>
      <c r="J142" s="20"/>
      <c r="K142" s="20"/>
      <c r="L142" s="20"/>
      <c r="M142" s="20"/>
      <c r="N142" s="20"/>
      <c r="Q142" s="19"/>
      <c r="R142" s="19"/>
      <c r="S142" s="19"/>
      <c r="T142" s="19"/>
      <c r="U142" s="19"/>
      <c r="V142" s="19"/>
      <c r="W142" s="19"/>
      <c r="X142" s="19"/>
      <c r="Y142" s="19"/>
      <c r="Z142" s="19"/>
      <c r="AA142" s="19"/>
      <c r="AB142" s="19"/>
      <c r="AC142" s="19"/>
      <c r="AD142" s="19"/>
      <c r="AE142" s="19"/>
      <c r="AF142" s="19"/>
      <c r="AG142" s="19"/>
    </row>
    <row r="143" spans="1:33" s="18" customFormat="1">
      <c r="A143" s="20"/>
      <c r="B143" s="19"/>
      <c r="C143" s="19"/>
      <c r="D143" s="19"/>
      <c r="E143" s="20"/>
      <c r="F143" s="20"/>
      <c r="G143" s="20"/>
      <c r="H143" s="20"/>
      <c r="I143" s="20"/>
      <c r="J143" s="20"/>
      <c r="K143" s="20"/>
      <c r="L143" s="20"/>
      <c r="M143" s="20"/>
      <c r="N143" s="20"/>
      <c r="Q143" s="19"/>
      <c r="R143" s="19"/>
      <c r="S143" s="19"/>
      <c r="T143" s="19"/>
      <c r="U143" s="19"/>
      <c r="V143" s="19"/>
      <c r="W143" s="19"/>
      <c r="X143" s="19"/>
      <c r="Y143" s="19"/>
      <c r="Z143" s="19"/>
      <c r="AA143" s="19"/>
      <c r="AB143" s="19"/>
      <c r="AC143" s="19"/>
      <c r="AD143" s="19"/>
      <c r="AE143" s="19"/>
      <c r="AF143" s="19"/>
      <c r="AG143" s="19"/>
    </row>
    <row r="144" spans="1:33" s="18" customFormat="1">
      <c r="A144" s="20"/>
      <c r="B144" s="19"/>
      <c r="C144" s="19"/>
      <c r="D144" s="19"/>
      <c r="E144" s="20"/>
      <c r="F144" s="20"/>
      <c r="G144" s="20"/>
      <c r="H144" s="20"/>
      <c r="I144" s="20"/>
      <c r="J144" s="20"/>
      <c r="K144" s="20"/>
      <c r="L144" s="20"/>
      <c r="M144" s="20"/>
      <c r="N144" s="20"/>
      <c r="Q144" s="19"/>
      <c r="R144" s="19"/>
      <c r="S144" s="19"/>
      <c r="T144" s="19"/>
      <c r="U144" s="19"/>
      <c r="V144" s="19"/>
      <c r="W144" s="19"/>
      <c r="X144" s="19"/>
      <c r="Y144" s="19"/>
      <c r="Z144" s="19"/>
      <c r="AA144" s="19"/>
      <c r="AB144" s="19"/>
      <c r="AC144" s="19"/>
      <c r="AD144" s="19"/>
      <c r="AE144" s="19"/>
      <c r="AF144" s="19"/>
      <c r="AG144" s="19"/>
    </row>
    <row r="145" spans="1:33" s="18" customFormat="1">
      <c r="A145" s="20"/>
      <c r="B145" s="19"/>
      <c r="C145" s="19"/>
      <c r="D145" s="19"/>
      <c r="E145" s="20"/>
      <c r="F145" s="20"/>
      <c r="G145" s="20"/>
      <c r="H145" s="20"/>
      <c r="I145" s="20"/>
      <c r="J145" s="20"/>
      <c r="K145" s="20"/>
      <c r="L145" s="20"/>
      <c r="M145" s="20"/>
      <c r="N145" s="20"/>
      <c r="Q145" s="19"/>
      <c r="R145" s="19"/>
      <c r="S145" s="19"/>
      <c r="T145" s="19"/>
      <c r="U145" s="19"/>
      <c r="V145" s="19"/>
      <c r="W145" s="19"/>
      <c r="X145" s="19"/>
      <c r="Y145" s="19"/>
      <c r="Z145" s="19"/>
      <c r="AA145" s="19"/>
      <c r="AB145" s="19"/>
      <c r="AC145" s="19"/>
      <c r="AD145" s="19"/>
      <c r="AE145" s="19"/>
      <c r="AF145" s="19"/>
      <c r="AG145" s="19"/>
    </row>
    <row r="146" spans="1:33" s="18" customFormat="1">
      <c r="A146" s="20"/>
      <c r="B146" s="19"/>
      <c r="C146" s="19"/>
      <c r="D146" s="19"/>
      <c r="E146" s="20"/>
      <c r="F146" s="20"/>
      <c r="G146" s="20"/>
      <c r="H146" s="20"/>
      <c r="I146" s="20"/>
      <c r="J146" s="20"/>
      <c r="K146" s="20"/>
      <c r="L146" s="20"/>
      <c r="M146" s="20"/>
      <c r="N146" s="20"/>
      <c r="Q146" s="19"/>
      <c r="R146" s="19"/>
      <c r="S146" s="19"/>
      <c r="T146" s="19"/>
      <c r="U146" s="19"/>
      <c r="V146" s="19"/>
      <c r="W146" s="19"/>
      <c r="X146" s="19"/>
      <c r="Y146" s="19"/>
      <c r="Z146" s="19"/>
      <c r="AA146" s="19"/>
      <c r="AB146" s="19"/>
      <c r="AC146" s="19"/>
      <c r="AD146" s="19"/>
      <c r="AE146" s="19"/>
      <c r="AF146" s="19"/>
      <c r="AG146" s="19"/>
    </row>
    <row r="147" spans="1:33" s="18" customFormat="1">
      <c r="A147" s="20"/>
      <c r="B147" s="19"/>
      <c r="C147" s="19"/>
      <c r="D147" s="19"/>
      <c r="E147" s="20"/>
      <c r="F147" s="20"/>
      <c r="G147" s="20"/>
      <c r="H147" s="20"/>
      <c r="I147" s="20"/>
      <c r="J147" s="20"/>
      <c r="K147" s="20"/>
      <c r="L147" s="20"/>
      <c r="M147" s="20"/>
      <c r="N147" s="20"/>
      <c r="Q147" s="19"/>
      <c r="R147" s="19"/>
      <c r="S147" s="19"/>
      <c r="T147" s="19"/>
      <c r="U147" s="19"/>
      <c r="V147" s="19"/>
      <c r="W147" s="19"/>
      <c r="X147" s="19"/>
      <c r="Y147" s="19"/>
      <c r="Z147" s="19"/>
      <c r="AA147" s="19"/>
      <c r="AB147" s="19"/>
      <c r="AC147" s="19"/>
      <c r="AD147" s="19"/>
      <c r="AE147" s="19"/>
      <c r="AF147" s="19"/>
      <c r="AG147" s="19"/>
    </row>
    <row r="148" spans="1:33" s="18" customFormat="1">
      <c r="A148" s="20"/>
      <c r="B148" s="19"/>
      <c r="C148" s="19"/>
      <c r="D148" s="19"/>
      <c r="E148" s="20"/>
      <c r="F148" s="20"/>
      <c r="G148" s="20"/>
      <c r="H148" s="20"/>
      <c r="I148" s="20"/>
      <c r="J148" s="20"/>
      <c r="K148" s="20"/>
      <c r="L148" s="20"/>
      <c r="M148" s="20"/>
      <c r="N148" s="20"/>
      <c r="Q148" s="19"/>
      <c r="R148" s="19"/>
      <c r="S148" s="19"/>
      <c r="T148" s="19"/>
      <c r="U148" s="19"/>
      <c r="V148" s="19"/>
      <c r="W148" s="19"/>
      <c r="X148" s="19"/>
      <c r="Y148" s="19"/>
      <c r="Z148" s="19"/>
      <c r="AA148" s="19"/>
      <c r="AB148" s="19"/>
      <c r="AC148" s="19"/>
      <c r="AD148" s="19"/>
      <c r="AE148" s="19"/>
      <c r="AF148" s="19"/>
      <c r="AG148" s="19"/>
    </row>
    <row r="149" spans="1:33" s="18" customFormat="1">
      <c r="A149" s="20"/>
      <c r="B149" s="19"/>
      <c r="C149" s="19"/>
      <c r="D149" s="19"/>
      <c r="E149" s="20"/>
      <c r="F149" s="20"/>
      <c r="G149" s="20"/>
      <c r="H149" s="20"/>
      <c r="I149" s="20"/>
      <c r="J149" s="20"/>
      <c r="K149" s="20"/>
      <c r="L149" s="20"/>
      <c r="M149" s="20"/>
      <c r="N149" s="20"/>
      <c r="Q149" s="19"/>
      <c r="R149" s="19"/>
      <c r="S149" s="19"/>
      <c r="T149" s="19"/>
      <c r="U149" s="19"/>
      <c r="V149" s="19"/>
      <c r="W149" s="19"/>
      <c r="X149" s="19"/>
      <c r="Y149" s="19"/>
      <c r="Z149" s="19"/>
      <c r="AA149" s="19"/>
      <c r="AB149" s="19"/>
      <c r="AC149" s="19"/>
      <c r="AD149" s="19"/>
      <c r="AE149" s="19"/>
      <c r="AF149" s="19"/>
      <c r="AG149" s="19"/>
    </row>
    <row r="150" spans="1:33" s="18" customFormat="1">
      <c r="A150" s="20"/>
      <c r="B150" s="19"/>
      <c r="C150" s="19"/>
      <c r="D150" s="19"/>
      <c r="E150" s="20"/>
      <c r="F150" s="20"/>
      <c r="G150" s="20"/>
      <c r="H150" s="20"/>
      <c r="I150" s="20"/>
      <c r="J150" s="20"/>
      <c r="K150" s="20"/>
      <c r="L150" s="20"/>
      <c r="M150" s="20"/>
      <c r="N150" s="20"/>
      <c r="Q150" s="19"/>
      <c r="R150" s="19"/>
      <c r="S150" s="19"/>
      <c r="T150" s="19"/>
      <c r="U150" s="19"/>
      <c r="V150" s="19"/>
      <c r="W150" s="19"/>
      <c r="X150" s="19"/>
      <c r="Y150" s="19"/>
      <c r="Z150" s="19"/>
      <c r="AA150" s="19"/>
      <c r="AB150" s="19"/>
      <c r="AC150" s="19"/>
      <c r="AD150" s="19"/>
      <c r="AE150" s="19"/>
      <c r="AF150" s="19"/>
      <c r="AG150" s="19"/>
    </row>
    <row r="151" spans="1:33" s="18" customFormat="1">
      <c r="A151" s="20"/>
      <c r="B151" s="19"/>
      <c r="C151" s="19"/>
      <c r="D151" s="19"/>
      <c r="E151" s="20"/>
      <c r="F151" s="20"/>
      <c r="G151" s="20"/>
      <c r="H151" s="20"/>
      <c r="I151" s="20"/>
      <c r="J151" s="20"/>
      <c r="K151" s="20"/>
      <c r="L151" s="20"/>
      <c r="M151" s="20"/>
      <c r="N151" s="20"/>
      <c r="Q151" s="19"/>
      <c r="R151" s="19"/>
      <c r="S151" s="19"/>
      <c r="T151" s="19"/>
      <c r="U151" s="19"/>
      <c r="V151" s="19"/>
      <c r="W151" s="19"/>
      <c r="X151" s="19"/>
      <c r="Y151" s="19"/>
      <c r="Z151" s="19"/>
      <c r="AA151" s="19"/>
      <c r="AB151" s="19"/>
      <c r="AC151" s="19"/>
      <c r="AD151" s="19"/>
      <c r="AE151" s="19"/>
      <c r="AF151" s="19"/>
      <c r="AG151" s="19"/>
    </row>
    <row r="152" spans="1:33" s="18" customFormat="1">
      <c r="A152" s="20"/>
      <c r="B152" s="19"/>
      <c r="C152" s="19"/>
      <c r="D152" s="19"/>
      <c r="E152" s="20"/>
      <c r="F152" s="20"/>
      <c r="G152" s="20"/>
      <c r="H152" s="20"/>
      <c r="I152" s="20"/>
      <c r="J152" s="20"/>
      <c r="K152" s="20"/>
      <c r="L152" s="20"/>
      <c r="M152" s="20"/>
      <c r="N152" s="20"/>
      <c r="Q152" s="19"/>
      <c r="R152" s="19"/>
      <c r="S152" s="19"/>
      <c r="T152" s="19"/>
      <c r="U152" s="19"/>
      <c r="V152" s="19"/>
      <c r="W152" s="19"/>
      <c r="X152" s="19"/>
      <c r="Y152" s="19"/>
      <c r="Z152" s="19"/>
      <c r="AA152" s="19"/>
      <c r="AB152" s="19"/>
      <c r="AC152" s="19"/>
      <c r="AD152" s="19"/>
      <c r="AE152" s="19"/>
      <c r="AF152" s="19"/>
      <c r="AG152" s="19"/>
    </row>
    <row r="153" spans="1:33" s="18" customFormat="1">
      <c r="A153" s="20"/>
      <c r="B153" s="19"/>
      <c r="C153" s="19"/>
      <c r="D153" s="19"/>
      <c r="E153" s="20"/>
      <c r="F153" s="20"/>
      <c r="G153" s="20"/>
      <c r="H153" s="20"/>
      <c r="I153" s="20"/>
      <c r="J153" s="20"/>
      <c r="K153" s="20"/>
      <c r="L153" s="20"/>
      <c r="M153" s="20"/>
      <c r="N153" s="20"/>
      <c r="Q153" s="19"/>
      <c r="R153" s="19"/>
      <c r="S153" s="19"/>
      <c r="T153" s="19"/>
      <c r="U153" s="19"/>
      <c r="V153" s="19"/>
      <c r="W153" s="19"/>
      <c r="X153" s="19"/>
      <c r="Y153" s="19"/>
      <c r="Z153" s="19"/>
      <c r="AA153" s="19"/>
      <c r="AB153" s="19"/>
      <c r="AC153" s="19"/>
      <c r="AD153" s="19"/>
      <c r="AE153" s="19"/>
      <c r="AF153" s="19"/>
      <c r="AG153" s="19"/>
    </row>
    <row r="154" spans="1:33" s="18" customFormat="1">
      <c r="A154" s="20"/>
      <c r="B154" s="19"/>
      <c r="C154" s="19"/>
      <c r="D154" s="19"/>
      <c r="E154" s="20"/>
      <c r="F154" s="20"/>
      <c r="G154" s="20"/>
      <c r="H154" s="20"/>
      <c r="I154" s="20"/>
      <c r="J154" s="20"/>
      <c r="K154" s="20"/>
      <c r="L154" s="20"/>
      <c r="M154" s="20"/>
      <c r="N154" s="20"/>
      <c r="Q154" s="19"/>
      <c r="R154" s="19"/>
      <c r="S154" s="19"/>
      <c r="T154" s="19"/>
      <c r="U154" s="19"/>
      <c r="V154" s="19"/>
      <c r="W154" s="19"/>
      <c r="X154" s="19"/>
      <c r="Y154" s="19"/>
      <c r="Z154" s="19"/>
      <c r="AA154" s="19"/>
      <c r="AB154" s="19"/>
      <c r="AC154" s="19"/>
      <c r="AD154" s="19"/>
      <c r="AE154" s="19"/>
      <c r="AF154" s="19"/>
      <c r="AG154" s="19"/>
    </row>
    <row r="155" spans="1:33" s="18" customFormat="1">
      <c r="A155" s="20"/>
      <c r="B155" s="19"/>
      <c r="C155" s="19"/>
      <c r="D155" s="19"/>
      <c r="E155" s="20"/>
      <c r="F155" s="20"/>
      <c r="G155" s="20"/>
      <c r="H155" s="20"/>
      <c r="I155" s="20"/>
      <c r="J155" s="20"/>
      <c r="K155" s="20"/>
      <c r="L155" s="20"/>
      <c r="M155" s="20"/>
      <c r="N155" s="20"/>
      <c r="Q155" s="19"/>
      <c r="R155" s="19"/>
      <c r="S155" s="19"/>
      <c r="T155" s="19"/>
      <c r="U155" s="19"/>
      <c r="V155" s="19"/>
      <c r="W155" s="19"/>
      <c r="X155" s="19"/>
      <c r="Y155" s="19"/>
      <c r="Z155" s="19"/>
      <c r="AA155" s="19"/>
      <c r="AB155" s="19"/>
      <c r="AC155" s="19"/>
      <c r="AD155" s="19"/>
      <c r="AE155" s="19"/>
      <c r="AF155" s="19"/>
      <c r="AG155" s="19"/>
    </row>
    <row r="156" spans="1:33" s="18" customFormat="1">
      <c r="A156" s="20"/>
      <c r="B156" s="19"/>
      <c r="C156" s="19"/>
      <c r="D156" s="19"/>
      <c r="E156" s="20"/>
      <c r="F156" s="20"/>
      <c r="G156" s="20"/>
      <c r="H156" s="20"/>
      <c r="I156" s="20"/>
      <c r="J156" s="20"/>
      <c r="K156" s="20"/>
      <c r="L156" s="20"/>
      <c r="M156" s="20"/>
      <c r="N156" s="20"/>
      <c r="Q156" s="19"/>
      <c r="R156" s="19"/>
      <c r="S156" s="19"/>
      <c r="T156" s="19"/>
      <c r="U156" s="19"/>
      <c r="V156" s="19"/>
      <c r="W156" s="19"/>
      <c r="X156" s="19"/>
      <c r="Y156" s="19"/>
      <c r="Z156" s="19"/>
      <c r="AA156" s="19"/>
      <c r="AB156" s="19"/>
      <c r="AC156" s="19"/>
      <c r="AD156" s="19"/>
      <c r="AE156" s="19"/>
      <c r="AF156" s="19"/>
      <c r="AG156" s="19"/>
    </row>
    <row r="157" spans="1:33" s="18" customFormat="1">
      <c r="A157" s="20"/>
      <c r="B157" s="19"/>
      <c r="C157" s="19"/>
      <c r="D157" s="19"/>
      <c r="E157" s="20"/>
      <c r="F157" s="20"/>
      <c r="G157" s="20"/>
      <c r="H157" s="20"/>
      <c r="I157" s="20"/>
      <c r="J157" s="20"/>
      <c r="K157" s="20"/>
      <c r="L157" s="20"/>
      <c r="M157" s="20"/>
      <c r="N157" s="20"/>
      <c r="Q157" s="19"/>
      <c r="R157" s="19"/>
      <c r="S157" s="19"/>
      <c r="T157" s="19"/>
      <c r="U157" s="19"/>
      <c r="V157" s="19"/>
      <c r="W157" s="19"/>
      <c r="X157" s="19"/>
      <c r="Y157" s="19"/>
      <c r="Z157" s="19"/>
      <c r="AA157" s="19"/>
      <c r="AB157" s="19"/>
      <c r="AC157" s="19"/>
      <c r="AD157" s="19"/>
      <c r="AE157" s="19"/>
      <c r="AF157" s="19"/>
      <c r="AG157" s="19"/>
    </row>
    <row r="158" spans="1:33" s="18" customFormat="1">
      <c r="A158" s="20"/>
      <c r="B158" s="19"/>
      <c r="C158" s="19"/>
      <c r="D158" s="19"/>
      <c r="E158" s="20"/>
      <c r="F158" s="20"/>
      <c r="G158" s="20"/>
      <c r="H158" s="20"/>
      <c r="I158" s="20"/>
      <c r="J158" s="20"/>
      <c r="K158" s="20"/>
      <c r="L158" s="20"/>
      <c r="M158" s="20"/>
      <c r="N158" s="20"/>
      <c r="Q158" s="19"/>
      <c r="R158" s="19"/>
      <c r="S158" s="19"/>
      <c r="T158" s="19"/>
      <c r="U158" s="19"/>
      <c r="V158" s="19"/>
      <c r="W158" s="19"/>
      <c r="X158" s="19"/>
      <c r="Y158" s="19"/>
      <c r="Z158" s="19"/>
      <c r="AA158" s="19"/>
      <c r="AB158" s="19"/>
      <c r="AC158" s="19"/>
      <c r="AD158" s="19"/>
      <c r="AE158" s="19"/>
      <c r="AF158" s="19"/>
      <c r="AG158" s="19"/>
    </row>
    <row r="159" spans="1:33" s="18" customFormat="1">
      <c r="A159" s="20"/>
      <c r="B159" s="19"/>
      <c r="C159" s="19"/>
      <c r="D159" s="19"/>
      <c r="E159" s="20"/>
      <c r="F159" s="20"/>
      <c r="G159" s="20"/>
      <c r="H159" s="20"/>
      <c r="I159" s="20"/>
      <c r="J159" s="20"/>
      <c r="K159" s="20"/>
      <c r="L159" s="20"/>
      <c r="M159" s="20"/>
      <c r="N159" s="20"/>
      <c r="Q159" s="19"/>
      <c r="R159" s="19"/>
      <c r="S159" s="19"/>
      <c r="T159" s="19"/>
      <c r="U159" s="19"/>
      <c r="V159" s="19"/>
      <c r="W159" s="19"/>
      <c r="X159" s="19"/>
      <c r="Y159" s="19"/>
      <c r="Z159" s="19"/>
      <c r="AA159" s="19"/>
      <c r="AB159" s="19"/>
      <c r="AC159" s="19"/>
      <c r="AD159" s="19"/>
      <c r="AE159" s="19"/>
      <c r="AF159" s="19"/>
      <c r="AG159" s="19"/>
    </row>
    <row r="160" spans="1:33" s="18" customFormat="1">
      <c r="A160" s="20"/>
      <c r="B160" s="19"/>
      <c r="C160" s="19"/>
      <c r="D160" s="19"/>
      <c r="E160" s="20"/>
      <c r="F160" s="20"/>
      <c r="G160" s="20"/>
      <c r="H160" s="20"/>
      <c r="I160" s="20"/>
      <c r="J160" s="20"/>
      <c r="K160" s="20"/>
      <c r="L160" s="20"/>
      <c r="M160" s="20"/>
      <c r="N160" s="20"/>
      <c r="Q160" s="19"/>
      <c r="R160" s="19"/>
      <c r="S160" s="19"/>
      <c r="T160" s="19"/>
      <c r="U160" s="19"/>
      <c r="V160" s="19"/>
      <c r="W160" s="19"/>
      <c r="X160" s="19"/>
      <c r="Y160" s="19"/>
      <c r="Z160" s="19"/>
      <c r="AA160" s="19"/>
      <c r="AB160" s="19"/>
      <c r="AC160" s="19"/>
      <c r="AD160" s="19"/>
      <c r="AE160" s="19"/>
      <c r="AF160" s="19"/>
      <c r="AG160" s="19"/>
    </row>
    <row r="161" spans="1:33" s="18" customFormat="1">
      <c r="A161" s="20"/>
      <c r="B161" s="19"/>
      <c r="C161" s="19"/>
      <c r="D161" s="19"/>
      <c r="E161" s="20"/>
      <c r="F161" s="20"/>
      <c r="G161" s="20"/>
      <c r="H161" s="20"/>
      <c r="I161" s="20"/>
      <c r="J161" s="20"/>
      <c r="K161" s="20"/>
      <c r="L161" s="20"/>
      <c r="M161" s="20"/>
      <c r="N161" s="20"/>
      <c r="Q161" s="19"/>
      <c r="R161" s="19"/>
      <c r="S161" s="19"/>
      <c r="T161" s="19"/>
      <c r="U161" s="19"/>
      <c r="V161" s="19"/>
      <c r="W161" s="19"/>
      <c r="X161" s="19"/>
      <c r="Y161" s="19"/>
      <c r="Z161" s="19"/>
      <c r="AA161" s="19"/>
      <c r="AB161" s="19"/>
      <c r="AC161" s="19"/>
      <c r="AD161" s="19"/>
      <c r="AE161" s="19"/>
      <c r="AF161" s="19"/>
      <c r="AG161" s="19"/>
    </row>
    <row r="162" spans="1:33" s="18" customFormat="1">
      <c r="A162" s="20"/>
      <c r="B162" s="19"/>
      <c r="C162" s="19"/>
      <c r="D162" s="19"/>
      <c r="E162" s="20"/>
      <c r="F162" s="20"/>
      <c r="G162" s="20"/>
      <c r="H162" s="20"/>
      <c r="I162" s="20"/>
      <c r="J162" s="20"/>
      <c r="K162" s="20"/>
      <c r="L162" s="20"/>
      <c r="M162" s="20"/>
      <c r="N162" s="20"/>
      <c r="Q162" s="19"/>
      <c r="R162" s="19"/>
      <c r="S162" s="19"/>
      <c r="T162" s="19"/>
      <c r="U162" s="19"/>
      <c r="V162" s="19"/>
      <c r="W162" s="19"/>
      <c r="X162" s="19"/>
      <c r="Y162" s="19"/>
      <c r="Z162" s="19"/>
      <c r="AA162" s="19"/>
      <c r="AB162" s="19"/>
      <c r="AC162" s="19"/>
      <c r="AD162" s="19"/>
      <c r="AE162" s="19"/>
      <c r="AF162" s="19"/>
      <c r="AG162" s="19"/>
    </row>
    <row r="163" spans="1:33" s="18" customFormat="1">
      <c r="A163" s="20"/>
      <c r="B163" s="19"/>
      <c r="C163" s="19"/>
      <c r="D163" s="19"/>
      <c r="E163" s="20"/>
      <c r="F163" s="20"/>
      <c r="G163" s="20"/>
      <c r="H163" s="20"/>
      <c r="I163" s="20"/>
      <c r="J163" s="20"/>
      <c r="K163" s="20"/>
      <c r="L163" s="20"/>
      <c r="M163" s="20"/>
      <c r="N163" s="20"/>
      <c r="Q163" s="19"/>
      <c r="R163" s="19"/>
      <c r="S163" s="19"/>
      <c r="T163" s="19"/>
      <c r="U163" s="19"/>
      <c r="V163" s="19"/>
      <c r="W163" s="19"/>
      <c r="X163" s="19"/>
      <c r="Y163" s="19"/>
      <c r="Z163" s="19"/>
      <c r="AA163" s="19"/>
      <c r="AB163" s="19"/>
      <c r="AC163" s="19"/>
      <c r="AD163" s="19"/>
      <c r="AE163" s="19"/>
      <c r="AF163" s="19"/>
      <c r="AG163" s="19"/>
    </row>
    <row r="164" spans="1:33" s="18" customFormat="1">
      <c r="A164" s="20"/>
      <c r="B164" s="19"/>
      <c r="C164" s="19"/>
      <c r="D164" s="19"/>
      <c r="E164" s="20"/>
      <c r="F164" s="20"/>
      <c r="G164" s="20"/>
      <c r="H164" s="20"/>
      <c r="I164" s="20"/>
      <c r="J164" s="20"/>
      <c r="K164" s="20"/>
      <c r="L164" s="20"/>
      <c r="M164" s="20"/>
      <c r="N164" s="20"/>
      <c r="Q164" s="19"/>
      <c r="R164" s="19"/>
      <c r="S164" s="19"/>
      <c r="T164" s="19"/>
      <c r="U164" s="19"/>
      <c r="V164" s="19"/>
      <c r="W164" s="19"/>
      <c r="X164" s="19"/>
      <c r="Y164" s="19"/>
      <c r="Z164" s="19"/>
      <c r="AA164" s="19"/>
      <c r="AB164" s="19"/>
      <c r="AC164" s="19"/>
      <c r="AD164" s="19"/>
      <c r="AE164" s="19"/>
      <c r="AF164" s="19"/>
      <c r="AG164" s="19"/>
    </row>
    <row r="165" spans="1:33" s="18" customFormat="1">
      <c r="A165" s="20"/>
      <c r="B165" s="19"/>
      <c r="C165" s="19"/>
      <c r="D165" s="19"/>
      <c r="E165" s="20"/>
      <c r="F165" s="20"/>
      <c r="G165" s="20"/>
      <c r="H165" s="20"/>
      <c r="I165" s="20"/>
      <c r="J165" s="20"/>
      <c r="K165" s="20"/>
      <c r="L165" s="20"/>
      <c r="M165" s="20"/>
      <c r="N165" s="20"/>
      <c r="Q165" s="19"/>
      <c r="R165" s="19"/>
      <c r="S165" s="19"/>
      <c r="T165" s="19"/>
      <c r="U165" s="19"/>
      <c r="V165" s="19"/>
      <c r="W165" s="19"/>
      <c r="X165" s="19"/>
      <c r="Y165" s="19"/>
      <c r="Z165" s="19"/>
      <c r="AA165" s="19"/>
      <c r="AB165" s="19"/>
      <c r="AC165" s="19"/>
      <c r="AD165" s="19"/>
      <c r="AE165" s="19"/>
      <c r="AF165" s="19"/>
      <c r="AG165" s="19"/>
    </row>
    <row r="166" spans="1:33" s="18" customFormat="1">
      <c r="A166" s="20"/>
      <c r="B166" s="19"/>
      <c r="C166" s="19"/>
      <c r="D166" s="19"/>
      <c r="E166" s="20"/>
      <c r="F166" s="20"/>
      <c r="G166" s="20"/>
      <c r="H166" s="20"/>
      <c r="I166" s="20"/>
      <c r="J166" s="20"/>
      <c r="K166" s="20"/>
      <c r="L166" s="20"/>
      <c r="M166" s="20"/>
      <c r="N166" s="20"/>
      <c r="Q166" s="19"/>
      <c r="R166" s="19"/>
      <c r="S166" s="19"/>
      <c r="T166" s="19"/>
      <c r="U166" s="19"/>
      <c r="V166" s="19"/>
      <c r="W166" s="19"/>
      <c r="X166" s="19"/>
      <c r="Y166" s="19"/>
      <c r="Z166" s="19"/>
      <c r="AA166" s="19"/>
      <c r="AB166" s="19"/>
      <c r="AC166" s="19"/>
      <c r="AD166" s="19"/>
      <c r="AE166" s="19"/>
      <c r="AF166" s="19"/>
      <c r="AG166" s="19"/>
    </row>
    <row r="167" spans="1:33" s="18" customFormat="1">
      <c r="A167" s="20"/>
      <c r="B167" s="19"/>
      <c r="C167" s="19"/>
      <c r="D167" s="19"/>
      <c r="E167" s="20"/>
      <c r="F167" s="20"/>
      <c r="G167" s="20"/>
      <c r="H167" s="20"/>
      <c r="I167" s="20"/>
      <c r="J167" s="20"/>
      <c r="K167" s="20"/>
      <c r="L167" s="20"/>
      <c r="M167" s="20"/>
      <c r="N167" s="20"/>
      <c r="Q167" s="19"/>
      <c r="R167" s="19"/>
      <c r="S167" s="19"/>
      <c r="T167" s="19"/>
      <c r="U167" s="19"/>
      <c r="V167" s="19"/>
      <c r="W167" s="19"/>
      <c r="X167" s="19"/>
      <c r="Y167" s="19"/>
      <c r="Z167" s="19"/>
      <c r="AA167" s="19"/>
      <c r="AB167" s="19"/>
      <c r="AC167" s="19"/>
      <c r="AD167" s="19"/>
      <c r="AE167" s="19"/>
      <c r="AF167" s="19"/>
      <c r="AG167" s="19"/>
    </row>
    <row r="168" spans="1:33" s="18" customFormat="1">
      <c r="A168" s="20"/>
      <c r="B168" s="19"/>
      <c r="C168" s="19"/>
      <c r="D168" s="19"/>
      <c r="E168" s="20"/>
      <c r="F168" s="20"/>
      <c r="G168" s="20"/>
      <c r="H168" s="20"/>
      <c r="I168" s="20"/>
      <c r="J168" s="20"/>
      <c r="K168" s="20"/>
      <c r="L168" s="20"/>
      <c r="M168" s="20"/>
      <c r="N168" s="20"/>
      <c r="Q168" s="19"/>
      <c r="R168" s="19"/>
      <c r="S168" s="19"/>
      <c r="T168" s="19"/>
      <c r="U168" s="19"/>
      <c r="V168" s="19"/>
      <c r="W168" s="19"/>
      <c r="X168" s="19"/>
      <c r="Y168" s="19"/>
      <c r="Z168" s="19"/>
      <c r="AA168" s="19"/>
      <c r="AB168" s="19"/>
      <c r="AC168" s="19"/>
      <c r="AD168" s="19"/>
      <c r="AE168" s="19"/>
      <c r="AF168" s="19"/>
      <c r="AG168" s="19"/>
    </row>
    <row r="169" spans="1:33" s="18" customFormat="1">
      <c r="A169" s="20"/>
      <c r="B169" s="19"/>
      <c r="C169" s="19"/>
      <c r="D169" s="19"/>
      <c r="E169" s="20"/>
      <c r="F169" s="20"/>
      <c r="G169" s="20"/>
      <c r="H169" s="20"/>
      <c r="I169" s="20"/>
      <c r="J169" s="20"/>
      <c r="K169" s="20"/>
      <c r="L169" s="20"/>
      <c r="M169" s="20"/>
      <c r="N169" s="20"/>
      <c r="Q169" s="19"/>
      <c r="R169" s="19"/>
      <c r="S169" s="19"/>
      <c r="T169" s="19"/>
      <c r="U169" s="19"/>
      <c r="V169" s="19"/>
      <c r="W169" s="19"/>
      <c r="X169" s="19"/>
      <c r="Y169" s="19"/>
      <c r="Z169" s="19"/>
      <c r="AA169" s="19"/>
      <c r="AB169" s="19"/>
      <c r="AC169" s="19"/>
      <c r="AD169" s="19"/>
      <c r="AE169" s="19"/>
      <c r="AF169" s="19"/>
      <c r="AG169" s="19"/>
    </row>
    <row r="170" spans="1:33" s="18" customFormat="1">
      <c r="A170" s="20"/>
      <c r="B170" s="19"/>
      <c r="C170" s="19"/>
      <c r="D170" s="19"/>
      <c r="E170" s="20"/>
      <c r="F170" s="20"/>
      <c r="G170" s="20"/>
      <c r="H170" s="20"/>
      <c r="I170" s="20"/>
      <c r="J170" s="20"/>
      <c r="K170" s="20"/>
      <c r="L170" s="20"/>
      <c r="M170" s="20"/>
      <c r="N170" s="20"/>
      <c r="Q170" s="19"/>
      <c r="R170" s="19"/>
      <c r="S170" s="19"/>
      <c r="T170" s="19"/>
      <c r="U170" s="19"/>
      <c r="V170" s="19"/>
      <c r="W170" s="19"/>
      <c r="X170" s="19"/>
      <c r="Y170" s="19"/>
      <c r="Z170" s="19"/>
      <c r="AA170" s="19"/>
      <c r="AB170" s="19"/>
      <c r="AC170" s="19"/>
      <c r="AD170" s="19"/>
      <c r="AE170" s="19"/>
      <c r="AF170" s="19"/>
      <c r="AG170" s="19"/>
    </row>
    <row r="171" spans="1:33" s="18" customFormat="1">
      <c r="A171" s="20"/>
      <c r="B171" s="19"/>
      <c r="C171" s="19"/>
      <c r="D171" s="19"/>
      <c r="E171" s="20"/>
      <c r="F171" s="20"/>
      <c r="G171" s="20"/>
      <c r="H171" s="20"/>
      <c r="I171" s="20"/>
      <c r="J171" s="20"/>
      <c r="K171" s="20"/>
      <c r="L171" s="20"/>
      <c r="M171" s="20"/>
      <c r="N171" s="20"/>
      <c r="Q171" s="19"/>
      <c r="R171" s="19"/>
      <c r="S171" s="19"/>
      <c r="T171" s="19"/>
      <c r="U171" s="19"/>
      <c r="V171" s="19"/>
      <c r="W171" s="19"/>
      <c r="X171" s="19"/>
      <c r="Y171" s="19"/>
      <c r="Z171" s="19"/>
      <c r="AA171" s="19"/>
      <c r="AB171" s="19"/>
      <c r="AC171" s="19"/>
      <c r="AD171" s="19"/>
      <c r="AE171" s="19"/>
      <c r="AF171" s="19"/>
      <c r="AG171" s="19"/>
    </row>
    <row r="172" spans="1:33" s="18" customFormat="1">
      <c r="A172" s="20"/>
      <c r="B172" s="19"/>
      <c r="C172" s="19"/>
      <c r="D172" s="19"/>
      <c r="E172" s="20"/>
      <c r="F172" s="20"/>
      <c r="G172" s="20"/>
      <c r="H172" s="20"/>
      <c r="I172" s="20"/>
      <c r="J172" s="20"/>
      <c r="K172" s="20"/>
      <c r="L172" s="20"/>
      <c r="M172" s="20"/>
      <c r="N172" s="20"/>
      <c r="Q172" s="19"/>
      <c r="R172" s="19"/>
      <c r="S172" s="19"/>
      <c r="T172" s="19"/>
      <c r="U172" s="19"/>
      <c r="V172" s="19"/>
      <c r="W172" s="19"/>
      <c r="X172" s="19"/>
      <c r="Y172" s="19"/>
      <c r="Z172" s="19"/>
      <c r="AA172" s="19"/>
      <c r="AB172" s="19"/>
      <c r="AC172" s="19"/>
      <c r="AD172" s="19"/>
      <c r="AE172" s="19"/>
      <c r="AF172" s="19"/>
      <c r="AG172" s="19"/>
    </row>
    <row r="173" spans="1:33" s="18" customFormat="1">
      <c r="A173" s="20"/>
      <c r="B173" s="19"/>
      <c r="C173" s="19"/>
      <c r="D173" s="19"/>
      <c r="E173" s="20"/>
      <c r="F173" s="20"/>
      <c r="G173" s="20"/>
      <c r="H173" s="20"/>
      <c r="I173" s="20"/>
      <c r="J173" s="20"/>
      <c r="K173" s="20"/>
      <c r="L173" s="20"/>
      <c r="M173" s="20"/>
      <c r="N173" s="20"/>
      <c r="Q173" s="19"/>
      <c r="R173" s="19"/>
      <c r="S173" s="19"/>
      <c r="T173" s="19"/>
      <c r="U173" s="19"/>
      <c r="V173" s="19"/>
      <c r="W173" s="19"/>
      <c r="X173" s="19"/>
      <c r="Y173" s="19"/>
      <c r="Z173" s="19"/>
      <c r="AA173" s="19"/>
      <c r="AB173" s="19"/>
      <c r="AC173" s="19"/>
      <c r="AD173" s="19"/>
      <c r="AE173" s="19"/>
      <c r="AF173" s="19"/>
      <c r="AG173" s="19"/>
    </row>
    <row r="174" spans="1:33" s="18" customFormat="1">
      <c r="A174" s="20"/>
      <c r="B174" s="19"/>
      <c r="C174" s="19"/>
      <c r="D174" s="19"/>
      <c r="E174" s="20"/>
      <c r="F174" s="20"/>
      <c r="G174" s="20"/>
      <c r="H174" s="20"/>
      <c r="I174" s="20"/>
      <c r="J174" s="20"/>
      <c r="K174" s="20"/>
      <c r="L174" s="20"/>
      <c r="M174" s="20"/>
      <c r="N174" s="20"/>
      <c r="Q174" s="19"/>
      <c r="R174" s="19"/>
      <c r="S174" s="19"/>
      <c r="T174" s="19"/>
      <c r="U174" s="19"/>
      <c r="V174" s="19"/>
      <c r="W174" s="19"/>
      <c r="X174" s="19"/>
      <c r="Y174" s="19"/>
      <c r="Z174" s="19"/>
      <c r="AA174" s="19"/>
      <c r="AB174" s="19"/>
      <c r="AC174" s="19"/>
      <c r="AD174" s="19"/>
      <c r="AE174" s="19"/>
      <c r="AF174" s="19"/>
      <c r="AG174" s="19"/>
    </row>
    <row r="175" spans="1:33" s="18" customFormat="1">
      <c r="A175" s="20"/>
      <c r="B175" s="19"/>
      <c r="C175" s="19"/>
      <c r="D175" s="19"/>
      <c r="E175" s="20"/>
      <c r="F175" s="20"/>
      <c r="G175" s="20"/>
      <c r="H175" s="20"/>
      <c r="I175" s="20"/>
      <c r="J175" s="20"/>
      <c r="K175" s="20"/>
      <c r="L175" s="20"/>
      <c r="M175" s="20"/>
      <c r="N175" s="20"/>
      <c r="Q175" s="19"/>
      <c r="R175" s="19"/>
      <c r="S175" s="19"/>
      <c r="T175" s="19"/>
      <c r="U175" s="19"/>
      <c r="V175" s="19"/>
      <c r="W175" s="19"/>
      <c r="X175" s="19"/>
      <c r="Y175" s="19"/>
      <c r="Z175" s="19"/>
      <c r="AA175" s="19"/>
      <c r="AB175" s="19"/>
      <c r="AC175" s="19"/>
      <c r="AD175" s="19"/>
      <c r="AE175" s="19"/>
      <c r="AF175" s="19"/>
      <c r="AG175" s="19"/>
    </row>
    <row r="176" spans="1:33" s="18" customFormat="1">
      <c r="A176" s="20"/>
      <c r="B176" s="19"/>
      <c r="C176" s="19"/>
      <c r="D176" s="19"/>
      <c r="E176" s="20"/>
      <c r="F176" s="20"/>
      <c r="G176" s="20"/>
      <c r="H176" s="20"/>
      <c r="I176" s="20"/>
      <c r="J176" s="20"/>
      <c r="K176" s="20"/>
      <c r="L176" s="20"/>
      <c r="M176" s="20"/>
      <c r="N176" s="20"/>
      <c r="Q176" s="19"/>
      <c r="R176" s="19"/>
      <c r="S176" s="19"/>
      <c r="T176" s="19"/>
      <c r="U176" s="19"/>
      <c r="V176" s="19"/>
      <c r="W176" s="19"/>
      <c r="X176" s="19"/>
      <c r="Y176" s="19"/>
      <c r="Z176" s="19"/>
      <c r="AA176" s="19"/>
      <c r="AB176" s="19"/>
      <c r="AC176" s="19"/>
      <c r="AD176" s="19"/>
      <c r="AE176" s="19"/>
      <c r="AF176" s="19"/>
      <c r="AG176" s="19"/>
    </row>
    <row r="177" spans="1:33" s="18" customFormat="1">
      <c r="A177" s="20"/>
      <c r="B177" s="19"/>
      <c r="C177" s="19"/>
      <c r="D177" s="19"/>
      <c r="E177" s="20"/>
      <c r="F177" s="20"/>
      <c r="G177" s="20"/>
      <c r="H177" s="20"/>
      <c r="I177" s="20"/>
      <c r="J177" s="20"/>
      <c r="K177" s="20"/>
      <c r="L177" s="20"/>
      <c r="M177" s="20"/>
      <c r="N177" s="20"/>
      <c r="Q177" s="19"/>
      <c r="R177" s="19"/>
      <c r="S177" s="19"/>
      <c r="T177" s="19"/>
      <c r="U177" s="19"/>
      <c r="V177" s="19"/>
      <c r="W177" s="19"/>
      <c r="X177" s="19"/>
      <c r="Y177" s="19"/>
      <c r="Z177" s="19"/>
      <c r="AA177" s="19"/>
      <c r="AB177" s="19"/>
      <c r="AC177" s="19"/>
      <c r="AD177" s="19"/>
      <c r="AE177" s="19"/>
      <c r="AF177" s="19"/>
      <c r="AG177" s="19"/>
    </row>
    <row r="178" spans="1:33" s="18" customFormat="1">
      <c r="A178" s="20"/>
      <c r="B178" s="19"/>
      <c r="C178" s="19"/>
      <c r="D178" s="19"/>
      <c r="E178" s="20"/>
      <c r="F178" s="20"/>
      <c r="G178" s="20"/>
      <c r="H178" s="20"/>
      <c r="I178" s="20"/>
      <c r="J178" s="20"/>
      <c r="K178" s="20"/>
      <c r="L178" s="20"/>
      <c r="M178" s="20"/>
      <c r="N178" s="20"/>
      <c r="Q178" s="19"/>
      <c r="R178" s="19"/>
      <c r="S178" s="19"/>
      <c r="T178" s="19"/>
      <c r="U178" s="19"/>
      <c r="V178" s="19"/>
      <c r="W178" s="19"/>
      <c r="X178" s="19"/>
      <c r="Y178" s="19"/>
      <c r="Z178" s="19"/>
      <c r="AA178" s="19"/>
      <c r="AB178" s="19"/>
      <c r="AC178" s="19"/>
      <c r="AD178" s="19"/>
      <c r="AE178" s="19"/>
      <c r="AF178" s="19"/>
      <c r="AG178" s="19"/>
    </row>
    <row r="179" spans="1:33" s="18" customFormat="1">
      <c r="A179" s="20"/>
      <c r="B179" s="19"/>
      <c r="C179" s="19"/>
      <c r="D179" s="19"/>
      <c r="E179" s="20"/>
      <c r="F179" s="20"/>
      <c r="G179" s="20"/>
      <c r="H179" s="20"/>
      <c r="I179" s="20"/>
      <c r="J179" s="20"/>
      <c r="K179" s="20"/>
      <c r="L179" s="20"/>
      <c r="M179" s="20"/>
      <c r="N179" s="20"/>
      <c r="Q179" s="19"/>
      <c r="R179" s="19"/>
      <c r="S179" s="19"/>
      <c r="T179" s="19"/>
      <c r="U179" s="19"/>
      <c r="V179" s="19"/>
      <c r="W179" s="19"/>
      <c r="X179" s="19"/>
      <c r="Y179" s="19"/>
      <c r="Z179" s="19"/>
      <c r="AA179" s="19"/>
      <c r="AB179" s="19"/>
      <c r="AC179" s="19"/>
      <c r="AD179" s="19"/>
      <c r="AE179" s="19"/>
      <c r="AF179" s="19"/>
      <c r="AG179" s="19"/>
    </row>
    <row r="180" spans="1:33" s="18" customFormat="1">
      <c r="A180" s="20"/>
      <c r="B180" s="19"/>
      <c r="C180" s="19"/>
      <c r="D180" s="19"/>
      <c r="E180" s="20"/>
      <c r="F180" s="20"/>
      <c r="G180" s="20"/>
      <c r="H180" s="20"/>
      <c r="I180" s="20"/>
      <c r="J180" s="20"/>
      <c r="K180" s="20"/>
      <c r="L180" s="20"/>
      <c r="M180" s="20"/>
      <c r="N180" s="20"/>
      <c r="Q180" s="19"/>
      <c r="R180" s="19"/>
      <c r="S180" s="19"/>
      <c r="T180" s="19"/>
      <c r="U180" s="19"/>
      <c r="V180" s="19"/>
      <c r="W180" s="19"/>
      <c r="X180" s="19"/>
      <c r="Y180" s="19"/>
      <c r="Z180" s="19"/>
      <c r="AA180" s="19"/>
      <c r="AB180" s="19"/>
      <c r="AC180" s="19"/>
      <c r="AD180" s="19"/>
      <c r="AE180" s="19"/>
      <c r="AF180" s="19"/>
      <c r="AG180" s="19"/>
    </row>
    <row r="181" spans="1:33" s="18" customFormat="1">
      <c r="A181" s="20"/>
      <c r="B181" s="19"/>
      <c r="C181" s="19"/>
      <c r="D181" s="19"/>
      <c r="E181" s="20"/>
      <c r="F181" s="20"/>
      <c r="G181" s="20"/>
      <c r="H181" s="20"/>
      <c r="I181" s="20"/>
      <c r="J181" s="20"/>
      <c r="K181" s="20"/>
      <c r="L181" s="20"/>
      <c r="M181" s="20"/>
      <c r="N181" s="20"/>
      <c r="Q181" s="19"/>
      <c r="R181" s="19"/>
      <c r="S181" s="19"/>
      <c r="T181" s="19"/>
      <c r="U181" s="19"/>
      <c r="V181" s="19"/>
      <c r="W181" s="19"/>
      <c r="X181" s="19"/>
      <c r="Y181" s="19"/>
      <c r="Z181" s="19"/>
      <c r="AA181" s="19"/>
      <c r="AB181" s="19"/>
      <c r="AC181" s="19"/>
      <c r="AD181" s="19"/>
      <c r="AE181" s="19"/>
      <c r="AF181" s="19"/>
      <c r="AG181" s="19"/>
    </row>
    <row r="182" spans="1:33" s="18" customFormat="1">
      <c r="A182" s="20"/>
      <c r="B182" s="19"/>
      <c r="C182" s="19"/>
      <c r="D182" s="19"/>
      <c r="E182" s="20"/>
      <c r="F182" s="20"/>
      <c r="G182" s="20"/>
      <c r="H182" s="20"/>
      <c r="I182" s="20"/>
      <c r="J182" s="20"/>
      <c r="K182" s="20"/>
      <c r="L182" s="20"/>
      <c r="M182" s="20"/>
      <c r="N182" s="20"/>
      <c r="Q182" s="19"/>
      <c r="R182" s="19"/>
      <c r="S182" s="19"/>
      <c r="T182" s="19"/>
      <c r="U182" s="19"/>
      <c r="V182" s="19"/>
      <c r="W182" s="19"/>
      <c r="X182" s="19"/>
      <c r="Y182" s="19"/>
      <c r="Z182" s="19"/>
      <c r="AA182" s="19"/>
      <c r="AB182" s="19"/>
      <c r="AC182" s="19"/>
      <c r="AD182" s="19"/>
      <c r="AE182" s="19"/>
      <c r="AF182" s="19"/>
      <c r="AG182" s="19"/>
    </row>
    <row r="183" spans="1:33" s="18" customFormat="1">
      <c r="A183" s="20"/>
      <c r="B183" s="19"/>
      <c r="C183" s="19"/>
      <c r="D183" s="19"/>
      <c r="E183" s="20"/>
      <c r="F183" s="20"/>
      <c r="G183" s="20"/>
      <c r="H183" s="20"/>
      <c r="I183" s="20"/>
      <c r="J183" s="20"/>
      <c r="K183" s="20"/>
      <c r="L183" s="20"/>
      <c r="M183" s="20"/>
      <c r="N183" s="20"/>
      <c r="Q183" s="19"/>
      <c r="R183" s="19"/>
      <c r="S183" s="19"/>
      <c r="T183" s="19"/>
      <c r="U183" s="19"/>
      <c r="V183" s="19"/>
      <c r="W183" s="19"/>
      <c r="X183" s="19"/>
      <c r="Y183" s="19"/>
      <c r="Z183" s="19"/>
      <c r="AA183" s="19"/>
      <c r="AB183" s="19"/>
      <c r="AC183" s="19"/>
      <c r="AD183" s="19"/>
      <c r="AE183" s="19"/>
      <c r="AF183" s="19"/>
      <c r="AG183" s="19"/>
    </row>
    <row r="184" spans="1:33" s="18" customFormat="1">
      <c r="A184" s="20"/>
      <c r="B184" s="19"/>
      <c r="C184" s="19"/>
      <c r="D184" s="19"/>
      <c r="E184" s="20"/>
      <c r="F184" s="20"/>
      <c r="G184" s="20"/>
      <c r="H184" s="20"/>
      <c r="I184" s="20"/>
      <c r="J184" s="20"/>
      <c r="K184" s="20"/>
      <c r="L184" s="20"/>
      <c r="M184" s="20"/>
      <c r="N184" s="20"/>
      <c r="Q184" s="19"/>
      <c r="R184" s="19"/>
      <c r="S184" s="19"/>
      <c r="T184" s="19"/>
      <c r="U184" s="19"/>
      <c r="V184" s="19"/>
      <c r="W184" s="19"/>
      <c r="X184" s="19"/>
      <c r="Y184" s="19"/>
      <c r="Z184" s="19"/>
      <c r="AA184" s="19"/>
      <c r="AB184" s="19"/>
      <c r="AC184" s="19"/>
      <c r="AD184" s="19"/>
      <c r="AE184" s="19"/>
      <c r="AF184" s="19"/>
      <c r="AG184" s="19"/>
    </row>
    <row r="185" spans="1:33" s="18" customFormat="1">
      <c r="A185" s="20"/>
      <c r="B185" s="19"/>
      <c r="C185" s="19"/>
      <c r="D185" s="19"/>
      <c r="E185" s="20"/>
      <c r="F185" s="20"/>
      <c r="G185" s="20"/>
      <c r="H185" s="20"/>
      <c r="I185" s="20"/>
      <c r="J185" s="20"/>
      <c r="K185" s="20"/>
      <c r="L185" s="20"/>
      <c r="M185" s="20"/>
      <c r="N185" s="20"/>
      <c r="Q185" s="19"/>
      <c r="R185" s="19"/>
      <c r="S185" s="19"/>
      <c r="T185" s="19"/>
      <c r="U185" s="19"/>
      <c r="V185" s="19"/>
      <c r="W185" s="19"/>
      <c r="X185" s="19"/>
      <c r="Y185" s="19"/>
      <c r="Z185" s="19"/>
      <c r="AA185" s="19"/>
      <c r="AB185" s="19"/>
      <c r="AC185" s="19"/>
      <c r="AD185" s="19"/>
      <c r="AE185" s="19"/>
      <c r="AF185" s="19"/>
      <c r="AG185" s="19"/>
    </row>
    <row r="186" spans="1:33" s="18" customFormat="1">
      <c r="A186" s="20"/>
      <c r="B186" s="19"/>
      <c r="C186" s="19"/>
      <c r="D186" s="19"/>
      <c r="E186" s="20"/>
      <c r="F186" s="20"/>
      <c r="G186" s="20"/>
      <c r="H186" s="20"/>
      <c r="I186" s="20"/>
      <c r="J186" s="20"/>
      <c r="K186" s="20"/>
      <c r="L186" s="20"/>
      <c r="M186" s="20"/>
      <c r="N186" s="20"/>
      <c r="Q186" s="19"/>
      <c r="R186" s="19"/>
      <c r="S186" s="19"/>
      <c r="T186" s="19"/>
      <c r="U186" s="19"/>
      <c r="V186" s="19"/>
      <c r="W186" s="19"/>
      <c r="X186" s="19"/>
      <c r="Y186" s="19"/>
      <c r="Z186" s="19"/>
      <c r="AA186" s="19"/>
      <c r="AB186" s="19"/>
      <c r="AC186" s="19"/>
      <c r="AD186" s="19"/>
      <c r="AE186" s="19"/>
      <c r="AF186" s="19"/>
      <c r="AG186" s="19"/>
    </row>
    <row r="187" spans="1:33" s="18" customFormat="1">
      <c r="A187" s="20"/>
      <c r="B187" s="19"/>
      <c r="C187" s="19"/>
      <c r="D187" s="19"/>
      <c r="E187" s="20"/>
      <c r="F187" s="20"/>
      <c r="G187" s="20"/>
      <c r="H187" s="20"/>
      <c r="I187" s="20"/>
      <c r="J187" s="20"/>
      <c r="K187" s="20"/>
      <c r="L187" s="20"/>
      <c r="M187" s="20"/>
      <c r="N187" s="20"/>
      <c r="Q187" s="19"/>
      <c r="R187" s="19"/>
      <c r="S187" s="19"/>
      <c r="T187" s="19"/>
      <c r="U187" s="19"/>
      <c r="V187" s="19"/>
      <c r="W187" s="19"/>
      <c r="X187" s="19"/>
      <c r="Y187" s="19"/>
      <c r="Z187" s="19"/>
      <c r="AA187" s="19"/>
      <c r="AB187" s="19"/>
      <c r="AC187" s="19"/>
      <c r="AD187" s="19"/>
      <c r="AE187" s="19"/>
      <c r="AF187" s="19"/>
      <c r="AG187" s="19"/>
    </row>
    <row r="188" spans="1:33" s="18" customFormat="1">
      <c r="A188" s="20"/>
      <c r="B188" s="19"/>
      <c r="C188" s="19"/>
      <c r="D188" s="19"/>
      <c r="E188" s="20"/>
      <c r="F188" s="20"/>
      <c r="G188" s="20"/>
      <c r="H188" s="20"/>
      <c r="I188" s="20"/>
      <c r="J188" s="20"/>
      <c r="K188" s="20"/>
      <c r="L188" s="20"/>
      <c r="M188" s="20"/>
      <c r="N188" s="20"/>
      <c r="Q188" s="19"/>
      <c r="R188" s="19"/>
      <c r="S188" s="19"/>
      <c r="T188" s="19"/>
      <c r="U188" s="19"/>
      <c r="V188" s="19"/>
      <c r="W188" s="19"/>
      <c r="X188" s="19"/>
      <c r="Y188" s="19"/>
      <c r="Z188" s="19"/>
      <c r="AA188" s="19"/>
      <c r="AB188" s="19"/>
      <c r="AC188" s="19"/>
      <c r="AD188" s="19"/>
      <c r="AE188" s="19"/>
      <c r="AF188" s="19"/>
      <c r="AG188" s="19"/>
    </row>
    <row r="189" spans="1:33" s="18" customFormat="1">
      <c r="A189" s="20"/>
      <c r="B189" s="19"/>
      <c r="C189" s="19"/>
      <c r="D189" s="19"/>
      <c r="E189" s="20"/>
      <c r="F189" s="20"/>
      <c r="G189" s="20"/>
      <c r="H189" s="20"/>
      <c r="I189" s="20"/>
      <c r="J189" s="20"/>
      <c r="K189" s="20"/>
      <c r="L189" s="20"/>
      <c r="M189" s="20"/>
      <c r="N189" s="20"/>
      <c r="Q189" s="19"/>
      <c r="R189" s="19"/>
      <c r="S189" s="19"/>
      <c r="T189" s="19"/>
      <c r="U189" s="19"/>
      <c r="V189" s="19"/>
      <c r="W189" s="19"/>
      <c r="X189" s="19"/>
      <c r="Y189" s="19"/>
      <c r="Z189" s="19"/>
      <c r="AA189" s="19"/>
      <c r="AB189" s="19"/>
      <c r="AC189" s="19"/>
      <c r="AD189" s="19"/>
      <c r="AE189" s="19"/>
      <c r="AF189" s="19"/>
      <c r="AG189" s="19"/>
    </row>
    <row r="190" spans="1:33" s="18" customFormat="1">
      <c r="A190" s="20"/>
      <c r="B190" s="19"/>
      <c r="C190" s="19"/>
      <c r="D190" s="19"/>
      <c r="E190" s="20"/>
      <c r="F190" s="20"/>
      <c r="G190" s="20"/>
      <c r="H190" s="20"/>
      <c r="I190" s="20"/>
      <c r="J190" s="20"/>
      <c r="K190" s="20"/>
      <c r="L190" s="20"/>
      <c r="M190" s="20"/>
      <c r="N190" s="20"/>
      <c r="Q190" s="19"/>
      <c r="R190" s="19"/>
      <c r="S190" s="19"/>
      <c r="T190" s="19"/>
      <c r="U190" s="19"/>
      <c r="V190" s="19"/>
      <c r="W190" s="19"/>
      <c r="X190" s="19"/>
      <c r="Y190" s="19"/>
      <c r="Z190" s="19"/>
      <c r="AA190" s="19"/>
      <c r="AB190" s="19"/>
      <c r="AC190" s="19"/>
      <c r="AD190" s="19"/>
      <c r="AE190" s="19"/>
      <c r="AF190" s="19"/>
      <c r="AG190" s="19"/>
    </row>
    <row r="191" spans="1:33" s="18" customFormat="1">
      <c r="A191" s="20"/>
      <c r="B191" s="19"/>
      <c r="C191" s="19"/>
      <c r="D191" s="19"/>
      <c r="E191" s="20"/>
      <c r="F191" s="20"/>
      <c r="G191" s="20"/>
      <c r="H191" s="20"/>
      <c r="I191" s="20"/>
      <c r="J191" s="20"/>
      <c r="K191" s="20"/>
      <c r="L191" s="20"/>
      <c r="M191" s="20"/>
      <c r="N191" s="20"/>
      <c r="Q191" s="19"/>
      <c r="R191" s="19"/>
      <c r="S191" s="19"/>
      <c r="T191" s="19"/>
      <c r="U191" s="19"/>
      <c r="V191" s="19"/>
      <c r="W191" s="19"/>
      <c r="X191" s="19"/>
      <c r="Y191" s="19"/>
      <c r="Z191" s="19"/>
      <c r="AA191" s="19"/>
      <c r="AB191" s="19"/>
      <c r="AC191" s="19"/>
      <c r="AD191" s="19"/>
      <c r="AE191" s="19"/>
      <c r="AF191" s="19"/>
      <c r="AG191" s="19"/>
    </row>
    <row r="192" spans="1:33" s="18" customFormat="1">
      <c r="A192" s="20"/>
      <c r="B192" s="19"/>
      <c r="C192" s="19"/>
      <c r="D192" s="19"/>
      <c r="E192" s="20"/>
      <c r="F192" s="20"/>
      <c r="G192" s="20"/>
      <c r="H192" s="20"/>
      <c r="I192" s="20"/>
      <c r="J192" s="20"/>
      <c r="K192" s="20"/>
      <c r="L192" s="20"/>
      <c r="M192" s="20"/>
      <c r="N192" s="20"/>
      <c r="Q192" s="19"/>
      <c r="R192" s="19"/>
      <c r="S192" s="19"/>
      <c r="T192" s="19"/>
      <c r="U192" s="19"/>
      <c r="V192" s="19"/>
      <c r="W192" s="19"/>
      <c r="X192" s="19"/>
      <c r="Y192" s="19"/>
      <c r="Z192" s="19"/>
      <c r="AA192" s="19"/>
      <c r="AB192" s="19"/>
      <c r="AC192" s="19"/>
      <c r="AD192" s="19"/>
      <c r="AE192" s="19"/>
      <c r="AF192" s="19"/>
      <c r="AG192" s="19"/>
    </row>
    <row r="193" spans="1:33" s="18" customFormat="1">
      <c r="A193" s="20"/>
      <c r="B193" s="19"/>
      <c r="C193" s="19"/>
      <c r="D193" s="19"/>
      <c r="E193" s="20"/>
      <c r="F193" s="20"/>
      <c r="G193" s="20"/>
      <c r="H193" s="20"/>
      <c r="I193" s="20"/>
      <c r="J193" s="20"/>
      <c r="K193" s="20"/>
      <c r="L193" s="20"/>
      <c r="M193" s="20"/>
      <c r="N193" s="20"/>
      <c r="Q193" s="19"/>
      <c r="R193" s="19"/>
      <c r="S193" s="19"/>
      <c r="T193" s="19"/>
      <c r="U193" s="19"/>
      <c r="V193" s="19"/>
      <c r="W193" s="19"/>
      <c r="X193" s="19"/>
      <c r="Y193" s="19"/>
      <c r="Z193" s="19"/>
      <c r="AA193" s="19"/>
      <c r="AB193" s="19"/>
      <c r="AC193" s="19"/>
      <c r="AD193" s="19"/>
      <c r="AE193" s="19"/>
      <c r="AF193" s="19"/>
      <c r="AG193" s="19"/>
    </row>
    <row r="194" spans="1:33" s="18" customFormat="1">
      <c r="A194" s="20"/>
      <c r="B194" s="19"/>
      <c r="C194" s="19"/>
      <c r="D194" s="19"/>
      <c r="E194" s="20"/>
      <c r="F194" s="20"/>
      <c r="G194" s="20"/>
      <c r="H194" s="20"/>
      <c r="I194" s="20"/>
      <c r="J194" s="20"/>
      <c r="K194" s="20"/>
      <c r="L194" s="20"/>
      <c r="M194" s="20"/>
      <c r="N194" s="20"/>
      <c r="Q194" s="19"/>
      <c r="R194" s="19"/>
      <c r="S194" s="19"/>
      <c r="T194" s="19"/>
      <c r="U194" s="19"/>
      <c r="V194" s="19"/>
      <c r="W194" s="19"/>
      <c r="X194" s="19"/>
      <c r="Y194" s="19"/>
      <c r="Z194" s="19"/>
      <c r="AA194" s="19"/>
      <c r="AB194" s="19"/>
      <c r="AC194" s="19"/>
      <c r="AD194" s="19"/>
      <c r="AE194" s="19"/>
      <c r="AF194" s="19"/>
      <c r="AG194" s="19"/>
    </row>
    <row r="195" spans="1:33" s="18" customFormat="1">
      <c r="A195" s="20"/>
      <c r="B195" s="19"/>
      <c r="C195" s="19"/>
      <c r="D195" s="19"/>
      <c r="E195" s="20"/>
      <c r="F195" s="20"/>
      <c r="G195" s="20"/>
      <c r="H195" s="20"/>
      <c r="I195" s="20"/>
      <c r="J195" s="20"/>
      <c r="K195" s="20"/>
      <c r="L195" s="20"/>
      <c r="M195" s="20"/>
      <c r="N195" s="20"/>
      <c r="Q195" s="19"/>
      <c r="R195" s="19"/>
      <c r="S195" s="19"/>
      <c r="T195" s="19"/>
      <c r="U195" s="19"/>
      <c r="V195" s="19"/>
      <c r="W195" s="19"/>
      <c r="X195" s="19"/>
      <c r="Y195" s="19"/>
      <c r="Z195" s="19"/>
      <c r="AA195" s="19"/>
      <c r="AB195" s="19"/>
      <c r="AC195" s="19"/>
      <c r="AD195" s="19"/>
      <c r="AE195" s="19"/>
      <c r="AF195" s="19"/>
      <c r="AG195" s="19"/>
    </row>
    <row r="196" spans="1:33" s="18" customFormat="1">
      <c r="A196" s="20"/>
      <c r="B196" s="19"/>
      <c r="C196" s="19"/>
      <c r="D196" s="19"/>
      <c r="E196" s="20"/>
      <c r="F196" s="20"/>
      <c r="G196" s="20"/>
      <c r="H196" s="20"/>
      <c r="I196" s="20"/>
      <c r="J196" s="20"/>
      <c r="K196" s="20"/>
      <c r="L196" s="20"/>
      <c r="M196" s="20"/>
      <c r="N196" s="20"/>
      <c r="Q196" s="19"/>
      <c r="R196" s="19"/>
      <c r="S196" s="19"/>
      <c r="T196" s="19"/>
      <c r="U196" s="19"/>
      <c r="V196" s="19"/>
      <c r="W196" s="19"/>
      <c r="X196" s="19"/>
      <c r="Y196" s="19"/>
      <c r="Z196" s="19"/>
      <c r="AA196" s="19"/>
      <c r="AB196" s="19"/>
      <c r="AC196" s="19"/>
      <c r="AD196" s="19"/>
      <c r="AE196" s="19"/>
      <c r="AF196" s="19"/>
      <c r="AG196" s="19"/>
    </row>
    <row r="197" spans="1:33" s="18" customFormat="1">
      <c r="A197" s="20"/>
      <c r="B197" s="19"/>
      <c r="C197" s="19"/>
      <c r="D197" s="19"/>
      <c r="E197" s="20"/>
      <c r="F197" s="20"/>
      <c r="G197" s="20"/>
      <c r="H197" s="20"/>
      <c r="I197" s="20"/>
      <c r="J197" s="20"/>
      <c r="K197" s="20"/>
      <c r="L197" s="20"/>
      <c r="M197" s="20"/>
      <c r="N197" s="20"/>
      <c r="Q197" s="19"/>
      <c r="R197" s="19"/>
      <c r="S197" s="19"/>
      <c r="T197" s="19"/>
      <c r="U197" s="19"/>
      <c r="V197" s="19"/>
      <c r="W197" s="19"/>
      <c r="X197" s="19"/>
      <c r="Y197" s="19"/>
      <c r="Z197" s="19"/>
      <c r="AA197" s="19"/>
      <c r="AB197" s="19"/>
      <c r="AC197" s="19"/>
      <c r="AD197" s="19"/>
      <c r="AE197" s="19"/>
      <c r="AF197" s="19"/>
      <c r="AG197" s="19"/>
    </row>
    <row r="198" spans="1:33" s="18" customFormat="1">
      <c r="A198" s="20"/>
      <c r="B198" s="19"/>
      <c r="C198" s="19"/>
      <c r="D198" s="19"/>
      <c r="E198" s="20"/>
      <c r="F198" s="20"/>
      <c r="G198" s="20"/>
      <c r="H198" s="20"/>
      <c r="I198" s="20"/>
      <c r="J198" s="20"/>
      <c r="K198" s="20"/>
      <c r="L198" s="20"/>
      <c r="M198" s="20"/>
      <c r="N198" s="20"/>
      <c r="Q198" s="19"/>
      <c r="R198" s="19"/>
      <c r="S198" s="19"/>
      <c r="T198" s="19"/>
      <c r="U198" s="19"/>
      <c r="V198" s="19"/>
      <c r="W198" s="19"/>
      <c r="X198" s="19"/>
      <c r="Y198" s="19"/>
      <c r="Z198" s="19"/>
      <c r="AA198" s="19"/>
      <c r="AB198" s="19"/>
      <c r="AC198" s="19"/>
      <c r="AD198" s="19"/>
      <c r="AE198" s="19"/>
      <c r="AF198" s="19"/>
      <c r="AG198" s="19"/>
    </row>
    <row r="199" spans="1:33" s="18" customFormat="1">
      <c r="A199" s="20"/>
      <c r="B199" s="19"/>
      <c r="C199" s="19"/>
      <c r="D199" s="19"/>
      <c r="E199" s="20"/>
      <c r="F199" s="20"/>
      <c r="G199" s="20"/>
      <c r="H199" s="20"/>
      <c r="I199" s="20"/>
      <c r="J199" s="20"/>
      <c r="K199" s="20"/>
      <c r="L199" s="20"/>
      <c r="M199" s="20"/>
      <c r="N199" s="20"/>
      <c r="Q199" s="19"/>
      <c r="R199" s="19"/>
      <c r="S199" s="19"/>
      <c r="T199" s="19"/>
      <c r="U199" s="19"/>
      <c r="V199" s="19"/>
      <c r="W199" s="19"/>
      <c r="X199" s="19"/>
      <c r="Y199" s="19"/>
      <c r="Z199" s="19"/>
      <c r="AA199" s="19"/>
      <c r="AB199" s="19"/>
      <c r="AC199" s="19"/>
      <c r="AD199" s="19"/>
      <c r="AE199" s="19"/>
      <c r="AF199" s="19"/>
      <c r="AG199" s="19"/>
    </row>
    <row r="200" spans="1:33" s="18" customFormat="1">
      <c r="A200" s="20"/>
      <c r="B200" s="19"/>
      <c r="C200" s="19"/>
      <c r="D200" s="19"/>
      <c r="E200" s="20"/>
      <c r="F200" s="20"/>
      <c r="G200" s="20"/>
      <c r="H200" s="20"/>
      <c r="I200" s="20"/>
      <c r="J200" s="20"/>
      <c r="K200" s="20"/>
      <c r="L200" s="20"/>
      <c r="M200" s="20"/>
      <c r="N200" s="20"/>
      <c r="Q200" s="19"/>
      <c r="R200" s="19"/>
      <c r="S200" s="19"/>
      <c r="T200" s="19"/>
      <c r="U200" s="19"/>
      <c r="V200" s="19"/>
      <c r="W200" s="19"/>
      <c r="X200" s="19"/>
      <c r="Y200" s="19"/>
      <c r="Z200" s="19"/>
      <c r="AA200" s="19"/>
      <c r="AB200" s="19"/>
      <c r="AC200" s="19"/>
      <c r="AD200" s="19"/>
      <c r="AE200" s="19"/>
      <c r="AF200" s="19"/>
      <c r="AG200" s="19"/>
    </row>
    <row r="201" spans="1:33" s="18" customFormat="1">
      <c r="A201" s="20"/>
      <c r="B201" s="19"/>
      <c r="C201" s="19"/>
      <c r="D201" s="19"/>
      <c r="E201" s="20"/>
      <c r="F201" s="20"/>
      <c r="G201" s="20"/>
      <c r="H201" s="20"/>
      <c r="I201" s="20"/>
      <c r="J201" s="20"/>
      <c r="K201" s="20"/>
      <c r="L201" s="20"/>
      <c r="M201" s="20"/>
      <c r="N201" s="20"/>
      <c r="Q201" s="19"/>
      <c r="R201" s="19"/>
      <c r="S201" s="19"/>
      <c r="T201" s="19"/>
      <c r="U201" s="19"/>
      <c r="V201" s="19"/>
      <c r="W201" s="19"/>
      <c r="X201" s="19"/>
      <c r="Y201" s="19"/>
      <c r="Z201" s="19"/>
      <c r="AA201" s="19"/>
      <c r="AB201" s="19"/>
      <c r="AC201" s="19"/>
      <c r="AD201" s="19"/>
      <c r="AE201" s="19"/>
      <c r="AF201" s="19"/>
      <c r="AG201" s="19"/>
    </row>
    <row r="202" spans="1:33" s="18" customFormat="1">
      <c r="A202" s="20"/>
      <c r="B202" s="19"/>
      <c r="C202" s="19"/>
      <c r="D202" s="19"/>
      <c r="E202" s="20"/>
      <c r="F202" s="20"/>
      <c r="G202" s="20"/>
      <c r="H202" s="20"/>
      <c r="I202" s="20"/>
      <c r="J202" s="20"/>
      <c r="K202" s="20"/>
      <c r="L202" s="20"/>
      <c r="M202" s="20"/>
      <c r="N202" s="20"/>
      <c r="Q202" s="19"/>
      <c r="R202" s="19"/>
      <c r="S202" s="19"/>
      <c r="T202" s="19"/>
      <c r="U202" s="19"/>
      <c r="V202" s="19"/>
      <c r="W202" s="19"/>
      <c r="X202" s="19"/>
      <c r="Y202" s="19"/>
      <c r="Z202" s="19"/>
      <c r="AA202" s="19"/>
      <c r="AB202" s="19"/>
      <c r="AC202" s="19"/>
      <c r="AD202" s="19"/>
      <c r="AE202" s="19"/>
      <c r="AF202" s="19"/>
      <c r="AG202" s="19"/>
    </row>
    <row r="203" spans="1:33" s="18" customFormat="1">
      <c r="A203" s="20"/>
      <c r="B203" s="19"/>
      <c r="C203" s="19"/>
      <c r="D203" s="19"/>
      <c r="E203" s="20"/>
      <c r="F203" s="20"/>
      <c r="G203" s="20"/>
      <c r="H203" s="20"/>
      <c r="I203" s="20"/>
      <c r="J203" s="20"/>
      <c r="K203" s="20"/>
      <c r="L203" s="20"/>
      <c r="M203" s="20"/>
      <c r="N203" s="20"/>
      <c r="Q203" s="19"/>
      <c r="R203" s="19"/>
      <c r="S203" s="19"/>
      <c r="T203" s="19"/>
      <c r="U203" s="19"/>
      <c r="V203" s="19"/>
      <c r="W203" s="19"/>
      <c r="X203" s="19"/>
      <c r="Y203" s="19"/>
      <c r="Z203" s="19"/>
      <c r="AA203" s="19"/>
      <c r="AB203" s="19"/>
      <c r="AC203" s="19"/>
      <c r="AD203" s="19"/>
      <c r="AE203" s="19"/>
      <c r="AF203" s="19"/>
      <c r="AG203" s="19"/>
    </row>
    <row r="204" spans="1:33" s="18" customFormat="1">
      <c r="A204" s="20"/>
      <c r="B204" s="19"/>
      <c r="C204" s="19"/>
      <c r="D204" s="19"/>
      <c r="E204" s="20"/>
      <c r="F204" s="20"/>
      <c r="G204" s="20"/>
      <c r="H204" s="20"/>
      <c r="I204" s="20"/>
      <c r="J204" s="20"/>
      <c r="K204" s="20"/>
      <c r="L204" s="20"/>
      <c r="M204" s="20"/>
      <c r="N204" s="20"/>
      <c r="Q204" s="19"/>
      <c r="R204" s="19"/>
      <c r="S204" s="19"/>
      <c r="T204" s="19"/>
      <c r="U204" s="19"/>
      <c r="V204" s="19"/>
      <c r="W204" s="19"/>
      <c r="X204" s="19"/>
      <c r="Y204" s="19"/>
      <c r="Z204" s="19"/>
      <c r="AA204" s="19"/>
      <c r="AB204" s="19"/>
      <c r="AC204" s="19"/>
      <c r="AD204" s="19"/>
      <c r="AE204" s="19"/>
      <c r="AF204" s="19"/>
      <c r="AG204" s="19"/>
    </row>
    <row r="205" spans="1:33" s="18" customFormat="1">
      <c r="A205" s="20"/>
      <c r="B205" s="19"/>
      <c r="C205" s="19"/>
      <c r="D205" s="19"/>
      <c r="E205" s="20"/>
      <c r="F205" s="20"/>
      <c r="G205" s="20"/>
      <c r="H205" s="20"/>
      <c r="I205" s="20"/>
      <c r="J205" s="20"/>
      <c r="K205" s="20"/>
      <c r="L205" s="20"/>
      <c r="M205" s="20"/>
      <c r="N205" s="20"/>
      <c r="Q205" s="19"/>
      <c r="R205" s="19"/>
      <c r="S205" s="19"/>
      <c r="T205" s="19"/>
      <c r="U205" s="19"/>
      <c r="V205" s="19"/>
      <c r="W205" s="19"/>
      <c r="X205" s="19"/>
      <c r="Y205" s="19"/>
      <c r="Z205" s="19"/>
      <c r="AA205" s="19"/>
      <c r="AB205" s="19"/>
      <c r="AC205" s="19"/>
      <c r="AD205" s="19"/>
      <c r="AE205" s="19"/>
      <c r="AF205" s="19"/>
      <c r="AG205" s="19"/>
    </row>
    <row r="206" spans="1:33" s="18" customFormat="1">
      <c r="A206" s="20"/>
      <c r="B206" s="19"/>
      <c r="C206" s="19"/>
      <c r="D206" s="19"/>
      <c r="E206" s="20"/>
      <c r="F206" s="20"/>
      <c r="G206" s="20"/>
      <c r="H206" s="20"/>
      <c r="I206" s="20"/>
      <c r="J206" s="20"/>
      <c r="K206" s="20"/>
      <c r="L206" s="20"/>
      <c r="M206" s="20"/>
      <c r="N206" s="20"/>
      <c r="Q206" s="19"/>
      <c r="R206" s="19"/>
      <c r="S206" s="19"/>
      <c r="T206" s="19"/>
      <c r="U206" s="19"/>
      <c r="V206" s="19"/>
      <c r="W206" s="19"/>
      <c r="X206" s="19"/>
      <c r="Y206" s="19"/>
      <c r="Z206" s="19"/>
      <c r="AA206" s="19"/>
      <c r="AB206" s="19"/>
      <c r="AC206" s="19"/>
      <c r="AD206" s="19"/>
      <c r="AE206" s="19"/>
      <c r="AF206" s="19"/>
      <c r="AG206" s="19"/>
    </row>
    <row r="207" spans="1:33" s="18" customFormat="1">
      <c r="A207" s="20"/>
      <c r="B207" s="19"/>
      <c r="C207" s="19"/>
      <c r="D207" s="19"/>
      <c r="E207" s="20"/>
      <c r="F207" s="20"/>
      <c r="G207" s="20"/>
      <c r="H207" s="20"/>
      <c r="I207" s="20"/>
      <c r="J207" s="20"/>
      <c r="K207" s="20"/>
      <c r="L207" s="20"/>
      <c r="M207" s="20"/>
      <c r="N207" s="20"/>
      <c r="Q207" s="19"/>
      <c r="R207" s="19"/>
      <c r="S207" s="19"/>
      <c r="T207" s="19"/>
      <c r="U207" s="19"/>
      <c r="V207" s="19"/>
      <c r="W207" s="19"/>
      <c r="X207" s="19"/>
      <c r="Y207" s="19"/>
      <c r="Z207" s="19"/>
      <c r="AA207" s="19"/>
      <c r="AB207" s="19"/>
      <c r="AC207" s="19"/>
      <c r="AD207" s="19"/>
      <c r="AE207" s="19"/>
      <c r="AF207" s="19"/>
      <c r="AG207" s="19"/>
    </row>
    <row r="208" spans="1:33" s="18" customFormat="1">
      <c r="A208" s="20"/>
      <c r="B208" s="19"/>
      <c r="C208" s="19"/>
      <c r="D208" s="19"/>
      <c r="E208" s="20"/>
      <c r="F208" s="20"/>
      <c r="G208" s="20"/>
      <c r="H208" s="20"/>
      <c r="I208" s="20"/>
      <c r="J208" s="20"/>
      <c r="K208" s="20"/>
      <c r="L208" s="20"/>
      <c r="M208" s="20"/>
      <c r="N208" s="20"/>
      <c r="Q208" s="19"/>
      <c r="R208" s="19"/>
      <c r="S208" s="19"/>
      <c r="T208" s="19"/>
      <c r="U208" s="19"/>
      <c r="V208" s="19"/>
      <c r="W208" s="19"/>
      <c r="X208" s="19"/>
      <c r="Y208" s="19"/>
      <c r="Z208" s="19"/>
      <c r="AA208" s="19"/>
      <c r="AB208" s="19"/>
      <c r="AC208" s="19"/>
      <c r="AD208" s="19"/>
      <c r="AE208" s="19"/>
      <c r="AF208" s="19"/>
      <c r="AG208" s="19"/>
    </row>
    <row r="209" spans="1:33" s="18" customFormat="1">
      <c r="A209" s="20"/>
      <c r="B209" s="19"/>
      <c r="C209" s="19"/>
      <c r="D209" s="19"/>
      <c r="E209" s="20"/>
      <c r="F209" s="20"/>
      <c r="G209" s="20"/>
      <c r="H209" s="20"/>
      <c r="I209" s="20"/>
      <c r="J209" s="20"/>
      <c r="K209" s="20"/>
      <c r="L209" s="20"/>
      <c r="M209" s="20"/>
      <c r="N209" s="20"/>
      <c r="Q209" s="19"/>
      <c r="R209" s="19"/>
      <c r="S209" s="19"/>
      <c r="T209" s="19"/>
      <c r="U209" s="19"/>
      <c r="V209" s="19"/>
      <c r="W209" s="19"/>
      <c r="X209" s="19"/>
      <c r="Y209" s="19"/>
      <c r="Z209" s="19"/>
      <c r="AA209" s="19"/>
      <c r="AB209" s="19"/>
      <c r="AC209" s="19"/>
      <c r="AD209" s="19"/>
      <c r="AE209" s="19"/>
      <c r="AF209" s="19"/>
      <c r="AG209" s="19"/>
    </row>
    <row r="210" spans="1:33" s="18" customFormat="1">
      <c r="A210" s="20"/>
      <c r="B210" s="19"/>
      <c r="C210" s="19"/>
      <c r="D210" s="19"/>
      <c r="E210" s="20"/>
      <c r="F210" s="20"/>
      <c r="G210" s="20"/>
      <c r="H210" s="20"/>
      <c r="I210" s="20"/>
      <c r="J210" s="20"/>
      <c r="K210" s="20"/>
      <c r="L210" s="20"/>
      <c r="M210" s="20"/>
      <c r="N210" s="20"/>
      <c r="Q210" s="19"/>
      <c r="R210" s="19"/>
      <c r="S210" s="19"/>
      <c r="T210" s="19"/>
      <c r="U210" s="19"/>
      <c r="V210" s="19"/>
      <c r="W210" s="19"/>
      <c r="X210" s="19"/>
      <c r="Y210" s="19"/>
      <c r="Z210" s="19"/>
      <c r="AA210" s="19"/>
      <c r="AB210" s="19"/>
      <c r="AC210" s="19"/>
      <c r="AD210" s="19"/>
      <c r="AE210" s="19"/>
      <c r="AF210" s="19"/>
      <c r="AG210" s="19"/>
    </row>
    <row r="211" spans="1:33" s="18" customFormat="1">
      <c r="A211" s="20"/>
      <c r="B211" s="19"/>
      <c r="C211" s="19"/>
      <c r="D211" s="19"/>
      <c r="E211" s="20"/>
      <c r="F211" s="20"/>
      <c r="G211" s="20"/>
      <c r="H211" s="20"/>
      <c r="I211" s="20"/>
      <c r="J211" s="20"/>
      <c r="K211" s="20"/>
      <c r="L211" s="20"/>
      <c r="M211" s="20"/>
      <c r="N211" s="20"/>
      <c r="Q211" s="19"/>
      <c r="R211" s="19"/>
      <c r="S211" s="19"/>
      <c r="T211" s="19"/>
      <c r="U211" s="19"/>
      <c r="V211" s="19"/>
      <c r="W211" s="19"/>
      <c r="X211" s="19"/>
      <c r="Y211" s="19"/>
      <c r="Z211" s="19"/>
      <c r="AA211" s="19"/>
      <c r="AB211" s="19"/>
      <c r="AC211" s="19"/>
      <c r="AD211" s="19"/>
      <c r="AE211" s="19"/>
      <c r="AF211" s="19"/>
      <c r="AG211" s="19"/>
    </row>
    <row r="212" spans="1:33" s="18" customFormat="1">
      <c r="A212" s="20"/>
      <c r="B212" s="19"/>
      <c r="C212" s="19"/>
      <c r="D212" s="19"/>
      <c r="E212" s="20"/>
      <c r="F212" s="20"/>
      <c r="G212" s="20"/>
      <c r="H212" s="20"/>
      <c r="I212" s="20"/>
      <c r="J212" s="20"/>
      <c r="K212" s="20"/>
      <c r="L212" s="20"/>
      <c r="M212" s="20"/>
      <c r="N212" s="20"/>
      <c r="Q212" s="19"/>
      <c r="R212" s="19"/>
      <c r="S212" s="19"/>
      <c r="T212" s="19"/>
      <c r="U212" s="19"/>
      <c r="V212" s="19"/>
      <c r="W212" s="19"/>
      <c r="X212" s="19"/>
      <c r="Y212" s="19"/>
      <c r="Z212" s="19"/>
      <c r="AA212" s="19"/>
      <c r="AB212" s="19"/>
      <c r="AC212" s="19"/>
      <c r="AD212" s="19"/>
      <c r="AE212" s="19"/>
      <c r="AF212" s="19"/>
      <c r="AG212" s="19"/>
    </row>
    <row r="213" spans="1:33" s="18" customFormat="1">
      <c r="A213" s="20"/>
      <c r="B213" s="19"/>
      <c r="C213" s="19"/>
      <c r="D213" s="19"/>
      <c r="E213" s="20"/>
      <c r="F213" s="20"/>
      <c r="G213" s="20"/>
      <c r="H213" s="20"/>
      <c r="I213" s="20"/>
      <c r="J213" s="20"/>
      <c r="K213" s="20"/>
      <c r="L213" s="20"/>
      <c r="M213" s="20"/>
      <c r="N213" s="20"/>
      <c r="Q213" s="19"/>
      <c r="R213" s="19"/>
      <c r="S213" s="19"/>
      <c r="T213" s="19"/>
      <c r="U213" s="19"/>
      <c r="V213" s="19"/>
      <c r="W213" s="19"/>
      <c r="X213" s="19"/>
      <c r="Y213" s="19"/>
      <c r="Z213" s="19"/>
      <c r="AA213" s="19"/>
      <c r="AB213" s="19"/>
      <c r="AC213" s="19"/>
      <c r="AD213" s="19"/>
      <c r="AE213" s="19"/>
      <c r="AF213" s="19"/>
      <c r="AG213" s="19"/>
    </row>
    <row r="214" spans="1:33" s="18" customFormat="1">
      <c r="A214" s="20"/>
      <c r="B214" s="19"/>
      <c r="C214" s="19"/>
      <c r="D214" s="19"/>
      <c r="E214" s="20"/>
      <c r="F214" s="20"/>
      <c r="G214" s="20"/>
      <c r="H214" s="20"/>
      <c r="I214" s="20"/>
      <c r="J214" s="20"/>
      <c r="K214" s="20"/>
      <c r="L214" s="20"/>
      <c r="M214" s="20"/>
      <c r="N214" s="20"/>
      <c r="Q214" s="19"/>
      <c r="R214" s="19"/>
      <c r="S214" s="19"/>
      <c r="T214" s="19"/>
      <c r="U214" s="19"/>
      <c r="V214" s="19"/>
      <c r="W214" s="19"/>
      <c r="X214" s="19"/>
      <c r="Y214" s="19"/>
      <c r="Z214" s="19"/>
      <c r="AA214" s="19"/>
      <c r="AB214" s="19"/>
      <c r="AC214" s="19"/>
      <c r="AD214" s="19"/>
      <c r="AE214" s="19"/>
      <c r="AF214" s="19"/>
      <c r="AG214" s="19"/>
    </row>
    <row r="215" spans="1:33" s="18" customFormat="1">
      <c r="A215" s="20"/>
      <c r="B215" s="19"/>
      <c r="C215" s="19"/>
      <c r="D215" s="19"/>
      <c r="E215" s="20"/>
      <c r="F215" s="20"/>
      <c r="G215" s="20"/>
      <c r="H215" s="20"/>
      <c r="I215" s="20"/>
      <c r="J215" s="20"/>
      <c r="K215" s="20"/>
      <c r="L215" s="20"/>
      <c r="M215" s="20"/>
      <c r="N215" s="20"/>
      <c r="Q215" s="19"/>
      <c r="R215" s="19"/>
      <c r="S215" s="19"/>
      <c r="T215" s="19"/>
      <c r="U215" s="19"/>
      <c r="V215" s="19"/>
      <c r="W215" s="19"/>
      <c r="X215" s="19"/>
      <c r="Y215" s="19"/>
      <c r="Z215" s="19"/>
      <c r="AA215" s="19"/>
      <c r="AB215" s="19"/>
      <c r="AC215" s="19"/>
      <c r="AD215" s="19"/>
      <c r="AE215" s="19"/>
      <c r="AF215" s="19"/>
      <c r="AG215" s="19"/>
    </row>
    <row r="216" spans="1:33" s="18" customFormat="1">
      <c r="A216" s="20"/>
      <c r="B216" s="19"/>
      <c r="C216" s="19"/>
      <c r="D216" s="19"/>
      <c r="E216" s="20"/>
      <c r="F216" s="20"/>
      <c r="G216" s="20"/>
      <c r="H216" s="20"/>
      <c r="I216" s="20"/>
      <c r="J216" s="20"/>
      <c r="K216" s="20"/>
      <c r="L216" s="20"/>
      <c r="M216" s="20"/>
      <c r="N216" s="20"/>
      <c r="Q216" s="19"/>
      <c r="R216" s="19"/>
      <c r="S216" s="19"/>
      <c r="T216" s="19"/>
      <c r="U216" s="19"/>
      <c r="V216" s="19"/>
      <c r="W216" s="19"/>
      <c r="X216" s="19"/>
      <c r="Y216" s="19"/>
      <c r="Z216" s="19"/>
      <c r="AA216" s="19"/>
      <c r="AB216" s="19"/>
      <c r="AC216" s="19"/>
      <c r="AD216" s="19"/>
      <c r="AE216" s="19"/>
      <c r="AF216" s="19"/>
      <c r="AG216" s="19"/>
    </row>
    <row r="217" spans="1:33" s="18" customFormat="1">
      <c r="A217" s="20"/>
      <c r="B217" s="19"/>
      <c r="C217" s="19"/>
      <c r="D217" s="19"/>
      <c r="E217" s="20"/>
      <c r="F217" s="20"/>
      <c r="G217" s="20"/>
      <c r="H217" s="20"/>
      <c r="I217" s="20"/>
      <c r="J217" s="20"/>
      <c r="K217" s="20"/>
      <c r="L217" s="20"/>
      <c r="M217" s="20"/>
      <c r="N217" s="20"/>
      <c r="Q217" s="19"/>
      <c r="R217" s="19"/>
      <c r="S217" s="19"/>
      <c r="T217" s="19"/>
      <c r="U217" s="19"/>
      <c r="V217" s="19"/>
      <c r="W217" s="19"/>
      <c r="X217" s="19"/>
      <c r="Y217" s="19"/>
      <c r="Z217" s="19"/>
      <c r="AA217" s="19"/>
      <c r="AB217" s="19"/>
      <c r="AC217" s="19"/>
      <c r="AD217" s="19"/>
      <c r="AE217" s="19"/>
      <c r="AF217" s="19"/>
      <c r="AG217" s="19"/>
    </row>
    <row r="218" spans="1:33" s="18" customFormat="1">
      <c r="A218" s="20"/>
      <c r="B218" s="19"/>
      <c r="C218" s="19"/>
      <c r="D218" s="19"/>
      <c r="E218" s="20"/>
      <c r="F218" s="20"/>
      <c r="G218" s="20"/>
      <c r="H218" s="20"/>
      <c r="I218" s="20"/>
      <c r="J218" s="20"/>
      <c r="K218" s="20"/>
      <c r="L218" s="20"/>
      <c r="M218" s="20"/>
      <c r="N218" s="20"/>
      <c r="Q218" s="19"/>
      <c r="R218" s="19"/>
      <c r="S218" s="19"/>
      <c r="T218" s="19"/>
      <c r="U218" s="19"/>
      <c r="V218" s="19"/>
      <c r="W218" s="19"/>
      <c r="X218" s="19"/>
      <c r="Y218" s="19"/>
      <c r="Z218" s="19"/>
      <c r="AA218" s="19"/>
      <c r="AB218" s="19"/>
      <c r="AC218" s="19"/>
      <c r="AD218" s="19"/>
      <c r="AE218" s="19"/>
      <c r="AF218" s="19"/>
      <c r="AG218" s="19"/>
    </row>
    <row r="219" spans="1:33" s="18" customFormat="1">
      <c r="A219" s="20"/>
      <c r="B219" s="19"/>
      <c r="C219" s="19"/>
      <c r="D219" s="19"/>
      <c r="E219" s="20"/>
      <c r="F219" s="20"/>
      <c r="G219" s="20"/>
      <c r="H219" s="20"/>
      <c r="I219" s="20"/>
      <c r="J219" s="20"/>
      <c r="K219" s="20"/>
      <c r="L219" s="20"/>
      <c r="M219" s="20"/>
      <c r="N219" s="20"/>
      <c r="Q219" s="19"/>
      <c r="R219" s="19"/>
      <c r="S219" s="19"/>
      <c r="T219" s="19"/>
      <c r="U219" s="19"/>
      <c r="V219" s="19"/>
      <c r="W219" s="19"/>
      <c r="X219" s="19"/>
      <c r="Y219" s="19"/>
      <c r="Z219" s="19"/>
      <c r="AA219" s="19"/>
      <c r="AB219" s="19"/>
      <c r="AC219" s="19"/>
      <c r="AD219" s="19"/>
      <c r="AE219" s="19"/>
      <c r="AF219" s="19"/>
      <c r="AG219" s="19"/>
    </row>
    <row r="220" spans="1:33" s="18" customFormat="1">
      <c r="A220" s="20"/>
      <c r="B220" s="19"/>
      <c r="C220" s="19"/>
      <c r="D220" s="19"/>
      <c r="E220" s="20"/>
      <c r="F220" s="20"/>
      <c r="G220" s="20"/>
      <c r="H220" s="20"/>
      <c r="I220" s="20"/>
      <c r="J220" s="20"/>
      <c r="K220" s="20"/>
      <c r="L220" s="20"/>
      <c r="M220" s="20"/>
      <c r="N220" s="20"/>
      <c r="Q220" s="19"/>
      <c r="R220" s="19"/>
      <c r="S220" s="19"/>
      <c r="T220" s="19"/>
      <c r="U220" s="19"/>
      <c r="V220" s="19"/>
      <c r="W220" s="19"/>
      <c r="X220" s="19"/>
      <c r="Y220" s="19"/>
      <c r="Z220" s="19"/>
      <c r="AA220" s="19"/>
      <c r="AB220" s="19"/>
      <c r="AC220" s="19"/>
      <c r="AD220" s="19"/>
      <c r="AE220" s="19"/>
      <c r="AF220" s="19"/>
      <c r="AG220" s="19"/>
    </row>
    <row r="221" spans="1:33" s="18" customFormat="1">
      <c r="A221" s="20"/>
      <c r="B221" s="19"/>
      <c r="C221" s="19"/>
      <c r="D221" s="19"/>
      <c r="E221" s="20"/>
      <c r="F221" s="20"/>
      <c r="G221" s="20"/>
      <c r="H221" s="20"/>
      <c r="I221" s="20"/>
      <c r="J221" s="20"/>
      <c r="K221" s="20"/>
      <c r="L221" s="20"/>
      <c r="M221" s="20"/>
      <c r="N221" s="20"/>
      <c r="Q221" s="19"/>
      <c r="R221" s="19"/>
      <c r="S221" s="19"/>
      <c r="T221" s="19"/>
      <c r="U221" s="19"/>
      <c r="V221" s="19"/>
      <c r="W221" s="19"/>
      <c r="X221" s="19"/>
      <c r="Y221" s="19"/>
      <c r="Z221" s="19"/>
      <c r="AA221" s="19"/>
      <c r="AB221" s="19"/>
      <c r="AC221" s="19"/>
      <c r="AD221" s="19"/>
      <c r="AE221" s="19"/>
      <c r="AF221" s="19"/>
      <c r="AG221" s="19"/>
    </row>
    <row r="222" spans="1:33" s="18" customFormat="1">
      <c r="A222" s="20"/>
      <c r="B222" s="19"/>
      <c r="C222" s="19"/>
      <c r="D222" s="19"/>
      <c r="E222" s="20"/>
      <c r="F222" s="20"/>
      <c r="G222" s="20"/>
      <c r="H222" s="20"/>
      <c r="I222" s="20"/>
      <c r="J222" s="20"/>
      <c r="K222" s="20"/>
      <c r="L222" s="20"/>
      <c r="M222" s="20"/>
      <c r="N222" s="20"/>
      <c r="Q222" s="19"/>
      <c r="R222" s="19"/>
      <c r="S222" s="19"/>
      <c r="T222" s="19"/>
      <c r="U222" s="19"/>
      <c r="V222" s="19"/>
      <c r="W222" s="19"/>
      <c r="X222" s="19"/>
      <c r="Y222" s="19"/>
      <c r="Z222" s="19"/>
      <c r="AA222" s="19"/>
      <c r="AB222" s="19"/>
      <c r="AC222" s="19"/>
      <c r="AD222" s="19"/>
      <c r="AE222" s="19"/>
      <c r="AF222" s="19"/>
      <c r="AG222" s="19"/>
    </row>
    <row r="223" spans="1:33" s="18" customFormat="1">
      <c r="A223" s="20"/>
      <c r="B223" s="19"/>
      <c r="C223" s="19"/>
      <c r="D223" s="19"/>
      <c r="E223" s="20"/>
      <c r="F223" s="20"/>
      <c r="G223" s="20"/>
      <c r="H223" s="20"/>
      <c r="I223" s="20"/>
      <c r="J223" s="20"/>
      <c r="K223" s="20"/>
      <c r="L223" s="20"/>
      <c r="M223" s="20"/>
      <c r="N223" s="20"/>
      <c r="Q223" s="19"/>
      <c r="R223" s="19"/>
      <c r="S223" s="19"/>
      <c r="T223" s="19"/>
      <c r="U223" s="19"/>
      <c r="V223" s="19"/>
      <c r="W223" s="19"/>
      <c r="X223" s="19"/>
      <c r="Y223" s="19"/>
      <c r="Z223" s="19"/>
      <c r="AA223" s="19"/>
      <c r="AB223" s="19"/>
      <c r="AC223" s="19"/>
      <c r="AD223" s="19"/>
      <c r="AE223" s="19"/>
      <c r="AF223" s="19"/>
      <c r="AG223" s="19"/>
    </row>
    <row r="224" spans="1:33" s="18" customFormat="1">
      <c r="A224" s="20"/>
      <c r="B224" s="19"/>
      <c r="C224" s="19"/>
      <c r="D224" s="19"/>
      <c r="E224" s="20"/>
      <c r="F224" s="20"/>
      <c r="G224" s="20"/>
      <c r="H224" s="20"/>
      <c r="I224" s="20"/>
      <c r="J224" s="20"/>
      <c r="K224" s="20"/>
      <c r="L224" s="20"/>
      <c r="M224" s="20"/>
      <c r="N224" s="20"/>
      <c r="Q224" s="19"/>
      <c r="R224" s="19"/>
      <c r="S224" s="19"/>
      <c r="T224" s="19"/>
      <c r="U224" s="19"/>
      <c r="V224" s="19"/>
      <c r="W224" s="19"/>
      <c r="X224" s="19"/>
      <c r="Y224" s="19"/>
      <c r="Z224" s="19"/>
      <c r="AA224" s="19"/>
      <c r="AB224" s="19"/>
      <c r="AC224" s="19"/>
      <c r="AD224" s="19"/>
      <c r="AE224" s="19"/>
      <c r="AF224" s="19"/>
      <c r="AG224" s="19"/>
    </row>
    <row r="225" spans="1:33" s="18" customFormat="1">
      <c r="A225" s="20"/>
      <c r="B225" s="19"/>
      <c r="C225" s="19"/>
      <c r="D225" s="19"/>
      <c r="E225" s="20"/>
      <c r="F225" s="20"/>
      <c r="G225" s="20"/>
      <c r="H225" s="20"/>
      <c r="I225" s="20"/>
      <c r="J225" s="20"/>
      <c r="K225" s="20"/>
      <c r="L225" s="20"/>
      <c r="M225" s="20"/>
      <c r="N225" s="20"/>
      <c r="Q225" s="19"/>
      <c r="R225" s="19"/>
      <c r="S225" s="19"/>
      <c r="T225" s="19"/>
      <c r="U225" s="19"/>
      <c r="V225" s="19"/>
      <c r="W225" s="19"/>
      <c r="X225" s="19"/>
      <c r="Y225" s="19"/>
      <c r="Z225" s="19"/>
      <c r="AA225" s="19"/>
      <c r="AB225" s="19"/>
      <c r="AC225" s="19"/>
      <c r="AD225" s="19"/>
      <c r="AE225" s="19"/>
      <c r="AF225" s="19"/>
      <c r="AG225" s="19"/>
    </row>
    <row r="226" spans="1:33" s="18" customFormat="1">
      <c r="A226" s="20"/>
      <c r="B226" s="19"/>
      <c r="C226" s="19"/>
      <c r="D226" s="19"/>
      <c r="E226" s="20"/>
      <c r="F226" s="20"/>
      <c r="G226" s="20"/>
      <c r="H226" s="20"/>
      <c r="I226" s="20"/>
      <c r="J226" s="20"/>
      <c r="K226" s="20"/>
      <c r="L226" s="20"/>
      <c r="M226" s="20"/>
      <c r="N226" s="20"/>
      <c r="Q226" s="19"/>
      <c r="R226" s="19"/>
      <c r="S226" s="19"/>
      <c r="T226" s="19"/>
      <c r="U226" s="19"/>
      <c r="V226" s="19"/>
      <c r="W226" s="19"/>
      <c r="X226" s="19"/>
      <c r="Y226" s="19"/>
      <c r="Z226" s="19"/>
      <c r="AA226" s="19"/>
      <c r="AB226" s="19"/>
      <c r="AC226" s="19"/>
      <c r="AD226" s="19"/>
      <c r="AE226" s="19"/>
      <c r="AF226" s="19"/>
      <c r="AG226" s="19"/>
    </row>
    <row r="227" spans="1:33" s="18" customFormat="1">
      <c r="A227" s="20"/>
      <c r="B227" s="19"/>
      <c r="C227" s="19"/>
      <c r="D227" s="19"/>
      <c r="E227" s="20"/>
      <c r="F227" s="20"/>
      <c r="G227" s="20"/>
      <c r="H227" s="20"/>
      <c r="I227" s="20"/>
      <c r="J227" s="20"/>
      <c r="K227" s="20"/>
      <c r="L227" s="20"/>
      <c r="M227" s="20"/>
      <c r="N227" s="20"/>
      <c r="Q227" s="19"/>
      <c r="R227" s="19"/>
      <c r="S227" s="19"/>
      <c r="T227" s="19"/>
      <c r="U227" s="19"/>
      <c r="V227" s="19"/>
      <c r="W227" s="19"/>
      <c r="X227" s="19"/>
      <c r="Y227" s="19"/>
      <c r="Z227" s="19"/>
      <c r="AA227" s="19"/>
      <c r="AB227" s="19"/>
      <c r="AC227" s="19"/>
      <c r="AD227" s="19"/>
      <c r="AE227" s="19"/>
      <c r="AF227" s="19"/>
      <c r="AG227" s="19"/>
    </row>
    <row r="228" spans="1:33" s="18" customFormat="1">
      <c r="A228" s="20"/>
      <c r="B228" s="19"/>
      <c r="C228" s="19"/>
      <c r="D228" s="19"/>
      <c r="E228" s="20"/>
      <c r="F228" s="20"/>
      <c r="G228" s="20"/>
      <c r="H228" s="20"/>
      <c r="I228" s="20"/>
      <c r="J228" s="20"/>
      <c r="K228" s="20"/>
      <c r="L228" s="20"/>
      <c r="M228" s="20"/>
      <c r="N228" s="20"/>
      <c r="Q228" s="19"/>
      <c r="R228" s="19"/>
      <c r="S228" s="19"/>
      <c r="T228" s="19"/>
      <c r="U228" s="19"/>
      <c r="V228" s="19"/>
      <c r="W228" s="19"/>
      <c r="X228" s="19"/>
      <c r="Y228" s="19"/>
      <c r="Z228" s="19"/>
      <c r="AA228" s="19"/>
      <c r="AB228" s="19"/>
      <c r="AC228" s="19"/>
      <c r="AD228" s="19"/>
      <c r="AE228" s="19"/>
      <c r="AF228" s="19"/>
      <c r="AG228" s="19"/>
    </row>
    <row r="229" spans="1:33" s="18" customFormat="1">
      <c r="A229" s="20"/>
      <c r="B229" s="19"/>
      <c r="C229" s="19"/>
      <c r="D229" s="19"/>
      <c r="E229" s="20"/>
      <c r="F229" s="20"/>
      <c r="G229" s="20"/>
      <c r="H229" s="20"/>
      <c r="I229" s="20"/>
      <c r="J229" s="20"/>
      <c r="K229" s="20"/>
      <c r="L229" s="20"/>
      <c r="M229" s="20"/>
      <c r="N229" s="20"/>
      <c r="Q229" s="19"/>
      <c r="R229" s="19"/>
      <c r="S229" s="19"/>
      <c r="T229" s="19"/>
      <c r="U229" s="19"/>
      <c r="V229" s="19"/>
      <c r="W229" s="19"/>
      <c r="X229" s="19"/>
      <c r="Y229" s="19"/>
      <c r="Z229" s="19"/>
      <c r="AA229" s="19"/>
      <c r="AB229" s="19"/>
      <c r="AC229" s="19"/>
      <c r="AD229" s="19"/>
      <c r="AE229" s="19"/>
      <c r="AF229" s="19"/>
      <c r="AG229" s="19"/>
    </row>
    <row r="230" spans="1:33" s="18" customFormat="1">
      <c r="A230" s="20"/>
      <c r="B230" s="19"/>
      <c r="C230" s="19"/>
      <c r="D230" s="19"/>
      <c r="E230" s="20"/>
      <c r="F230" s="20"/>
      <c r="G230" s="20"/>
      <c r="H230" s="20"/>
      <c r="I230" s="20"/>
      <c r="J230" s="20"/>
      <c r="K230" s="20"/>
      <c r="L230" s="20"/>
      <c r="M230" s="20"/>
      <c r="N230" s="20"/>
      <c r="Q230" s="19"/>
      <c r="R230" s="19"/>
      <c r="S230" s="19"/>
      <c r="T230" s="19"/>
      <c r="U230" s="19"/>
      <c r="V230" s="19"/>
      <c r="W230" s="19"/>
      <c r="X230" s="19"/>
      <c r="Y230" s="19"/>
      <c r="Z230" s="19"/>
      <c r="AA230" s="19"/>
      <c r="AB230" s="19"/>
      <c r="AC230" s="19"/>
      <c r="AD230" s="19"/>
      <c r="AE230" s="19"/>
      <c r="AF230" s="19"/>
      <c r="AG230" s="19"/>
    </row>
    <row r="231" spans="1:33" s="18" customFormat="1">
      <c r="A231" s="20"/>
      <c r="B231" s="19"/>
      <c r="C231" s="19"/>
      <c r="D231" s="19"/>
      <c r="E231" s="20"/>
      <c r="F231" s="20"/>
      <c r="G231" s="20"/>
      <c r="H231" s="20"/>
      <c r="I231" s="20"/>
      <c r="J231" s="20"/>
      <c r="K231" s="20"/>
      <c r="L231" s="20"/>
      <c r="M231" s="20"/>
      <c r="N231" s="20"/>
      <c r="Q231" s="19"/>
      <c r="R231" s="19"/>
      <c r="S231" s="19"/>
      <c r="T231" s="19"/>
      <c r="U231" s="19"/>
      <c r="V231" s="19"/>
      <c r="W231" s="19"/>
      <c r="X231" s="19"/>
      <c r="Y231" s="19"/>
      <c r="Z231" s="19"/>
      <c r="AA231" s="19"/>
      <c r="AB231" s="19"/>
      <c r="AC231" s="19"/>
      <c r="AD231" s="19"/>
      <c r="AE231" s="19"/>
      <c r="AF231" s="19"/>
      <c r="AG231" s="19"/>
    </row>
    <row r="232" spans="1:33" s="18" customFormat="1">
      <c r="A232" s="20"/>
      <c r="B232" s="19"/>
      <c r="C232" s="19"/>
      <c r="D232" s="19"/>
      <c r="E232" s="20"/>
      <c r="F232" s="20"/>
      <c r="G232" s="20"/>
      <c r="H232" s="20"/>
      <c r="I232" s="20"/>
      <c r="J232" s="20"/>
      <c r="K232" s="20"/>
      <c r="L232" s="20"/>
      <c r="M232" s="20"/>
      <c r="N232" s="20"/>
      <c r="Q232" s="19"/>
      <c r="R232" s="19"/>
      <c r="S232" s="19"/>
      <c r="T232" s="19"/>
      <c r="U232" s="19"/>
      <c r="V232" s="19"/>
      <c r="W232" s="19"/>
      <c r="X232" s="19"/>
      <c r="Y232" s="19"/>
      <c r="Z232" s="19"/>
      <c r="AA232" s="19"/>
      <c r="AB232" s="19"/>
      <c r="AC232" s="19"/>
      <c r="AD232" s="19"/>
      <c r="AE232" s="19"/>
      <c r="AF232" s="19"/>
      <c r="AG232" s="19"/>
    </row>
    <row r="233" spans="1:33" s="18" customFormat="1">
      <c r="A233" s="20"/>
      <c r="B233" s="19"/>
      <c r="C233" s="19"/>
      <c r="D233" s="19"/>
      <c r="E233" s="20"/>
      <c r="F233" s="20"/>
      <c r="G233" s="20"/>
      <c r="H233" s="20"/>
      <c r="I233" s="20"/>
      <c r="J233" s="20"/>
      <c r="K233" s="20"/>
      <c r="L233" s="20"/>
      <c r="M233" s="20"/>
      <c r="N233" s="20"/>
      <c r="Q233" s="19"/>
      <c r="R233" s="19"/>
      <c r="S233" s="19"/>
      <c r="T233" s="19"/>
      <c r="U233" s="19"/>
      <c r="V233" s="19"/>
      <c r="W233" s="19"/>
      <c r="X233" s="19"/>
      <c r="Y233" s="19"/>
      <c r="Z233" s="19"/>
      <c r="AA233" s="19"/>
      <c r="AB233" s="19"/>
      <c r="AC233" s="19"/>
      <c r="AD233" s="19"/>
      <c r="AE233" s="19"/>
      <c r="AF233" s="19"/>
      <c r="AG233" s="19"/>
    </row>
    <row r="234" spans="1:33" s="18" customFormat="1">
      <c r="A234" s="20"/>
      <c r="B234" s="19"/>
      <c r="C234" s="19"/>
      <c r="D234" s="19"/>
      <c r="E234" s="20"/>
      <c r="F234" s="20"/>
      <c r="G234" s="20"/>
      <c r="H234" s="20"/>
      <c r="I234" s="20"/>
      <c r="J234" s="20"/>
      <c r="K234" s="20"/>
      <c r="L234" s="20"/>
      <c r="M234" s="20"/>
      <c r="N234" s="20"/>
      <c r="Q234" s="19"/>
      <c r="R234" s="19"/>
      <c r="S234" s="19"/>
      <c r="T234" s="19"/>
      <c r="U234" s="19"/>
      <c r="V234" s="19"/>
      <c r="W234" s="19"/>
      <c r="X234" s="19"/>
      <c r="Y234" s="19"/>
      <c r="Z234" s="19"/>
      <c r="AA234" s="19"/>
      <c r="AB234" s="19"/>
      <c r="AC234" s="19"/>
      <c r="AD234" s="19"/>
      <c r="AE234" s="19"/>
      <c r="AF234" s="19"/>
      <c r="AG234" s="19"/>
    </row>
    <row r="235" spans="1:33" s="18" customFormat="1">
      <c r="A235" s="20"/>
      <c r="B235" s="19"/>
      <c r="C235" s="19"/>
      <c r="D235" s="19"/>
      <c r="E235" s="20"/>
      <c r="F235" s="20"/>
      <c r="G235" s="20"/>
      <c r="H235" s="20"/>
      <c r="I235" s="20"/>
      <c r="J235" s="20"/>
      <c r="K235" s="20"/>
      <c r="L235" s="20"/>
      <c r="M235" s="20"/>
      <c r="N235" s="20"/>
      <c r="Q235" s="19"/>
      <c r="R235" s="19"/>
      <c r="S235" s="19"/>
      <c r="T235" s="19"/>
      <c r="U235" s="19"/>
      <c r="V235" s="19"/>
      <c r="W235" s="19"/>
      <c r="X235" s="19"/>
      <c r="Y235" s="19"/>
      <c r="Z235" s="19"/>
      <c r="AA235" s="19"/>
      <c r="AB235" s="19"/>
      <c r="AC235" s="19"/>
      <c r="AD235" s="19"/>
      <c r="AE235" s="19"/>
      <c r="AF235" s="19"/>
      <c r="AG235" s="19"/>
    </row>
    <row r="236" spans="1:33" s="18" customFormat="1">
      <c r="A236" s="20"/>
      <c r="B236" s="19"/>
      <c r="C236" s="19"/>
      <c r="D236" s="19"/>
      <c r="E236" s="20"/>
      <c r="F236" s="20"/>
      <c r="G236" s="20"/>
      <c r="H236" s="20"/>
      <c r="I236" s="20"/>
      <c r="J236" s="20"/>
      <c r="K236" s="20"/>
      <c r="L236" s="20"/>
      <c r="M236" s="20"/>
      <c r="N236" s="20"/>
      <c r="Q236" s="19"/>
      <c r="R236" s="19"/>
      <c r="S236" s="19"/>
      <c r="T236" s="19"/>
      <c r="U236" s="19"/>
      <c r="V236" s="19"/>
      <c r="W236" s="19"/>
      <c r="X236" s="19"/>
      <c r="Y236" s="19"/>
      <c r="Z236" s="19"/>
      <c r="AA236" s="19"/>
      <c r="AB236" s="19"/>
      <c r="AC236" s="19"/>
      <c r="AD236" s="19"/>
      <c r="AE236" s="19"/>
      <c r="AF236" s="19"/>
      <c r="AG236" s="19"/>
    </row>
    <row r="237" spans="1:33" s="18" customFormat="1">
      <c r="A237" s="20"/>
      <c r="B237" s="19"/>
      <c r="C237" s="19"/>
      <c r="D237" s="19"/>
      <c r="E237" s="20"/>
      <c r="F237" s="20"/>
      <c r="G237" s="20"/>
      <c r="H237" s="20"/>
      <c r="I237" s="20"/>
      <c r="J237" s="20"/>
      <c r="K237" s="20"/>
      <c r="L237" s="20"/>
      <c r="M237" s="20"/>
      <c r="N237" s="20"/>
      <c r="Q237" s="19"/>
      <c r="R237" s="19"/>
      <c r="S237" s="19"/>
      <c r="T237" s="19"/>
      <c r="U237" s="19"/>
      <c r="V237" s="19"/>
      <c r="W237" s="19"/>
      <c r="X237" s="19"/>
      <c r="Y237" s="19"/>
      <c r="Z237" s="19"/>
      <c r="AA237" s="19"/>
      <c r="AB237" s="19"/>
      <c r="AC237" s="19"/>
      <c r="AD237" s="19"/>
      <c r="AE237" s="19"/>
      <c r="AF237" s="19"/>
      <c r="AG237" s="19"/>
    </row>
    <row r="238" spans="1:33" s="18" customFormat="1">
      <c r="A238" s="20"/>
      <c r="B238" s="19"/>
      <c r="C238" s="19"/>
      <c r="D238" s="19"/>
      <c r="E238" s="20"/>
      <c r="F238" s="20"/>
      <c r="G238" s="20"/>
      <c r="H238" s="20"/>
      <c r="I238" s="20"/>
      <c r="J238" s="20"/>
      <c r="K238" s="20"/>
      <c r="L238" s="20"/>
      <c r="M238" s="20"/>
      <c r="N238" s="20"/>
      <c r="Q238" s="19"/>
      <c r="R238" s="19"/>
      <c r="S238" s="19"/>
      <c r="T238" s="19"/>
      <c r="U238" s="19"/>
      <c r="V238" s="19"/>
      <c r="W238" s="19"/>
      <c r="X238" s="19"/>
      <c r="Y238" s="19"/>
      <c r="Z238" s="19"/>
      <c r="AA238" s="19"/>
      <c r="AB238" s="19"/>
      <c r="AC238" s="19"/>
      <c r="AD238" s="19"/>
      <c r="AE238" s="19"/>
      <c r="AF238" s="19"/>
      <c r="AG238" s="19"/>
    </row>
    <row r="239" spans="1:33" s="18" customFormat="1">
      <c r="A239" s="20"/>
      <c r="B239" s="19"/>
      <c r="C239" s="19"/>
      <c r="D239" s="19"/>
      <c r="E239" s="20"/>
      <c r="F239" s="20"/>
      <c r="G239" s="20"/>
      <c r="H239" s="20"/>
      <c r="I239" s="20"/>
      <c r="J239" s="20"/>
      <c r="K239" s="20"/>
      <c r="L239" s="20"/>
      <c r="M239" s="20"/>
      <c r="N239" s="20"/>
      <c r="Q239" s="19"/>
      <c r="R239" s="19"/>
      <c r="S239" s="19"/>
      <c r="T239" s="19"/>
      <c r="U239" s="19"/>
      <c r="V239" s="19"/>
      <c r="W239" s="19"/>
      <c r="X239" s="19"/>
      <c r="Y239" s="19"/>
      <c r="Z239" s="19"/>
      <c r="AA239" s="19"/>
      <c r="AB239" s="19"/>
      <c r="AC239" s="19"/>
      <c r="AD239" s="19"/>
      <c r="AE239" s="19"/>
      <c r="AF239" s="19"/>
      <c r="AG239" s="19"/>
    </row>
    <row r="240" spans="1:33" s="18" customFormat="1">
      <c r="A240" s="20"/>
      <c r="B240" s="19"/>
      <c r="C240" s="19"/>
      <c r="D240" s="19"/>
      <c r="E240" s="20"/>
      <c r="F240" s="20"/>
      <c r="G240" s="20"/>
      <c r="H240" s="20"/>
      <c r="I240" s="20"/>
      <c r="J240" s="20"/>
      <c r="K240" s="20"/>
      <c r="L240" s="20"/>
      <c r="M240" s="20"/>
      <c r="N240" s="20"/>
      <c r="Q240" s="19"/>
      <c r="R240" s="19"/>
      <c r="S240" s="19"/>
      <c r="T240" s="19"/>
      <c r="U240" s="19"/>
      <c r="V240" s="19"/>
      <c r="W240" s="19"/>
      <c r="X240" s="19"/>
      <c r="Y240" s="19"/>
      <c r="Z240" s="19"/>
      <c r="AA240" s="19"/>
      <c r="AB240" s="19"/>
      <c r="AC240" s="19"/>
      <c r="AD240" s="19"/>
      <c r="AE240" s="19"/>
      <c r="AF240" s="19"/>
      <c r="AG240" s="19"/>
    </row>
    <row r="241" spans="1:33" s="18" customFormat="1">
      <c r="A241" s="20"/>
      <c r="B241" s="19"/>
      <c r="C241" s="19"/>
      <c r="D241" s="19"/>
      <c r="E241" s="20"/>
      <c r="F241" s="20"/>
      <c r="G241" s="20"/>
      <c r="H241" s="20"/>
      <c r="I241" s="20"/>
      <c r="J241" s="20"/>
      <c r="K241" s="20"/>
      <c r="L241" s="20"/>
      <c r="M241" s="20"/>
      <c r="N241" s="20"/>
      <c r="Q241" s="19"/>
      <c r="R241" s="19"/>
      <c r="S241" s="19"/>
      <c r="T241" s="19"/>
      <c r="U241" s="19"/>
      <c r="V241" s="19"/>
      <c r="W241" s="19"/>
      <c r="X241" s="19"/>
      <c r="Y241" s="19"/>
      <c r="Z241" s="19"/>
      <c r="AA241" s="19"/>
      <c r="AB241" s="19"/>
      <c r="AC241" s="19"/>
      <c r="AD241" s="19"/>
      <c r="AE241" s="19"/>
      <c r="AF241" s="19"/>
      <c r="AG241" s="19"/>
    </row>
    <row r="242" spans="1:33" s="18" customFormat="1">
      <c r="A242" s="20"/>
      <c r="B242" s="19"/>
      <c r="C242" s="19"/>
      <c r="D242" s="19"/>
      <c r="E242" s="20"/>
      <c r="F242" s="20"/>
      <c r="G242" s="20"/>
      <c r="H242" s="20"/>
      <c r="I242" s="20"/>
      <c r="J242" s="20"/>
      <c r="K242" s="20"/>
      <c r="L242" s="20"/>
      <c r="M242" s="20"/>
      <c r="N242" s="20"/>
      <c r="Q242" s="19"/>
      <c r="R242" s="19"/>
      <c r="S242" s="19"/>
      <c r="T242" s="19"/>
      <c r="U242" s="19"/>
      <c r="V242" s="19"/>
      <c r="W242" s="19"/>
      <c r="X242" s="19"/>
      <c r="Y242" s="19"/>
      <c r="Z242" s="19"/>
      <c r="AA242" s="19"/>
      <c r="AB242" s="19"/>
      <c r="AC242" s="19"/>
      <c r="AD242" s="19"/>
      <c r="AE242" s="19"/>
      <c r="AF242" s="19"/>
      <c r="AG242" s="19"/>
    </row>
    <row r="243" spans="1:33" s="18" customFormat="1">
      <c r="A243" s="20"/>
      <c r="B243" s="19"/>
      <c r="C243" s="19"/>
      <c r="D243" s="19"/>
      <c r="E243" s="20"/>
      <c r="F243" s="20"/>
      <c r="G243" s="20"/>
      <c r="H243" s="20"/>
      <c r="I243" s="20"/>
      <c r="J243" s="20"/>
      <c r="K243" s="20"/>
      <c r="L243" s="20"/>
      <c r="M243" s="20"/>
      <c r="N243" s="20"/>
      <c r="Q243" s="19"/>
      <c r="R243" s="19"/>
      <c r="S243" s="19"/>
      <c r="T243" s="19"/>
      <c r="U243" s="19"/>
      <c r="V243" s="19"/>
      <c r="W243" s="19"/>
      <c r="X243" s="19"/>
      <c r="Y243" s="19"/>
      <c r="Z243" s="19"/>
      <c r="AA243" s="19"/>
      <c r="AB243" s="19"/>
      <c r="AC243" s="19"/>
      <c r="AD243" s="19"/>
      <c r="AE243" s="19"/>
      <c r="AF243" s="19"/>
      <c r="AG243" s="19"/>
    </row>
    <row r="244" spans="1:33" s="18" customFormat="1">
      <c r="A244" s="20"/>
      <c r="B244" s="19"/>
      <c r="C244" s="19"/>
      <c r="D244" s="19"/>
      <c r="E244" s="20"/>
      <c r="F244" s="20"/>
      <c r="G244" s="20"/>
      <c r="H244" s="20"/>
      <c r="I244" s="20"/>
      <c r="J244" s="20"/>
      <c r="K244" s="20"/>
      <c r="L244" s="20"/>
      <c r="M244" s="20"/>
      <c r="N244" s="20"/>
      <c r="Q244" s="19"/>
      <c r="R244" s="19"/>
      <c r="S244" s="19"/>
      <c r="T244" s="19"/>
      <c r="U244" s="19"/>
      <c r="V244" s="19"/>
      <c r="W244" s="19"/>
      <c r="X244" s="19"/>
      <c r="Y244" s="19"/>
      <c r="Z244" s="19"/>
      <c r="AA244" s="19"/>
      <c r="AB244" s="19"/>
      <c r="AC244" s="19"/>
      <c r="AD244" s="19"/>
      <c r="AE244" s="19"/>
      <c r="AF244" s="19"/>
      <c r="AG244" s="19"/>
    </row>
    <row r="245" spans="1:33" s="18" customFormat="1">
      <c r="A245" s="20"/>
      <c r="B245" s="19"/>
      <c r="C245" s="19"/>
      <c r="D245" s="19"/>
      <c r="E245" s="20"/>
      <c r="F245" s="20"/>
      <c r="G245" s="20"/>
      <c r="H245" s="20"/>
      <c r="I245" s="20"/>
      <c r="J245" s="20"/>
      <c r="K245" s="20"/>
      <c r="L245" s="20"/>
      <c r="M245" s="20"/>
      <c r="N245" s="20"/>
      <c r="Q245" s="19"/>
      <c r="R245" s="19"/>
      <c r="S245" s="19"/>
      <c r="T245" s="19"/>
      <c r="U245" s="19"/>
      <c r="V245" s="19"/>
      <c r="W245" s="19"/>
      <c r="X245" s="19"/>
      <c r="Y245" s="19"/>
      <c r="Z245" s="19"/>
      <c r="AA245" s="19"/>
      <c r="AB245" s="19"/>
      <c r="AC245" s="19"/>
      <c r="AD245" s="19"/>
      <c r="AE245" s="19"/>
      <c r="AF245" s="19"/>
      <c r="AG245" s="19"/>
    </row>
    <row r="246" spans="1:33" s="18" customFormat="1" ht="24.9" customHeight="1">
      <c r="A246" s="20"/>
      <c r="B246" s="19"/>
      <c r="C246" s="19"/>
      <c r="D246" s="19"/>
      <c r="E246" s="20"/>
      <c r="F246" s="20"/>
      <c r="G246" s="20"/>
      <c r="H246" s="20"/>
      <c r="I246" s="20"/>
      <c r="J246" s="20"/>
      <c r="K246" s="20"/>
      <c r="L246" s="20"/>
      <c r="M246" s="20"/>
      <c r="N246" s="20"/>
      <c r="Q246" s="19"/>
      <c r="R246" s="19"/>
      <c r="S246" s="19"/>
      <c r="T246" s="19"/>
      <c r="U246" s="19"/>
      <c r="V246" s="19"/>
      <c r="W246" s="19"/>
      <c r="X246" s="19"/>
      <c r="Y246" s="19"/>
      <c r="Z246" s="19"/>
      <c r="AA246" s="19"/>
      <c r="AB246" s="19"/>
      <c r="AC246" s="19"/>
      <c r="AD246" s="19"/>
      <c r="AE246" s="19"/>
      <c r="AF246" s="19"/>
      <c r="AG246" s="19"/>
    </row>
    <row r="247" spans="1:33" s="18" customFormat="1">
      <c r="A247" s="20"/>
      <c r="B247" s="19"/>
      <c r="C247" s="19"/>
      <c r="D247" s="19"/>
      <c r="E247" s="20"/>
      <c r="F247" s="20"/>
      <c r="G247" s="20"/>
      <c r="H247" s="20"/>
      <c r="I247" s="20"/>
      <c r="J247" s="20"/>
      <c r="K247" s="20"/>
      <c r="L247" s="20"/>
      <c r="M247" s="20"/>
      <c r="N247" s="20"/>
      <c r="Q247" s="19"/>
      <c r="R247" s="19"/>
      <c r="S247" s="19"/>
      <c r="T247" s="19"/>
      <c r="U247" s="19"/>
      <c r="V247" s="19"/>
      <c r="W247" s="19"/>
      <c r="X247" s="19"/>
      <c r="Y247" s="19"/>
      <c r="Z247" s="19"/>
      <c r="AA247" s="19"/>
      <c r="AB247" s="19"/>
      <c r="AC247" s="19"/>
      <c r="AD247" s="19"/>
      <c r="AE247" s="19"/>
      <c r="AF247" s="19"/>
      <c r="AG247" s="19"/>
    </row>
    <row r="248" spans="1:33" s="18" customFormat="1">
      <c r="A248" s="20"/>
      <c r="B248" s="19"/>
      <c r="C248" s="19"/>
      <c r="D248" s="19"/>
      <c r="E248" s="20"/>
      <c r="F248" s="20"/>
      <c r="G248" s="20"/>
      <c r="H248" s="20"/>
      <c r="I248" s="20"/>
      <c r="J248" s="20"/>
      <c r="K248" s="20"/>
      <c r="L248" s="20"/>
      <c r="M248" s="20"/>
      <c r="N248" s="20"/>
      <c r="Q248" s="19"/>
      <c r="R248" s="19"/>
      <c r="S248" s="19"/>
      <c r="T248" s="19"/>
      <c r="U248" s="19"/>
      <c r="V248" s="19"/>
      <c r="W248" s="19"/>
      <c r="X248" s="19"/>
      <c r="Y248" s="19"/>
      <c r="Z248" s="19"/>
      <c r="AA248" s="19"/>
      <c r="AB248" s="19"/>
      <c r="AC248" s="19"/>
      <c r="AD248" s="19"/>
      <c r="AE248" s="19"/>
      <c r="AF248" s="19"/>
      <c r="AG248" s="19"/>
    </row>
    <row r="249" spans="1:33" s="18" customFormat="1">
      <c r="A249" s="20"/>
      <c r="B249" s="19"/>
      <c r="C249" s="19"/>
      <c r="D249" s="19"/>
      <c r="E249" s="20"/>
      <c r="F249" s="20"/>
      <c r="G249" s="20"/>
      <c r="H249" s="20"/>
      <c r="I249" s="20"/>
      <c r="J249" s="20"/>
      <c r="K249" s="20"/>
      <c r="L249" s="20"/>
      <c r="M249" s="20"/>
      <c r="N249" s="20"/>
      <c r="Q249" s="19"/>
      <c r="R249" s="19"/>
      <c r="S249" s="19"/>
      <c r="T249" s="19"/>
      <c r="U249" s="19"/>
      <c r="V249" s="19"/>
      <c r="W249" s="19"/>
      <c r="X249" s="19"/>
      <c r="Y249" s="19"/>
      <c r="Z249" s="19"/>
      <c r="AA249" s="19"/>
      <c r="AB249" s="19"/>
      <c r="AC249" s="19"/>
      <c r="AD249" s="19"/>
      <c r="AE249" s="19"/>
      <c r="AF249" s="19"/>
      <c r="AG249" s="19"/>
    </row>
    <row r="250" spans="1:33" s="18" customFormat="1">
      <c r="A250" s="20"/>
      <c r="B250" s="19"/>
      <c r="C250" s="19"/>
      <c r="D250" s="19"/>
      <c r="E250" s="20"/>
      <c r="F250" s="20"/>
      <c r="G250" s="20"/>
      <c r="H250" s="20"/>
      <c r="I250" s="20"/>
      <c r="J250" s="20"/>
      <c r="K250" s="20"/>
      <c r="L250" s="20"/>
      <c r="M250" s="20"/>
      <c r="N250" s="20"/>
      <c r="Q250" s="19"/>
      <c r="R250" s="19"/>
      <c r="S250" s="19"/>
      <c r="T250" s="19"/>
      <c r="U250" s="19"/>
      <c r="V250" s="19"/>
      <c r="W250" s="19"/>
      <c r="X250" s="19"/>
      <c r="Y250" s="19"/>
      <c r="Z250" s="19"/>
      <c r="AA250" s="19"/>
      <c r="AB250" s="19"/>
      <c r="AC250" s="19"/>
      <c r="AD250" s="19"/>
      <c r="AE250" s="19"/>
      <c r="AF250" s="19"/>
      <c r="AG250" s="19"/>
    </row>
    <row r="251" spans="1:33" s="18" customFormat="1">
      <c r="A251" s="20"/>
      <c r="B251" s="19"/>
      <c r="C251" s="19"/>
      <c r="D251" s="19"/>
      <c r="E251" s="20"/>
      <c r="F251" s="20"/>
      <c r="G251" s="20"/>
      <c r="H251" s="20"/>
      <c r="I251" s="20"/>
      <c r="J251" s="20"/>
      <c r="K251" s="20"/>
      <c r="L251" s="20"/>
      <c r="M251" s="20"/>
      <c r="N251" s="20"/>
      <c r="Q251" s="19"/>
      <c r="R251" s="19"/>
      <c r="S251" s="19"/>
      <c r="T251" s="19"/>
      <c r="U251" s="19"/>
      <c r="V251" s="19"/>
      <c r="W251" s="19"/>
      <c r="X251" s="19"/>
      <c r="Y251" s="19"/>
      <c r="Z251" s="19"/>
      <c r="AA251" s="19"/>
      <c r="AB251" s="19"/>
      <c r="AC251" s="19"/>
      <c r="AD251" s="19"/>
      <c r="AE251" s="19"/>
      <c r="AF251" s="19"/>
      <c r="AG251" s="19"/>
    </row>
    <row r="252" spans="1:33" s="18" customFormat="1">
      <c r="A252" s="20"/>
      <c r="B252" s="19"/>
      <c r="C252" s="19"/>
      <c r="D252" s="19"/>
      <c r="E252" s="20"/>
      <c r="F252" s="20"/>
      <c r="G252" s="20"/>
      <c r="H252" s="20"/>
      <c r="I252" s="20"/>
      <c r="J252" s="20"/>
      <c r="K252" s="20"/>
      <c r="L252" s="20"/>
      <c r="M252" s="20"/>
      <c r="N252" s="20"/>
      <c r="Q252" s="19"/>
      <c r="R252" s="19"/>
      <c r="S252" s="19"/>
      <c r="T252" s="19"/>
      <c r="U252" s="19"/>
      <c r="V252" s="19"/>
      <c r="W252" s="19"/>
      <c r="X252" s="19"/>
      <c r="Y252" s="19"/>
      <c r="Z252" s="19"/>
      <c r="AA252" s="19"/>
      <c r="AB252" s="19"/>
      <c r="AC252" s="19"/>
      <c r="AD252" s="19"/>
      <c r="AE252" s="19"/>
      <c r="AF252" s="19"/>
      <c r="AG252" s="19"/>
    </row>
    <row r="253" spans="1:33" s="18" customFormat="1">
      <c r="A253" s="20"/>
      <c r="B253" s="19"/>
      <c r="C253" s="19"/>
      <c r="D253" s="19"/>
      <c r="E253" s="20"/>
      <c r="F253" s="20"/>
      <c r="G253" s="20"/>
      <c r="H253" s="20"/>
      <c r="I253" s="20"/>
      <c r="J253" s="20"/>
      <c r="K253" s="20"/>
      <c r="L253" s="20"/>
      <c r="M253" s="20"/>
      <c r="N253" s="20"/>
      <c r="Q253" s="19"/>
      <c r="R253" s="19"/>
      <c r="S253" s="19"/>
      <c r="T253" s="19"/>
      <c r="U253" s="19"/>
      <c r="V253" s="19"/>
      <c r="W253" s="19"/>
      <c r="X253" s="19"/>
      <c r="Y253" s="19"/>
      <c r="Z253" s="19"/>
      <c r="AA253" s="19"/>
      <c r="AB253" s="19"/>
      <c r="AC253" s="19"/>
      <c r="AD253" s="19"/>
      <c r="AE253" s="19"/>
      <c r="AF253" s="19"/>
      <c r="AG253" s="19"/>
    </row>
    <row r="254" spans="1:33" s="18" customFormat="1">
      <c r="A254" s="20"/>
      <c r="B254" s="19"/>
      <c r="C254" s="19"/>
      <c r="D254" s="19"/>
      <c r="E254" s="20"/>
      <c r="F254" s="20"/>
      <c r="G254" s="20"/>
      <c r="H254" s="20"/>
      <c r="I254" s="20"/>
      <c r="J254" s="20"/>
      <c r="K254" s="20"/>
      <c r="L254" s="20"/>
      <c r="M254" s="20"/>
      <c r="N254" s="20"/>
      <c r="Q254" s="19"/>
      <c r="R254" s="19"/>
      <c r="S254" s="19"/>
      <c r="T254" s="19"/>
      <c r="U254" s="19"/>
      <c r="V254" s="19"/>
      <c r="W254" s="19"/>
      <c r="X254" s="19"/>
      <c r="Y254" s="19"/>
      <c r="Z254" s="19"/>
      <c r="AA254" s="19"/>
      <c r="AB254" s="19"/>
      <c r="AC254" s="19"/>
      <c r="AD254" s="19"/>
      <c r="AE254" s="19"/>
      <c r="AF254" s="19"/>
      <c r="AG254" s="19"/>
    </row>
    <row r="255" spans="1:33" s="18" customFormat="1">
      <c r="A255" s="20"/>
      <c r="B255" s="19"/>
      <c r="C255" s="19"/>
      <c r="D255" s="19"/>
      <c r="E255" s="20"/>
      <c r="F255" s="20"/>
      <c r="G255" s="20"/>
      <c r="H255" s="20"/>
      <c r="I255" s="20"/>
      <c r="J255" s="20"/>
      <c r="K255" s="20"/>
      <c r="L255" s="20"/>
      <c r="M255" s="20"/>
      <c r="N255" s="20"/>
      <c r="Q255" s="19"/>
      <c r="R255" s="19"/>
      <c r="S255" s="19"/>
      <c r="T255" s="19"/>
      <c r="U255" s="19"/>
      <c r="V255" s="19"/>
      <c r="W255" s="19"/>
      <c r="X255" s="19"/>
      <c r="Y255" s="19"/>
      <c r="Z255" s="19"/>
      <c r="AA255" s="19"/>
      <c r="AB255" s="19"/>
      <c r="AC255" s="19"/>
      <c r="AD255" s="19"/>
      <c r="AE255" s="19"/>
      <c r="AF255" s="19"/>
      <c r="AG255" s="19"/>
    </row>
    <row r="256" spans="1:33" s="18" customFormat="1">
      <c r="A256" s="20"/>
      <c r="B256" s="19"/>
      <c r="C256" s="19"/>
      <c r="D256" s="19"/>
      <c r="E256" s="20"/>
      <c r="F256" s="20"/>
      <c r="G256" s="20"/>
      <c r="H256" s="20"/>
      <c r="I256" s="20"/>
      <c r="J256" s="20"/>
      <c r="K256" s="20"/>
      <c r="L256" s="20"/>
      <c r="M256" s="20"/>
      <c r="N256" s="20"/>
      <c r="Q256" s="19"/>
      <c r="R256" s="19"/>
      <c r="S256" s="19"/>
      <c r="T256" s="19"/>
      <c r="U256" s="19"/>
      <c r="V256" s="19"/>
      <c r="W256" s="19"/>
      <c r="X256" s="19"/>
      <c r="Y256" s="19"/>
      <c r="Z256" s="19"/>
      <c r="AA256" s="19"/>
      <c r="AB256" s="19"/>
      <c r="AC256" s="19"/>
      <c r="AD256" s="19"/>
      <c r="AE256" s="19"/>
      <c r="AF256" s="19"/>
      <c r="AG256" s="19"/>
    </row>
    <row r="257" spans="1:33" s="18" customFormat="1">
      <c r="A257" s="20"/>
      <c r="B257" s="19"/>
      <c r="C257" s="19"/>
      <c r="D257" s="19"/>
      <c r="E257" s="20"/>
      <c r="F257" s="20"/>
      <c r="G257" s="20"/>
      <c r="H257" s="20"/>
      <c r="I257" s="20"/>
      <c r="J257" s="20"/>
      <c r="K257" s="20"/>
      <c r="L257" s="20"/>
      <c r="M257" s="20"/>
      <c r="N257" s="20"/>
      <c r="Q257" s="19"/>
      <c r="R257" s="19"/>
      <c r="S257" s="19"/>
      <c r="T257" s="19"/>
      <c r="U257" s="19"/>
      <c r="V257" s="19"/>
      <c r="W257" s="19"/>
      <c r="X257" s="19"/>
      <c r="Y257" s="19"/>
      <c r="Z257" s="19"/>
      <c r="AA257" s="19"/>
      <c r="AB257" s="19"/>
      <c r="AC257" s="19"/>
      <c r="AD257" s="19"/>
      <c r="AE257" s="19"/>
      <c r="AF257" s="19"/>
      <c r="AG257" s="19"/>
    </row>
    <row r="258" spans="1:33" s="18" customFormat="1">
      <c r="A258" s="20"/>
      <c r="B258" s="19"/>
      <c r="C258" s="19"/>
      <c r="D258" s="19"/>
      <c r="E258" s="20"/>
      <c r="F258" s="20"/>
      <c r="G258" s="20"/>
      <c r="H258" s="20"/>
      <c r="I258" s="20"/>
      <c r="J258" s="20"/>
      <c r="K258" s="20"/>
      <c r="L258" s="20"/>
      <c r="M258" s="20"/>
      <c r="N258" s="20"/>
      <c r="Q258" s="19"/>
      <c r="R258" s="19"/>
      <c r="S258" s="19"/>
      <c r="T258" s="19"/>
      <c r="U258" s="19"/>
      <c r="V258" s="19"/>
      <c r="W258" s="19"/>
      <c r="X258" s="19"/>
      <c r="Y258" s="19"/>
      <c r="Z258" s="19"/>
      <c r="AA258" s="19"/>
      <c r="AB258" s="19"/>
      <c r="AC258" s="19"/>
      <c r="AD258" s="19"/>
      <c r="AE258" s="19"/>
      <c r="AF258" s="19"/>
      <c r="AG258" s="19"/>
    </row>
    <row r="259" spans="1:33" s="18" customFormat="1">
      <c r="A259" s="20"/>
      <c r="B259" s="19"/>
      <c r="C259" s="19"/>
      <c r="D259" s="19"/>
      <c r="E259" s="20"/>
      <c r="F259" s="20"/>
      <c r="G259" s="20"/>
      <c r="H259" s="20"/>
      <c r="I259" s="20"/>
      <c r="J259" s="20"/>
      <c r="K259" s="20"/>
      <c r="L259" s="20"/>
      <c r="M259" s="20"/>
      <c r="N259" s="20"/>
      <c r="Q259" s="19"/>
      <c r="R259" s="19"/>
      <c r="S259" s="19"/>
      <c r="T259" s="19"/>
      <c r="U259" s="19"/>
      <c r="V259" s="19"/>
      <c r="W259" s="19"/>
      <c r="X259" s="19"/>
      <c r="Y259" s="19"/>
      <c r="Z259" s="19"/>
      <c r="AA259" s="19"/>
      <c r="AB259" s="19"/>
      <c r="AC259" s="19"/>
      <c r="AD259" s="19"/>
      <c r="AE259" s="19"/>
      <c r="AF259" s="19"/>
      <c r="AG259" s="19"/>
    </row>
    <row r="260" spans="1:33" s="18" customFormat="1">
      <c r="A260" s="20"/>
      <c r="B260" s="19"/>
      <c r="C260" s="19"/>
      <c r="D260" s="19"/>
      <c r="E260" s="20"/>
      <c r="F260" s="20"/>
      <c r="G260" s="20"/>
      <c r="H260" s="20"/>
      <c r="I260" s="20"/>
      <c r="J260" s="20"/>
      <c r="K260" s="20"/>
      <c r="L260" s="20"/>
      <c r="M260" s="20"/>
      <c r="N260" s="20"/>
      <c r="Q260" s="19"/>
      <c r="R260" s="19"/>
      <c r="S260" s="19"/>
      <c r="T260" s="19"/>
      <c r="U260" s="19"/>
      <c r="V260" s="19"/>
      <c r="W260" s="19"/>
      <c r="X260" s="19"/>
      <c r="Y260" s="19"/>
      <c r="Z260" s="19"/>
      <c r="AA260" s="19"/>
      <c r="AB260" s="19"/>
      <c r="AC260" s="19"/>
      <c r="AD260" s="19"/>
      <c r="AE260" s="19"/>
      <c r="AF260" s="19"/>
      <c r="AG260" s="19"/>
    </row>
    <row r="261" spans="1:33" s="18" customFormat="1">
      <c r="A261" s="20"/>
      <c r="B261" s="19"/>
      <c r="C261" s="19"/>
      <c r="D261" s="19"/>
      <c r="E261" s="20"/>
      <c r="F261" s="20"/>
      <c r="G261" s="20"/>
      <c r="H261" s="20"/>
      <c r="I261" s="20"/>
      <c r="J261" s="20"/>
      <c r="K261" s="20"/>
      <c r="L261" s="20"/>
      <c r="M261" s="20"/>
      <c r="N261" s="20"/>
      <c r="Q261" s="19"/>
      <c r="R261" s="19"/>
      <c r="S261" s="19"/>
      <c r="T261" s="19"/>
      <c r="U261" s="19"/>
      <c r="V261" s="19"/>
      <c r="W261" s="19"/>
      <c r="X261" s="19"/>
      <c r="Y261" s="19"/>
      <c r="Z261" s="19"/>
      <c r="AA261" s="19"/>
      <c r="AB261" s="19"/>
      <c r="AC261" s="19"/>
      <c r="AD261" s="19"/>
      <c r="AE261" s="19"/>
      <c r="AF261" s="19"/>
      <c r="AG261" s="19"/>
    </row>
    <row r="262" spans="1:33" s="18" customFormat="1">
      <c r="A262" s="20"/>
      <c r="B262" s="19"/>
      <c r="C262" s="19"/>
      <c r="D262" s="19"/>
      <c r="E262" s="20"/>
      <c r="F262" s="20"/>
      <c r="G262" s="20"/>
      <c r="H262" s="20"/>
      <c r="I262" s="20"/>
      <c r="J262" s="20"/>
      <c r="K262" s="20"/>
      <c r="L262" s="20"/>
      <c r="M262" s="20"/>
      <c r="N262" s="20"/>
      <c r="Q262" s="19"/>
      <c r="R262" s="19"/>
      <c r="S262" s="19"/>
      <c r="T262" s="19"/>
      <c r="U262" s="19"/>
      <c r="V262" s="19"/>
      <c r="W262" s="19"/>
      <c r="X262" s="19"/>
      <c r="Y262" s="19"/>
      <c r="Z262" s="19"/>
      <c r="AA262" s="19"/>
      <c r="AB262" s="19"/>
      <c r="AC262" s="19"/>
      <c r="AD262" s="19"/>
      <c r="AE262" s="19"/>
      <c r="AF262" s="19"/>
      <c r="AG262" s="19"/>
    </row>
    <row r="263" spans="1:33" s="18" customFormat="1">
      <c r="A263" s="20"/>
      <c r="B263" s="19"/>
      <c r="C263" s="19"/>
      <c r="D263" s="19"/>
      <c r="E263" s="20"/>
      <c r="F263" s="20"/>
      <c r="G263" s="20"/>
      <c r="H263" s="20"/>
      <c r="I263" s="20"/>
      <c r="J263" s="20"/>
      <c r="K263" s="20"/>
      <c r="L263" s="20"/>
      <c r="M263" s="20"/>
      <c r="N263" s="20"/>
      <c r="Q263" s="19"/>
      <c r="R263" s="19"/>
      <c r="S263" s="19"/>
      <c r="T263" s="19"/>
      <c r="U263" s="19"/>
      <c r="V263" s="19"/>
      <c r="W263" s="19"/>
      <c r="X263" s="19"/>
      <c r="Y263" s="19"/>
      <c r="Z263" s="19"/>
      <c r="AA263" s="19"/>
      <c r="AB263" s="19"/>
      <c r="AC263" s="19"/>
      <c r="AD263" s="19"/>
      <c r="AE263" s="19"/>
      <c r="AF263" s="19"/>
      <c r="AG263" s="19"/>
    </row>
    <row r="264" spans="1:33" s="18" customFormat="1">
      <c r="A264" s="20"/>
      <c r="B264" s="19"/>
      <c r="C264" s="19"/>
      <c r="D264" s="19"/>
      <c r="E264" s="20"/>
      <c r="F264" s="20"/>
      <c r="G264" s="20"/>
      <c r="H264" s="20"/>
      <c r="I264" s="20"/>
      <c r="J264" s="20"/>
      <c r="K264" s="20"/>
      <c r="L264" s="20"/>
      <c r="M264" s="20"/>
      <c r="N264" s="20"/>
      <c r="Q264" s="19"/>
      <c r="R264" s="19"/>
      <c r="S264" s="19"/>
      <c r="T264" s="19"/>
      <c r="U264" s="19"/>
      <c r="V264" s="19"/>
      <c r="W264" s="19"/>
      <c r="X264" s="19"/>
      <c r="Y264" s="19"/>
      <c r="Z264" s="19"/>
      <c r="AA264" s="19"/>
      <c r="AB264" s="19"/>
      <c r="AC264" s="19"/>
      <c r="AD264" s="19"/>
      <c r="AE264" s="19"/>
      <c r="AF264" s="19"/>
      <c r="AG264" s="19"/>
    </row>
    <row r="265" spans="1:33" s="18" customFormat="1">
      <c r="A265" s="20"/>
      <c r="B265" s="19"/>
      <c r="C265" s="19"/>
      <c r="D265" s="19"/>
      <c r="E265" s="20"/>
      <c r="F265" s="20"/>
      <c r="G265" s="20"/>
      <c r="H265" s="20"/>
      <c r="I265" s="20"/>
      <c r="J265" s="20"/>
      <c r="K265" s="20"/>
      <c r="L265" s="20"/>
      <c r="M265" s="20"/>
      <c r="N265" s="20"/>
      <c r="Q265" s="19"/>
      <c r="R265" s="19"/>
      <c r="S265" s="19"/>
      <c r="T265" s="19"/>
      <c r="U265" s="19"/>
      <c r="V265" s="19"/>
      <c r="W265" s="19"/>
      <c r="X265" s="19"/>
      <c r="Y265" s="19"/>
      <c r="Z265" s="19"/>
      <c r="AA265" s="19"/>
      <c r="AB265" s="19"/>
      <c r="AC265" s="19"/>
      <c r="AD265" s="19"/>
      <c r="AE265" s="19"/>
      <c r="AF265" s="19"/>
      <c r="AG265" s="19"/>
    </row>
    <row r="266" spans="1:33" s="18" customFormat="1">
      <c r="A266" s="20"/>
      <c r="B266" s="19"/>
      <c r="C266" s="19"/>
      <c r="D266" s="19"/>
      <c r="E266" s="20"/>
      <c r="F266" s="20"/>
      <c r="G266" s="20"/>
      <c r="H266" s="20"/>
      <c r="I266" s="20"/>
      <c r="J266" s="20"/>
      <c r="K266" s="20"/>
      <c r="L266" s="20"/>
      <c r="M266" s="20"/>
      <c r="N266" s="20"/>
      <c r="Q266" s="19"/>
      <c r="R266" s="19"/>
      <c r="S266" s="19"/>
      <c r="T266" s="19"/>
      <c r="U266" s="19"/>
      <c r="V266" s="19"/>
      <c r="W266" s="19"/>
      <c r="X266" s="19"/>
      <c r="Y266" s="19"/>
      <c r="Z266" s="19"/>
      <c r="AA266" s="19"/>
      <c r="AB266" s="19"/>
      <c r="AC266" s="19"/>
      <c r="AD266" s="19"/>
      <c r="AE266" s="19"/>
      <c r="AF266" s="19"/>
      <c r="AG266" s="19"/>
    </row>
    <row r="267" spans="1:33" s="18" customFormat="1">
      <c r="A267" s="20"/>
      <c r="B267" s="19"/>
      <c r="C267" s="19"/>
      <c r="D267" s="19"/>
      <c r="E267" s="20"/>
      <c r="F267" s="20"/>
      <c r="G267" s="20"/>
      <c r="H267" s="20"/>
      <c r="I267" s="20"/>
      <c r="J267" s="20"/>
      <c r="K267" s="20"/>
      <c r="L267" s="20"/>
      <c r="M267" s="20"/>
      <c r="N267" s="20"/>
      <c r="Q267" s="19"/>
      <c r="R267" s="19"/>
      <c r="S267" s="19"/>
      <c r="T267" s="19"/>
      <c r="U267" s="19"/>
      <c r="V267" s="19"/>
      <c r="W267" s="19"/>
      <c r="X267" s="19"/>
      <c r="Y267" s="19"/>
      <c r="Z267" s="19"/>
      <c r="AA267" s="19"/>
      <c r="AB267" s="19"/>
      <c r="AC267" s="19"/>
      <c r="AD267" s="19"/>
      <c r="AE267" s="19"/>
      <c r="AF267" s="19"/>
      <c r="AG267" s="19"/>
    </row>
    <row r="268" spans="1:33" s="18" customFormat="1">
      <c r="A268" s="20"/>
      <c r="B268" s="19"/>
      <c r="C268" s="19"/>
      <c r="D268" s="19"/>
      <c r="E268" s="20"/>
      <c r="F268" s="20"/>
      <c r="G268" s="20"/>
      <c r="H268" s="20"/>
      <c r="I268" s="20"/>
      <c r="J268" s="20"/>
      <c r="K268" s="20"/>
      <c r="L268" s="20"/>
      <c r="M268" s="20"/>
      <c r="N268" s="20"/>
      <c r="Q268" s="19"/>
      <c r="R268" s="19"/>
      <c r="S268" s="19"/>
      <c r="T268" s="19"/>
      <c r="U268" s="19"/>
      <c r="V268" s="19"/>
      <c r="W268" s="19"/>
      <c r="X268" s="19"/>
      <c r="Y268" s="19"/>
      <c r="Z268" s="19"/>
      <c r="AA268" s="19"/>
      <c r="AB268" s="19"/>
      <c r="AC268" s="19"/>
      <c r="AD268" s="19"/>
      <c r="AE268" s="19"/>
      <c r="AF268" s="19"/>
      <c r="AG268" s="19"/>
    </row>
    <row r="269" spans="1:33" s="18" customFormat="1">
      <c r="A269" s="20"/>
      <c r="B269" s="19"/>
      <c r="C269" s="19"/>
      <c r="D269" s="19"/>
      <c r="E269" s="20"/>
      <c r="F269" s="20"/>
      <c r="G269" s="20"/>
      <c r="H269" s="20"/>
      <c r="I269" s="20"/>
      <c r="J269" s="20"/>
      <c r="K269" s="20"/>
      <c r="L269" s="20"/>
      <c r="M269" s="20"/>
      <c r="N269" s="20"/>
      <c r="Q269" s="19"/>
      <c r="R269" s="19"/>
      <c r="S269" s="19"/>
      <c r="T269" s="19"/>
      <c r="U269" s="19"/>
      <c r="V269" s="19"/>
      <c r="W269" s="19"/>
      <c r="X269" s="19"/>
      <c r="Y269" s="19"/>
      <c r="Z269" s="19"/>
      <c r="AA269" s="19"/>
      <c r="AB269" s="19"/>
      <c r="AC269" s="19"/>
      <c r="AD269" s="19"/>
      <c r="AE269" s="19"/>
      <c r="AF269" s="19"/>
      <c r="AG269" s="19"/>
    </row>
    <row r="270" spans="1:33" s="18" customFormat="1">
      <c r="A270" s="20"/>
      <c r="B270" s="19"/>
      <c r="C270" s="19"/>
      <c r="D270" s="19"/>
      <c r="E270" s="20"/>
      <c r="F270" s="20"/>
      <c r="G270" s="20"/>
      <c r="H270" s="20"/>
      <c r="I270" s="20"/>
      <c r="J270" s="20"/>
      <c r="K270" s="20"/>
      <c r="L270" s="20"/>
      <c r="M270" s="20"/>
      <c r="N270" s="20"/>
      <c r="Q270" s="19"/>
      <c r="R270" s="19"/>
      <c r="S270" s="19"/>
      <c r="T270" s="19"/>
      <c r="U270" s="19"/>
      <c r="V270" s="19"/>
      <c r="W270" s="19"/>
      <c r="X270" s="19"/>
      <c r="Y270" s="19"/>
      <c r="Z270" s="19"/>
      <c r="AA270" s="19"/>
      <c r="AB270" s="19"/>
      <c r="AC270" s="19"/>
      <c r="AD270" s="19"/>
      <c r="AE270" s="19"/>
      <c r="AF270" s="19"/>
      <c r="AG270" s="19"/>
    </row>
    <row r="271" spans="1:33" s="18" customFormat="1">
      <c r="A271" s="20"/>
      <c r="B271" s="19"/>
      <c r="C271" s="19"/>
      <c r="D271" s="19"/>
      <c r="E271" s="20"/>
      <c r="F271" s="20"/>
      <c r="G271" s="20"/>
      <c r="H271" s="20"/>
      <c r="I271" s="20"/>
      <c r="J271" s="20"/>
      <c r="K271" s="20"/>
      <c r="L271" s="20"/>
      <c r="M271" s="20"/>
      <c r="N271" s="20"/>
      <c r="Q271" s="19"/>
      <c r="R271" s="19"/>
      <c r="S271" s="19"/>
      <c r="T271" s="19"/>
      <c r="U271" s="19"/>
      <c r="V271" s="19"/>
      <c r="W271" s="19"/>
      <c r="X271" s="19"/>
      <c r="Y271" s="19"/>
      <c r="Z271" s="19"/>
      <c r="AA271" s="19"/>
      <c r="AB271" s="19"/>
      <c r="AC271" s="19"/>
      <c r="AD271" s="19"/>
      <c r="AE271" s="19"/>
      <c r="AF271" s="19"/>
      <c r="AG271" s="19"/>
    </row>
    <row r="272" spans="1:33" s="18" customFormat="1">
      <c r="A272" s="20"/>
      <c r="B272" s="19"/>
      <c r="C272" s="19"/>
      <c r="D272" s="19"/>
      <c r="E272" s="20"/>
      <c r="F272" s="20"/>
      <c r="G272" s="20"/>
      <c r="H272" s="20"/>
      <c r="I272" s="20"/>
      <c r="J272" s="20"/>
      <c r="K272" s="20"/>
      <c r="L272" s="20"/>
      <c r="M272" s="20"/>
      <c r="N272" s="20"/>
      <c r="Q272" s="19"/>
      <c r="R272" s="19"/>
      <c r="S272" s="19"/>
      <c r="T272" s="19"/>
      <c r="U272" s="19"/>
      <c r="V272" s="19"/>
      <c r="W272" s="19"/>
      <c r="X272" s="19"/>
      <c r="Y272" s="19"/>
      <c r="Z272" s="19"/>
      <c r="AA272" s="19"/>
      <c r="AB272" s="19"/>
      <c r="AC272" s="19"/>
      <c r="AD272" s="19"/>
      <c r="AE272" s="19"/>
      <c r="AF272" s="19"/>
      <c r="AG272" s="19"/>
    </row>
    <row r="273" spans="1:33" s="18" customFormat="1">
      <c r="A273" s="20"/>
      <c r="B273" s="19"/>
      <c r="C273" s="19"/>
      <c r="D273" s="19"/>
      <c r="E273" s="20"/>
      <c r="F273" s="20"/>
      <c r="G273" s="20"/>
      <c r="H273" s="20"/>
      <c r="I273" s="20"/>
      <c r="J273" s="20"/>
      <c r="K273" s="20"/>
      <c r="L273" s="20"/>
      <c r="M273" s="20"/>
      <c r="N273" s="20"/>
      <c r="Q273" s="19"/>
      <c r="R273" s="19"/>
      <c r="S273" s="19"/>
      <c r="T273" s="19"/>
      <c r="U273" s="19"/>
      <c r="V273" s="19"/>
      <c r="W273" s="19"/>
      <c r="X273" s="19"/>
      <c r="Y273" s="19"/>
      <c r="Z273" s="19"/>
      <c r="AA273" s="19"/>
      <c r="AB273" s="19"/>
      <c r="AC273" s="19"/>
      <c r="AD273" s="19"/>
      <c r="AE273" s="19"/>
      <c r="AF273" s="19"/>
      <c r="AG273" s="19"/>
    </row>
    <row r="274" spans="1:33" s="18" customFormat="1">
      <c r="A274" s="20"/>
      <c r="B274" s="19"/>
      <c r="C274" s="19"/>
      <c r="D274" s="19"/>
      <c r="E274" s="20"/>
      <c r="F274" s="20"/>
      <c r="G274" s="20"/>
      <c r="H274" s="20"/>
      <c r="I274" s="20"/>
      <c r="J274" s="20"/>
      <c r="K274" s="20"/>
      <c r="L274" s="20"/>
      <c r="M274" s="20"/>
      <c r="N274" s="20"/>
      <c r="Q274" s="19"/>
      <c r="R274" s="19"/>
      <c r="S274" s="19"/>
      <c r="T274" s="19"/>
      <c r="U274" s="19"/>
      <c r="V274" s="19"/>
      <c r="W274" s="19"/>
      <c r="X274" s="19"/>
      <c r="Y274" s="19"/>
      <c r="Z274" s="19"/>
      <c r="AA274" s="19"/>
      <c r="AB274" s="19"/>
      <c r="AC274" s="19"/>
      <c r="AD274" s="19"/>
      <c r="AE274" s="19"/>
      <c r="AF274" s="19"/>
      <c r="AG274" s="19"/>
    </row>
    <row r="275" spans="1:33" s="18" customFormat="1">
      <c r="A275" s="20"/>
      <c r="B275" s="19"/>
      <c r="C275" s="19"/>
      <c r="D275" s="19"/>
      <c r="E275" s="20"/>
      <c r="F275" s="20"/>
      <c r="G275" s="20"/>
      <c r="H275" s="20"/>
      <c r="I275" s="20"/>
      <c r="J275" s="20"/>
      <c r="K275" s="20"/>
      <c r="L275" s="20"/>
      <c r="M275" s="20"/>
      <c r="N275" s="20"/>
      <c r="Q275" s="19"/>
      <c r="R275" s="19"/>
      <c r="S275" s="19"/>
      <c r="T275" s="19"/>
      <c r="U275" s="19"/>
      <c r="V275" s="19"/>
      <c r="W275" s="19"/>
      <c r="X275" s="19"/>
      <c r="Y275" s="19"/>
      <c r="Z275" s="19"/>
      <c r="AA275" s="19"/>
      <c r="AB275" s="19"/>
      <c r="AC275" s="19"/>
      <c r="AD275" s="19"/>
      <c r="AE275" s="19"/>
      <c r="AF275" s="19"/>
      <c r="AG275" s="19"/>
    </row>
    <row r="276" spans="1:33" s="18" customFormat="1">
      <c r="A276" s="20"/>
      <c r="B276" s="19"/>
      <c r="C276" s="19"/>
      <c r="D276" s="19"/>
      <c r="E276" s="20"/>
      <c r="F276" s="20"/>
      <c r="G276" s="20"/>
      <c r="H276" s="20"/>
      <c r="I276" s="20"/>
      <c r="J276" s="20"/>
      <c r="K276" s="20"/>
      <c r="L276" s="20"/>
      <c r="M276" s="20"/>
      <c r="N276" s="20"/>
      <c r="Q276" s="19"/>
      <c r="R276" s="19"/>
      <c r="S276" s="19"/>
      <c r="T276" s="19"/>
      <c r="U276" s="19"/>
      <c r="V276" s="19"/>
      <c r="W276" s="19"/>
      <c r="X276" s="19"/>
      <c r="Y276" s="19"/>
      <c r="Z276" s="19"/>
      <c r="AA276" s="19"/>
      <c r="AB276" s="19"/>
      <c r="AC276" s="19"/>
      <c r="AD276" s="19"/>
      <c r="AE276" s="19"/>
      <c r="AF276" s="19"/>
      <c r="AG276" s="19"/>
    </row>
    <row r="277" spans="1:33" s="18" customFormat="1">
      <c r="A277" s="20"/>
      <c r="B277" s="19"/>
      <c r="C277" s="19"/>
      <c r="D277" s="19"/>
      <c r="E277" s="20"/>
      <c r="F277" s="20"/>
      <c r="G277" s="20"/>
      <c r="H277" s="20"/>
      <c r="I277" s="20"/>
      <c r="J277" s="20"/>
      <c r="K277" s="20"/>
      <c r="L277" s="20"/>
      <c r="M277" s="20"/>
      <c r="N277" s="20"/>
      <c r="Q277" s="19"/>
      <c r="R277" s="19"/>
      <c r="S277" s="19"/>
      <c r="T277" s="19"/>
      <c r="U277" s="19"/>
      <c r="V277" s="19"/>
      <c r="W277" s="19"/>
      <c r="X277" s="19"/>
      <c r="Y277" s="19"/>
      <c r="Z277" s="19"/>
      <c r="AA277" s="19"/>
      <c r="AB277" s="19"/>
      <c r="AC277" s="19"/>
      <c r="AD277" s="19"/>
      <c r="AE277" s="19"/>
      <c r="AF277" s="19"/>
      <c r="AG277" s="19"/>
    </row>
    <row r="278" spans="1:33" s="18" customFormat="1">
      <c r="A278" s="20"/>
      <c r="B278" s="19"/>
      <c r="C278" s="19"/>
      <c r="D278" s="19"/>
      <c r="E278" s="20"/>
      <c r="F278" s="20"/>
      <c r="G278" s="20"/>
      <c r="H278" s="20"/>
      <c r="I278" s="20"/>
      <c r="J278" s="20"/>
      <c r="K278" s="20"/>
      <c r="L278" s="20"/>
      <c r="M278" s="20"/>
      <c r="N278" s="20"/>
      <c r="Q278" s="19"/>
      <c r="R278" s="19"/>
      <c r="S278" s="19"/>
      <c r="T278" s="19"/>
      <c r="U278" s="19"/>
      <c r="V278" s="19"/>
      <c r="W278" s="19"/>
      <c r="X278" s="19"/>
      <c r="Y278" s="19"/>
      <c r="Z278" s="19"/>
      <c r="AA278" s="19"/>
      <c r="AB278" s="19"/>
      <c r="AC278" s="19"/>
      <c r="AD278" s="19"/>
      <c r="AE278" s="19"/>
      <c r="AF278" s="19"/>
      <c r="AG278" s="19"/>
    </row>
    <row r="279" spans="1:33" s="18" customFormat="1">
      <c r="A279" s="20"/>
      <c r="B279" s="19"/>
      <c r="C279" s="19"/>
      <c r="D279" s="19"/>
      <c r="E279" s="20"/>
      <c r="F279" s="20"/>
      <c r="G279" s="20"/>
      <c r="H279" s="20"/>
      <c r="I279" s="20"/>
      <c r="J279" s="20"/>
      <c r="K279" s="20"/>
      <c r="L279" s="20"/>
      <c r="M279" s="20"/>
      <c r="N279" s="20"/>
      <c r="Q279" s="19"/>
      <c r="R279" s="19"/>
      <c r="S279" s="19"/>
      <c r="T279" s="19"/>
      <c r="U279" s="19"/>
      <c r="V279" s="19"/>
      <c r="W279" s="19"/>
      <c r="X279" s="19"/>
      <c r="Y279" s="19"/>
      <c r="Z279" s="19"/>
      <c r="AA279" s="19"/>
      <c r="AB279" s="19"/>
      <c r="AC279" s="19"/>
      <c r="AD279" s="19"/>
      <c r="AE279" s="19"/>
      <c r="AF279" s="19"/>
      <c r="AG279" s="19"/>
    </row>
    <row r="280" spans="1:33" s="18" customFormat="1">
      <c r="A280" s="20"/>
      <c r="B280" s="19"/>
      <c r="C280" s="19"/>
      <c r="D280" s="19"/>
      <c r="E280" s="20"/>
      <c r="F280" s="20"/>
      <c r="G280" s="20"/>
      <c r="H280" s="20"/>
      <c r="I280" s="20"/>
      <c r="J280" s="20"/>
      <c r="K280" s="20"/>
      <c r="L280" s="20"/>
      <c r="M280" s="20"/>
      <c r="N280" s="20"/>
      <c r="Q280" s="19"/>
      <c r="R280" s="19"/>
      <c r="S280" s="19"/>
      <c r="T280" s="19"/>
      <c r="U280" s="19"/>
      <c r="V280" s="19"/>
      <c r="W280" s="19"/>
      <c r="X280" s="19"/>
      <c r="Y280" s="19"/>
      <c r="Z280" s="19"/>
      <c r="AA280" s="19"/>
      <c r="AB280" s="19"/>
      <c r="AC280" s="19"/>
      <c r="AD280" s="19"/>
      <c r="AE280" s="19"/>
      <c r="AF280" s="19"/>
      <c r="AG280" s="19"/>
    </row>
    <row r="281" spans="1:33" s="18" customFormat="1">
      <c r="A281" s="20"/>
      <c r="B281" s="19"/>
      <c r="C281" s="19"/>
      <c r="D281" s="19"/>
      <c r="E281" s="20"/>
      <c r="F281" s="20"/>
      <c r="G281" s="20"/>
      <c r="H281" s="20"/>
      <c r="I281" s="20"/>
      <c r="J281" s="20"/>
      <c r="K281" s="20"/>
      <c r="L281" s="20"/>
      <c r="M281" s="20"/>
      <c r="N281" s="20"/>
      <c r="Q281" s="19"/>
      <c r="R281" s="19"/>
      <c r="S281" s="19"/>
      <c r="T281" s="19"/>
      <c r="U281" s="19"/>
      <c r="V281" s="19"/>
      <c r="W281" s="19"/>
      <c r="X281" s="19"/>
      <c r="Y281" s="19"/>
      <c r="Z281" s="19"/>
      <c r="AA281" s="19"/>
      <c r="AB281" s="19"/>
      <c r="AC281" s="19"/>
      <c r="AD281" s="19"/>
      <c r="AE281" s="19"/>
      <c r="AF281" s="19"/>
      <c r="AG281" s="19"/>
    </row>
    <row r="282" spans="1:33" s="18" customFormat="1">
      <c r="A282" s="20"/>
      <c r="B282" s="19"/>
      <c r="C282" s="19"/>
      <c r="D282" s="19"/>
      <c r="E282" s="20"/>
      <c r="F282" s="20"/>
      <c r="G282" s="20"/>
      <c r="H282" s="20"/>
      <c r="I282" s="20"/>
      <c r="J282" s="20"/>
      <c r="K282" s="20"/>
      <c r="L282" s="20"/>
      <c r="M282" s="20"/>
      <c r="N282" s="20"/>
      <c r="Q282" s="19"/>
      <c r="R282" s="19"/>
      <c r="S282" s="19"/>
      <c r="T282" s="19"/>
      <c r="U282" s="19"/>
      <c r="V282" s="19"/>
      <c r="W282" s="19"/>
      <c r="X282" s="19"/>
      <c r="Y282" s="19"/>
      <c r="Z282" s="19"/>
      <c r="AA282" s="19"/>
      <c r="AB282" s="19"/>
      <c r="AC282" s="19"/>
      <c r="AD282" s="19"/>
      <c r="AE282" s="19"/>
      <c r="AF282" s="19"/>
      <c r="AG282" s="19"/>
    </row>
    <row r="283" spans="1:33" s="18" customFormat="1">
      <c r="A283" s="20"/>
      <c r="B283" s="19"/>
      <c r="C283" s="19"/>
      <c r="D283" s="19"/>
      <c r="E283" s="20"/>
      <c r="F283" s="20"/>
      <c r="G283" s="20"/>
      <c r="H283" s="20"/>
      <c r="I283" s="20"/>
      <c r="J283" s="20"/>
      <c r="K283" s="20"/>
      <c r="L283" s="20"/>
      <c r="M283" s="20"/>
      <c r="N283" s="20"/>
      <c r="Q283" s="19"/>
      <c r="R283" s="19"/>
      <c r="S283" s="19"/>
      <c r="T283" s="19"/>
      <c r="U283" s="19"/>
      <c r="V283" s="19"/>
      <c r="W283" s="19"/>
      <c r="X283" s="19"/>
      <c r="Y283" s="19"/>
      <c r="Z283" s="19"/>
      <c r="AA283" s="19"/>
      <c r="AB283" s="19"/>
      <c r="AC283" s="19"/>
      <c r="AD283" s="19"/>
      <c r="AE283" s="19"/>
      <c r="AF283" s="19"/>
      <c r="AG283" s="19"/>
    </row>
    <row r="284" spans="1:33" s="18" customFormat="1">
      <c r="A284" s="20"/>
      <c r="B284" s="19"/>
      <c r="C284" s="19"/>
      <c r="D284" s="19"/>
      <c r="E284" s="20"/>
      <c r="F284" s="20"/>
      <c r="G284" s="20"/>
      <c r="H284" s="20"/>
      <c r="I284" s="20"/>
      <c r="J284" s="20"/>
      <c r="K284" s="20"/>
      <c r="L284" s="20"/>
      <c r="M284" s="20"/>
      <c r="N284" s="20"/>
      <c r="Q284" s="19"/>
      <c r="R284" s="19"/>
      <c r="S284" s="19"/>
      <c r="T284" s="19"/>
      <c r="U284" s="19"/>
      <c r="V284" s="19"/>
      <c r="W284" s="19"/>
      <c r="X284" s="19"/>
      <c r="Y284" s="19"/>
      <c r="Z284" s="19"/>
      <c r="AA284" s="19"/>
      <c r="AB284" s="19"/>
      <c r="AC284" s="19"/>
      <c r="AD284" s="19"/>
      <c r="AE284" s="19"/>
      <c r="AF284" s="19"/>
      <c r="AG284" s="19"/>
    </row>
    <row r="285" spans="1:33" s="18" customFormat="1">
      <c r="A285" s="20"/>
      <c r="B285" s="19"/>
      <c r="C285" s="19"/>
      <c r="D285" s="19"/>
      <c r="E285" s="20"/>
      <c r="F285" s="20"/>
      <c r="G285" s="20"/>
      <c r="H285" s="20"/>
      <c r="I285" s="20"/>
      <c r="J285" s="20"/>
      <c r="K285" s="20"/>
      <c r="L285" s="20"/>
      <c r="M285" s="20"/>
      <c r="N285" s="20"/>
      <c r="Q285" s="19"/>
      <c r="R285" s="19"/>
      <c r="S285" s="19"/>
      <c r="T285" s="19"/>
      <c r="U285" s="19"/>
      <c r="V285" s="19"/>
      <c r="W285" s="19"/>
      <c r="X285" s="19"/>
      <c r="Y285" s="19"/>
      <c r="Z285" s="19"/>
      <c r="AA285" s="19"/>
      <c r="AB285" s="19"/>
      <c r="AC285" s="19"/>
      <c r="AD285" s="19"/>
      <c r="AE285" s="19"/>
      <c r="AF285" s="19"/>
      <c r="AG285" s="19"/>
    </row>
    <row r="286" spans="1:33" s="18" customFormat="1">
      <c r="A286" s="20"/>
      <c r="B286" s="19"/>
      <c r="C286" s="19"/>
      <c r="D286" s="19"/>
      <c r="E286" s="20"/>
      <c r="F286" s="20"/>
      <c r="G286" s="20"/>
      <c r="H286" s="20"/>
      <c r="I286" s="20"/>
      <c r="J286" s="20"/>
      <c r="K286" s="20"/>
      <c r="L286" s="20"/>
      <c r="M286" s="20"/>
      <c r="N286" s="20"/>
      <c r="Q286" s="19"/>
      <c r="R286" s="19"/>
      <c r="S286" s="19"/>
      <c r="T286" s="19"/>
      <c r="U286" s="19"/>
      <c r="V286" s="19"/>
      <c r="W286" s="19"/>
      <c r="X286" s="19"/>
      <c r="Y286" s="19"/>
      <c r="Z286" s="19"/>
      <c r="AA286" s="19"/>
      <c r="AB286" s="19"/>
      <c r="AC286" s="19"/>
      <c r="AD286" s="19"/>
      <c r="AE286" s="19"/>
      <c r="AF286" s="19"/>
      <c r="AG286" s="19"/>
    </row>
    <row r="287" spans="1:33" s="18" customFormat="1">
      <c r="A287" s="20"/>
      <c r="B287" s="19"/>
      <c r="C287" s="19"/>
      <c r="D287" s="19"/>
      <c r="E287" s="20"/>
      <c r="F287" s="20"/>
      <c r="G287" s="20"/>
      <c r="H287" s="20"/>
      <c r="I287" s="20"/>
      <c r="J287" s="20"/>
      <c r="K287" s="20"/>
      <c r="L287" s="20"/>
      <c r="M287" s="20"/>
      <c r="N287" s="20"/>
      <c r="Q287" s="19"/>
      <c r="R287" s="19"/>
      <c r="S287" s="19"/>
      <c r="T287" s="19"/>
      <c r="U287" s="19"/>
      <c r="V287" s="19"/>
      <c r="W287" s="19"/>
      <c r="X287" s="19"/>
      <c r="Y287" s="19"/>
      <c r="Z287" s="19"/>
      <c r="AA287" s="19"/>
      <c r="AB287" s="19"/>
      <c r="AC287" s="19"/>
      <c r="AD287" s="19"/>
      <c r="AE287" s="19"/>
      <c r="AF287" s="19"/>
      <c r="AG287" s="19"/>
    </row>
    <row r="288" spans="1:33" s="18" customFormat="1">
      <c r="A288" s="20"/>
      <c r="B288" s="19"/>
      <c r="C288" s="19"/>
      <c r="D288" s="19"/>
      <c r="E288" s="20"/>
      <c r="F288" s="20"/>
      <c r="G288" s="20"/>
      <c r="H288" s="20"/>
      <c r="I288" s="20"/>
      <c r="J288" s="20"/>
      <c r="K288" s="20"/>
      <c r="L288" s="20"/>
      <c r="M288" s="20"/>
      <c r="N288" s="20"/>
      <c r="Q288" s="19"/>
      <c r="R288" s="19"/>
      <c r="S288" s="19"/>
      <c r="T288" s="19"/>
      <c r="U288" s="19"/>
      <c r="V288" s="19"/>
      <c r="W288" s="19"/>
      <c r="X288" s="19"/>
      <c r="Y288" s="19"/>
      <c r="Z288" s="19"/>
      <c r="AA288" s="19"/>
      <c r="AB288" s="19"/>
      <c r="AC288" s="19"/>
      <c r="AD288" s="19"/>
      <c r="AE288" s="19"/>
      <c r="AF288" s="19"/>
      <c r="AG288" s="19"/>
    </row>
    <row r="289" spans="1:33" s="18" customFormat="1">
      <c r="A289" s="20"/>
      <c r="B289" s="19"/>
      <c r="C289" s="19"/>
      <c r="D289" s="19"/>
      <c r="E289" s="20"/>
      <c r="F289" s="20"/>
      <c r="G289" s="20"/>
      <c r="H289" s="20"/>
      <c r="I289" s="20"/>
      <c r="J289" s="20"/>
      <c r="K289" s="20"/>
      <c r="L289" s="20"/>
      <c r="M289" s="20"/>
      <c r="N289" s="20"/>
      <c r="Q289" s="19"/>
      <c r="R289" s="19"/>
      <c r="S289" s="19"/>
      <c r="T289" s="19"/>
      <c r="U289" s="19"/>
      <c r="V289" s="19"/>
      <c r="W289" s="19"/>
      <c r="X289" s="19"/>
      <c r="Y289" s="19"/>
      <c r="Z289" s="19"/>
      <c r="AA289" s="19"/>
      <c r="AB289" s="19"/>
      <c r="AC289" s="19"/>
      <c r="AD289" s="19"/>
      <c r="AE289" s="19"/>
      <c r="AF289" s="19"/>
      <c r="AG289" s="19"/>
    </row>
    <row r="290" spans="1:33" s="18" customFormat="1">
      <c r="A290" s="20"/>
      <c r="B290" s="19"/>
      <c r="C290" s="19"/>
      <c r="D290" s="19"/>
      <c r="E290" s="20"/>
      <c r="F290" s="20"/>
      <c r="G290" s="20"/>
      <c r="H290" s="20"/>
      <c r="I290" s="20"/>
      <c r="J290" s="20"/>
      <c r="K290" s="20"/>
      <c r="L290" s="20"/>
      <c r="M290" s="20"/>
      <c r="N290" s="20"/>
      <c r="Q290" s="19"/>
      <c r="R290" s="19"/>
      <c r="S290" s="19"/>
      <c r="T290" s="19"/>
      <c r="U290" s="19"/>
      <c r="V290" s="19"/>
      <c r="W290" s="19"/>
      <c r="X290" s="19"/>
      <c r="Y290" s="19"/>
      <c r="Z290" s="19"/>
      <c r="AA290" s="19"/>
      <c r="AB290" s="19"/>
      <c r="AC290" s="19"/>
      <c r="AD290" s="19"/>
      <c r="AE290" s="19"/>
      <c r="AF290" s="19"/>
      <c r="AG290" s="19"/>
    </row>
    <row r="291" spans="1:33" s="18" customFormat="1">
      <c r="A291" s="20"/>
      <c r="B291" s="19"/>
      <c r="C291" s="19"/>
      <c r="D291" s="19"/>
      <c r="E291" s="20"/>
      <c r="F291" s="20"/>
      <c r="G291" s="20"/>
      <c r="H291" s="20"/>
      <c r="I291" s="20"/>
      <c r="J291" s="20"/>
      <c r="K291" s="20"/>
      <c r="L291" s="20"/>
      <c r="M291" s="20"/>
      <c r="N291" s="20"/>
      <c r="Q291" s="19"/>
      <c r="R291" s="19"/>
      <c r="S291" s="19"/>
      <c r="T291" s="19"/>
      <c r="U291" s="19"/>
      <c r="V291" s="19"/>
      <c r="W291" s="19"/>
      <c r="X291" s="19"/>
      <c r="Y291" s="19"/>
      <c r="Z291" s="19"/>
      <c r="AA291" s="19"/>
      <c r="AB291" s="19"/>
      <c r="AC291" s="19"/>
      <c r="AD291" s="19"/>
      <c r="AE291" s="19"/>
      <c r="AF291" s="19"/>
      <c r="AG291" s="19"/>
    </row>
    <row r="292" spans="1:33" s="18" customFormat="1">
      <c r="A292" s="20"/>
      <c r="B292" s="19"/>
      <c r="C292" s="19"/>
      <c r="D292" s="19"/>
      <c r="E292" s="20"/>
      <c r="F292" s="20"/>
      <c r="G292" s="20"/>
      <c r="H292" s="20"/>
      <c r="I292" s="20"/>
      <c r="J292" s="20"/>
      <c r="K292" s="20"/>
      <c r="L292" s="20"/>
      <c r="M292" s="20"/>
      <c r="N292" s="20"/>
      <c r="Q292" s="19"/>
      <c r="R292" s="19"/>
      <c r="S292" s="19"/>
      <c r="T292" s="19"/>
      <c r="U292" s="19"/>
      <c r="V292" s="19"/>
      <c r="W292" s="19"/>
      <c r="X292" s="19"/>
      <c r="Y292" s="19"/>
      <c r="Z292" s="19"/>
      <c r="AA292" s="19"/>
      <c r="AB292" s="19"/>
      <c r="AC292" s="19"/>
      <c r="AD292" s="19"/>
      <c r="AE292" s="19"/>
      <c r="AF292" s="19"/>
      <c r="AG292" s="19"/>
    </row>
    <row r="293" spans="1:33" s="18" customFormat="1">
      <c r="A293" s="20"/>
      <c r="B293" s="19"/>
      <c r="C293" s="19"/>
      <c r="D293" s="19"/>
      <c r="E293" s="20"/>
      <c r="F293" s="20"/>
      <c r="G293" s="20"/>
      <c r="H293" s="20"/>
      <c r="I293" s="20"/>
      <c r="J293" s="20"/>
      <c r="K293" s="20"/>
      <c r="L293" s="20"/>
      <c r="M293" s="20"/>
      <c r="N293" s="20"/>
      <c r="Q293" s="19"/>
      <c r="R293" s="19"/>
      <c r="S293" s="19"/>
      <c r="T293" s="19"/>
      <c r="U293" s="19"/>
      <c r="V293" s="19"/>
      <c r="W293" s="19"/>
      <c r="X293" s="19"/>
      <c r="Y293" s="19"/>
      <c r="Z293" s="19"/>
      <c r="AA293" s="19"/>
      <c r="AB293" s="19"/>
      <c r="AC293" s="19"/>
      <c r="AD293" s="19"/>
      <c r="AE293" s="19"/>
      <c r="AF293" s="19"/>
      <c r="AG293" s="19"/>
    </row>
    <row r="294" spans="1:33" s="18" customFormat="1">
      <c r="A294" s="20"/>
      <c r="B294" s="19"/>
      <c r="C294" s="19"/>
      <c r="D294" s="19"/>
      <c r="E294" s="20"/>
      <c r="F294" s="20"/>
      <c r="G294" s="20"/>
      <c r="H294" s="20"/>
      <c r="I294" s="20"/>
      <c r="J294" s="20"/>
      <c r="K294" s="20"/>
      <c r="L294" s="20"/>
      <c r="M294" s="20"/>
      <c r="N294" s="20"/>
      <c r="Q294" s="19"/>
      <c r="R294" s="19"/>
      <c r="S294" s="19"/>
      <c r="T294" s="19"/>
      <c r="U294" s="19"/>
      <c r="V294" s="19"/>
      <c r="W294" s="19"/>
      <c r="X294" s="19"/>
      <c r="Y294" s="19"/>
      <c r="Z294" s="19"/>
      <c r="AA294" s="19"/>
      <c r="AB294" s="19"/>
      <c r="AC294" s="19"/>
      <c r="AD294" s="19"/>
      <c r="AE294" s="19"/>
      <c r="AF294" s="19"/>
      <c r="AG294" s="19"/>
    </row>
  </sheetData>
  <autoFilter ref="A11:M103" xr:uid="{2B261DB3-E2C6-4BC1-97D8-7987C68217F0}"/>
  <mergeCells count="39">
    <mergeCell ref="A1:C4"/>
    <mergeCell ref="A5:M5"/>
    <mergeCell ref="A6:B6"/>
    <mergeCell ref="J6:K6"/>
    <mergeCell ref="L6:M6"/>
    <mergeCell ref="D1:L4"/>
    <mergeCell ref="C6:I6"/>
    <mergeCell ref="A7:B7"/>
    <mergeCell ref="J7:K7"/>
    <mergeCell ref="L7:M7"/>
    <mergeCell ref="A8:B8"/>
    <mergeCell ref="J8:K8"/>
    <mergeCell ref="L8:M8"/>
    <mergeCell ref="C7:I7"/>
    <mergeCell ref="C8:I8"/>
    <mergeCell ref="A9:B9"/>
    <mergeCell ref="J9:K9"/>
    <mergeCell ref="L9:M9"/>
    <mergeCell ref="A10:M10"/>
    <mergeCell ref="A122:B122"/>
    <mergeCell ref="C122:F122"/>
    <mergeCell ref="G122:K122"/>
    <mergeCell ref="L122:M122"/>
    <mergeCell ref="C9:I9"/>
    <mergeCell ref="A124:B124"/>
    <mergeCell ref="C124:F124"/>
    <mergeCell ref="G124:K124"/>
    <mergeCell ref="L124:M124"/>
    <mergeCell ref="O124:R124"/>
    <mergeCell ref="A123:B123"/>
    <mergeCell ref="C123:F123"/>
    <mergeCell ref="G123:K123"/>
    <mergeCell ref="L123:M123"/>
    <mergeCell ref="O123:R123"/>
    <mergeCell ref="A125:B125"/>
    <mergeCell ref="C125:F125"/>
    <mergeCell ref="G125:K125"/>
    <mergeCell ref="L125:M125"/>
    <mergeCell ref="O125:R125"/>
  </mergeCells>
  <phoneticPr fontId="28" type="noConversion"/>
  <printOptions horizontalCentered="1" verticalCentered="1"/>
  <pageMargins left="0.19685039370078741" right="0.19685039370078741" top="0.39370078740157483" bottom="0.78740157480314965" header="0.31496062992125984" footer="0.51181102362204722"/>
  <pageSetup scale="31" orientation="portrait" horizontalDpi="300" verticalDpi="300" r:id="rId1"/>
  <headerFooter alignWithMargins="0">
    <oddFooter xml:space="preserve">&amp;C&amp;"Bradley Hand ITC,Normal"&amp;8
&amp;R&amp;"Bradley Hand ITC,Normal"&amp;9 </oddFooter>
  </headerFooter>
  <drawing r:id="rId2"/>
  <legacyDrawing r:id="rId3"/>
  <oleObjects>
    <mc:AlternateContent xmlns:mc="http://schemas.openxmlformats.org/markup-compatibility/2006">
      <mc:Choice Requires="x14">
        <oleObject progId="CorelDraw.Graphic.16" shapeId="4097" r:id="rId4">
          <objectPr defaultSize="0" autoPict="0" r:id="rId5">
            <anchor moveWithCells="1" sizeWithCells="1">
              <from>
                <xdr:col>12</xdr:col>
                <xdr:colOff>3055620</xdr:colOff>
                <xdr:row>0</xdr:row>
                <xdr:rowOff>0</xdr:rowOff>
              </from>
              <to>
                <xdr:col>12</xdr:col>
                <xdr:colOff>3589020</xdr:colOff>
                <xdr:row>3</xdr:row>
                <xdr:rowOff>175260</xdr:rowOff>
              </to>
            </anchor>
          </objectPr>
        </oleObject>
      </mc:Choice>
      <mc:Fallback>
        <oleObject progId="CorelDraw.Graphic.16" shapeId="4097" r:id="rId4"/>
      </mc:Fallback>
    </mc:AlternateContent>
  </oleObjects>
  <extLst>
    <ext xmlns:x14="http://schemas.microsoft.com/office/spreadsheetml/2009/9/main" uri="{CCE6A557-97BC-4b89-ADB6-D9C93CAAB3DF}">
      <x14:dataValidations xmlns:xm="http://schemas.microsoft.com/office/excel/2006/main" disablePrompts="1" count="2">
        <x14:dataValidation type="list" allowBlank="1" showInputMessage="1" showErrorMessage="1" xr:uid="{37F7925B-6F32-450F-B5AC-4E86357BEA76}">
          <x14:formula1>
            <xm:f>Hoja1!$A$63:$A$74</xm:f>
          </x14:formula1>
          <xm:sqref>L105:L120</xm:sqref>
        </x14:dataValidation>
        <x14:dataValidation type="list" allowBlank="1" showInputMessage="1" showErrorMessage="1" xr:uid="{F39884CE-887D-4746-AB88-5037D11B0890}">
          <x14:formula1>
            <xm:f>Hoja1!$A$24:$A$48</xm:f>
          </x14:formula1>
          <xm:sqref>L72:M72 L79:M79</xm:sqref>
        </x14:dataValidation>
      </x14:dataValidation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42abd304-da40-4790-a833-21361dfa678a">
      <Terms xmlns="http://schemas.microsoft.com/office/infopath/2007/PartnerControls"/>
    </lcf76f155ced4ddcb4097134ff3c332f>
    <TaxCatchAll xmlns="5e75149e-2e23-4e43-b9c7-271c876621cf"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o" ma:contentTypeID="0x01010026049104E5FA1947A836A7B639395385" ma:contentTypeVersion="18" ma:contentTypeDescription="Crear nuevo documento." ma:contentTypeScope="" ma:versionID="ad9f3004e8bf88a9f8fba0541ee3de98">
  <xsd:schema xmlns:xsd="http://www.w3.org/2001/XMLSchema" xmlns:xs="http://www.w3.org/2001/XMLSchema" xmlns:p="http://schemas.microsoft.com/office/2006/metadata/properties" xmlns:ns2="42abd304-da40-4790-a833-21361dfa678a" xmlns:ns3="5e75149e-2e23-4e43-b9c7-271c876621cf" targetNamespace="http://schemas.microsoft.com/office/2006/metadata/properties" ma:root="true" ma:fieldsID="4aeb43c7634d1ce0ebe60585fca1a513" ns2:_="" ns3:_="">
    <xsd:import namespace="42abd304-da40-4790-a833-21361dfa678a"/>
    <xsd:import namespace="5e75149e-2e23-4e43-b9c7-271c876621cf"/>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OCR" minOccurs="0"/>
                <xsd:element ref="ns2:MediaServiceDateTaken" minOccurs="0"/>
                <xsd:element ref="ns2:MediaServiceLocation" minOccurs="0"/>
                <xsd:element ref="ns2:MediaServiceGenerationTime" minOccurs="0"/>
                <xsd:element ref="ns2:MediaServiceEventHashCode" minOccurs="0"/>
                <xsd:element ref="ns3:SharedWithUsers" minOccurs="0"/>
                <xsd:element ref="ns3:SharedWithDetails" minOccurs="0"/>
                <xsd:element ref="ns2:MediaServiceAutoKeyPoints" minOccurs="0"/>
                <xsd:element ref="ns2:MediaServiceKeyPoints" minOccurs="0"/>
                <xsd:element ref="ns2:MediaLengthInSeconds" minOccurs="0"/>
                <xsd:element ref="ns2:lcf76f155ced4ddcb4097134ff3c332f" minOccurs="0"/>
                <xsd:element ref="ns3:TaxCatchAll"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2abd304-da40-4790-a833-21361dfa678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ServiceLocation" ma:index="13" nillable="true" ma:displayName="Location" ma:internalName="MediaServiceLocation" ma:readOnly="true">
      <xsd:simpleType>
        <xsd:restriction base="dms:Text"/>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AutoKeyPoints" ma:index="18" nillable="true" ma:displayName="MediaServiceAutoKeyPoints" ma:hidden="true" ma:internalName="MediaServiceAutoKeyPoints" ma:readOnly="true">
      <xsd:simpleType>
        <xsd:restriction base="dms:Note"/>
      </xsd:simpleType>
    </xsd:element>
    <xsd:element name="MediaServiceKeyPoints" ma:index="19" nillable="true" ma:displayName="KeyPoints" ma:internalName="MediaServiceKeyPoints" ma:readOnly="true">
      <xsd:simpleType>
        <xsd:restriction base="dms:Note">
          <xsd:maxLength value="255"/>
        </xsd:restriction>
      </xsd:simpleType>
    </xsd:element>
    <xsd:element name="MediaLengthInSeconds" ma:index="20" nillable="true" ma:displayName="MediaLengthInSeconds" ma:hidden="true" ma:internalName="MediaLengthInSeconds" ma:readOnly="true">
      <xsd:simpleType>
        <xsd:restriction base="dms:Unknown"/>
      </xsd:simpleType>
    </xsd:element>
    <xsd:element name="lcf76f155ced4ddcb4097134ff3c332f" ma:index="22" nillable="true" ma:taxonomy="true" ma:internalName="lcf76f155ced4ddcb4097134ff3c332f" ma:taxonomyFieldName="MediaServiceImageTags" ma:displayName="Etiquetas de imagen" ma:readOnly="false" ma:fieldId="{5cf76f15-5ced-4ddc-b409-7134ff3c332f}" ma:taxonomyMulti="true" ma:sspId="164f4256-8fed-411a-9226-d70478df66a1"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5e75149e-2e23-4e43-b9c7-271c876621cf" elementFormDefault="qualified">
    <xsd:import namespace="http://schemas.microsoft.com/office/2006/documentManagement/types"/>
    <xsd:import namespace="http://schemas.microsoft.com/office/infopath/2007/PartnerControls"/>
    <xsd:element name="SharedWithUsers" ma:index="16" nillable="true" ma:displayName="Compartido c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7" nillable="true" ma:displayName="Detalles de uso compartido" ma:internalName="SharedWithDetails" ma:readOnly="true">
      <xsd:simpleType>
        <xsd:restriction base="dms:Note">
          <xsd:maxLength value="255"/>
        </xsd:restriction>
      </xsd:simpleType>
    </xsd:element>
    <xsd:element name="TaxCatchAll" ma:index="23" nillable="true" ma:displayName="Taxonomy Catch All Column" ma:hidden="true" ma:list="{09f4fb77-b4a9-44a3-9c8d-877d16124564}" ma:internalName="TaxCatchAll" ma:showField="CatchAllData" ma:web="5e75149e-2e23-4e43-b9c7-271c876621cf">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DEBCD142-C720-46A5-8E27-B4C8352FEA8E}">
  <ds:schemaRefs>
    <ds:schemaRef ds:uri="http://schemas.microsoft.com/sharepoint/v3/contenttype/forms"/>
  </ds:schemaRefs>
</ds:datastoreItem>
</file>

<file path=customXml/itemProps2.xml><?xml version="1.0" encoding="utf-8"?>
<ds:datastoreItem xmlns:ds="http://schemas.openxmlformats.org/officeDocument/2006/customXml" ds:itemID="{11C86622-2469-477D-AA84-F7FD58851211}">
  <ds:schemaRefs>
    <ds:schemaRef ds:uri="http://schemas.microsoft.com/office/2006/metadata/properties"/>
    <ds:schemaRef ds:uri="http://schemas.microsoft.com/office/infopath/2007/PartnerControls"/>
    <ds:schemaRef ds:uri="42abd304-da40-4790-a833-21361dfa678a"/>
    <ds:schemaRef ds:uri="5e75149e-2e23-4e43-b9c7-271c876621cf"/>
  </ds:schemaRefs>
</ds:datastoreItem>
</file>

<file path=customXml/itemProps3.xml><?xml version="1.0" encoding="utf-8"?>
<ds:datastoreItem xmlns:ds="http://schemas.openxmlformats.org/officeDocument/2006/customXml" ds:itemID="{1DB0B7F5-B011-4F56-BD00-B578175F5C5A}">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42abd304-da40-4790-a833-21361dfa678a"/>
    <ds:schemaRef ds:uri="5e75149e-2e23-4e43-b9c7-271c876621cf"/>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8</vt:i4>
      </vt:variant>
      <vt:variant>
        <vt:lpstr>Rangos con nombre</vt:lpstr>
      </vt:variant>
      <vt:variant>
        <vt:i4>6</vt:i4>
      </vt:variant>
    </vt:vector>
  </HeadingPairs>
  <TitlesOfParts>
    <vt:vector size="14" baseType="lpstr">
      <vt:lpstr>Hoja1</vt:lpstr>
      <vt:lpstr>Informe</vt:lpstr>
      <vt:lpstr>Inspección DCVG</vt:lpstr>
      <vt:lpstr>Hoja2</vt:lpstr>
      <vt:lpstr>GRAFICA DCVG</vt:lpstr>
      <vt:lpstr>Resistividad</vt:lpstr>
      <vt:lpstr>Gráfica Resistividad</vt:lpstr>
      <vt:lpstr>Hallazgos</vt:lpstr>
      <vt:lpstr>'GRAFICA DCVG'!Área_de_impresión</vt:lpstr>
      <vt:lpstr>'Gráfica Resistividad'!Área_de_impresión</vt:lpstr>
      <vt:lpstr>Hallazgos!Área_de_impresión</vt:lpstr>
      <vt:lpstr>Informe!Área_de_impresión</vt:lpstr>
      <vt:lpstr>'Inspección DCVG'!Área_de_impresión</vt:lpstr>
      <vt:lpstr>Resistividad!Área_de_impresión</vt:lpstr>
    </vt:vector>
  </TitlesOfParts>
  <Manager/>
  <Company>HP</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Roberto Armenta</dc:creator>
  <cp:keywords/>
  <dc:description/>
  <cp:lastModifiedBy>Edwin Ricardo Lopez Ruiz</cp:lastModifiedBy>
  <cp:revision/>
  <dcterms:created xsi:type="dcterms:W3CDTF">2014-05-27T21:14:49Z</dcterms:created>
  <dcterms:modified xsi:type="dcterms:W3CDTF">2026-07-31T14:13:16Z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3d538fd-7cd2-4b8b-bd42-f6ee8cc1e568_Enabled">
    <vt:lpwstr>true</vt:lpwstr>
  </property>
  <property fmtid="{D5CDD505-2E9C-101B-9397-08002B2CF9AE}" pid="3" name="MSIP_Label_d3d538fd-7cd2-4b8b-bd42-f6ee8cc1e568_SetDate">
    <vt:lpwstr>2021-07-22T20:22:40Z</vt:lpwstr>
  </property>
  <property fmtid="{D5CDD505-2E9C-101B-9397-08002B2CF9AE}" pid="4" name="MSIP_Label_d3d538fd-7cd2-4b8b-bd42-f6ee8cc1e568_Method">
    <vt:lpwstr>Standard</vt:lpwstr>
  </property>
  <property fmtid="{D5CDD505-2E9C-101B-9397-08002B2CF9AE}" pid="5" name="MSIP_Label_d3d538fd-7cd2-4b8b-bd42-f6ee8cc1e568_Name">
    <vt:lpwstr>d3d538fd-7cd2-4b8b-bd42-f6ee8cc1e568</vt:lpwstr>
  </property>
  <property fmtid="{D5CDD505-2E9C-101B-9397-08002B2CF9AE}" pid="6" name="MSIP_Label_d3d538fd-7cd2-4b8b-bd42-f6ee8cc1e568_SiteId">
    <vt:lpwstr>255bd3b3-8412-4e31-a3ec-56916c7ae8c0</vt:lpwstr>
  </property>
  <property fmtid="{D5CDD505-2E9C-101B-9397-08002B2CF9AE}" pid="7" name="MSIP_Label_d3d538fd-7cd2-4b8b-bd42-f6ee8cc1e568_ActionId">
    <vt:lpwstr>99f1f67c-dfbb-4a52-8239-674d791d4624</vt:lpwstr>
  </property>
  <property fmtid="{D5CDD505-2E9C-101B-9397-08002B2CF9AE}" pid="8" name="MSIP_Label_d3d538fd-7cd2-4b8b-bd42-f6ee8cc1e568_ContentBits">
    <vt:lpwstr>0</vt:lpwstr>
  </property>
  <property fmtid="{D5CDD505-2E9C-101B-9397-08002B2CF9AE}" pid="9" name="ContentTypeId">
    <vt:lpwstr>0x01010026049104E5FA1947A836A7B639395385</vt:lpwstr>
  </property>
  <property fmtid="{D5CDD505-2E9C-101B-9397-08002B2CF9AE}" pid="10" name="MediaServiceImageTags">
    <vt:lpwstr/>
  </property>
</Properties>
</file>