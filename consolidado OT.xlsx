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dwin\Downloads\"/>
    </mc:Choice>
  </mc:AlternateContent>
  <xr:revisionPtr revIDLastSave="0" documentId="13_ncr:1_{A2FCBD92-5A1D-49E5-96FE-3390F6C6FC64}" xr6:coauthVersionLast="47" xr6:coauthVersionMax="47" xr10:uidLastSave="{00000000-0000-0000-0000-000000000000}"/>
  <bookViews>
    <workbookView xWindow="-108" yWindow="-108" windowWidth="23256" windowHeight="13176" firstSheet="1" activeTab="2" xr2:uid="{AA262360-B6CF-4C36-A6B9-CC3C86C52EE6}"/>
  </bookViews>
  <sheets>
    <sheet name="2025" sheetId="6" r:id="rId1"/>
    <sheet name="Sur_T1" sheetId="2" r:id="rId2"/>
    <sheet name="Sur_T2" sheetId="7" r:id="rId3"/>
    <sheet name="Hoja3" sheetId="9" r:id="rId4"/>
  </sheets>
  <externalReferences>
    <externalReference r:id="rId5"/>
    <externalReference r:id="rId6"/>
  </externalReferences>
  <definedNames>
    <definedName name="\0">#REF!</definedName>
    <definedName name="\01">#REF!</definedName>
    <definedName name="\z">#REF!</definedName>
    <definedName name="\z1">#REF!</definedName>
    <definedName name="_DAT11">#REF!</definedName>
    <definedName name="_DAT2">#REF!</definedName>
    <definedName name="_DAT3">#REF!</definedName>
    <definedName name="_DAT4">#REF!</definedName>
    <definedName name="_DAT6">#REF!</definedName>
    <definedName name="_DAT7">#REF!</definedName>
    <definedName name="_DAT8">#REF!</definedName>
    <definedName name="_xlnm._FilterDatabase" localSheetId="0" hidden="1">'2025'!$A$1:$W$105</definedName>
    <definedName name="_xlnm._FilterDatabase" localSheetId="3" hidden="1">Hoja3!$A$1:$L$23</definedName>
    <definedName name="_xlnm._FilterDatabase">#REF!</definedName>
    <definedName name="_Order1" hidden="1">0</definedName>
    <definedName name="_Order2" hidden="1">255</definedName>
    <definedName name="_R" hidden="1">{#N/A,#N/A,FALSE,"GRAFICO";#N/A,#N/A,FALSE,"CAJA (2)";#N/A,#N/A,FALSE,"TERCEROS-PROMEDIO";#N/A,#N/A,FALSE,"CAJA";#N/A,#N/A,FALSE,"INGRESOS1995-2003";#N/A,#N/A,FALSE,"GASTOS1995-2003"}</definedName>
    <definedName name="A" localSheetId="0" hidden="1">{#N/A,#N/A,FALSE,"GRAFICO";#N/A,#N/A,FALSE,"CAJA (2)";#N/A,#N/A,FALSE,"TERCEROS-PROMEDIO";#N/A,#N/A,FALSE,"CAJA";#N/A,#N/A,FALSE,"INGRESOS1995-2003";#N/A,#N/A,FALSE,"GASTOS1995-2003"}</definedName>
    <definedName name="a">#REF!</definedName>
    <definedName name="AAA">#REF!</definedName>
    <definedName name="ACT">#REF!</definedName>
    <definedName name="ACTDEUD">#REF!</definedName>
    <definedName name="ACTENER">#REF!</definedName>
    <definedName name="ACTESC">#REF!</definedName>
    <definedName name="ACTINVER">#REF!</definedName>
    <definedName name="actividades">#REF!</definedName>
    <definedName name="ACTTARIF">#REF!</definedName>
    <definedName name="Albeiro_Antonio_Sanchez_Arias">#REF!</definedName>
    <definedName name="AlcanceProyecto">#REF!</definedName>
    <definedName name="APPLUS">#REF!</definedName>
    <definedName name="aq">#REF!</definedName>
    <definedName name="_xlnm.Print_Area">#REF!</definedName>
    <definedName name="as">#REF!</definedName>
    <definedName name="asd">#REF!</definedName>
    <definedName name="ASDF">#REF!,#REF!,#REF!,#REF!,#REF!,#REF!,#REF!,#REF!,#REF!,#REF!,#REF!,#REF!</definedName>
    <definedName name="AUTO">#REF!</definedName>
    <definedName name="B" localSheetId="0">{"PYGS",#N/A,FALSE,"PYG";"ACTIS",#N/A,FALSE,"BCE_GRAL-ACTIVO";"PASIS",#N/A,FALSE,"BCE_GRAL-PASIVO-PATRIM";"CAJAS",#N/A,FALSE,"CAJA"}</definedName>
    <definedName name="b" localSheetId="1">(PeríodoEnReal*(#REF!&gt;0))*PeríodoEnPlan</definedName>
    <definedName name="b" localSheetId="2">(PeríodoEnReal*(#REF!&gt;0))*PeríodoEnPlan</definedName>
    <definedName name="b">(PeríodoEnReal*(#REF!&gt;0))*PeríodoEnPlan</definedName>
    <definedName name="base">#REF!</definedName>
    <definedName name="base1">#REF!</definedName>
    <definedName name="base2">#REF!</definedName>
    <definedName name="_xlnm.Database">#REF!</definedName>
    <definedName name="basep">#REF!</definedName>
    <definedName name="BC">#REF!</definedName>
    <definedName name="BENEF.UNIT.">#REF!</definedName>
    <definedName name="bm">#REF!</definedName>
    <definedName name="CajDol1">#REF!</definedName>
    <definedName name="CajDol10">#REF!</definedName>
    <definedName name="CajDol11">#REF!</definedName>
    <definedName name="CajDol12">#REF!</definedName>
    <definedName name="CajDol2">#REF!</definedName>
    <definedName name="CajDol3">#REF!</definedName>
    <definedName name="CajDol4">#REF!</definedName>
    <definedName name="CajDol5">#REF!</definedName>
    <definedName name="CajDol6">#REF!</definedName>
    <definedName name="CajDol7">#REF!</definedName>
    <definedName name="CajDol8">#REF!</definedName>
    <definedName name="CajDol9">#REF!</definedName>
    <definedName name="CAMPOS_Datos">#REF!</definedName>
    <definedName name="CAMPOS_RRHH">#REF!</definedName>
    <definedName name="CARGA">#REF!</definedName>
    <definedName name="cliente_sector">#REF!</definedName>
    <definedName name="CodigoInversion">#REF!</definedName>
    <definedName name="CodigoProyecto">#REF!</definedName>
    <definedName name="CODIGOS">#REF!</definedName>
    <definedName name="COMP">#REF!</definedName>
    <definedName name="CONSOLIDADO" localSheetId="2">#REF!</definedName>
    <definedName name="CONSOLIDADO">[1]!Tabla12[#All]</definedName>
    <definedName name="CONSULTA_PRINCIPAL_REGISTRO_OBRA">#REF!</definedName>
    <definedName name="Consumo">#REF!</definedName>
    <definedName name="CONTRATISTA">#REF!,#REF!,#REF!,#REF!,#REF!,#REF!,#REF!,#REF!,#REF!,#REF!,#REF!,#REF!</definedName>
    <definedName name="_xlnm.Criteria" hidden="1">{#N/A,#N/A,FALSE,"GRAFICO";#N/A,#N/A,FALSE,"CAJA (2)";#N/A,#N/A,FALSE,"TERCEROS-PROMEDIO";#N/A,#N/A,FALSE,"CAJA";#N/A,#N/A,FALSE,"INGRESOS1995-2003";#N/A,#N/A,FALSE,"GASTOS1995-2003"}</definedName>
    <definedName name="crt" hidden="1">{#N/A,#N/A,FALSE,"GRAFICO";#N/A,#N/A,FALSE,"CAJA (2)";#N/A,#N/A,FALSE,"TERCEROS-PROMEDIO";#N/A,#N/A,FALSE,"CAJA";#N/A,#N/A,FALSE,"INGRESOS1995-2003";#N/A,#N/A,FALSE,"GASTOS1995-2003"}</definedName>
    <definedName name="CRTD" hidden="1">{"PYGT",#N/A,FALSE,"PYG";"ACTIT",#N/A,FALSE,"BCE_GRAL-ACTIVO";"PASIT",#N/A,FALSE,"BCE_GRAL-PASIVO-PATRIM";"CAJAT",#N/A,FALSE,"CAJA"}</definedName>
    <definedName name="D" localSheetId="0" hidden="1">{"PYGT",#N/A,FALSE,"PYG";"ACTIT",#N/A,FALSE,"BCE_GRAL-ACTIVO";"PASIT",#N/A,FALSE,"BCE_GRAL-PASIVO-PATRIM";"CAJAT",#N/A,FALSE,"CAJA"}</definedName>
    <definedName name="d">#REF!</definedName>
    <definedName name="DATA">#REF!</definedName>
    <definedName name="DATA1" localSheetId="0">'[2]4-trimestre'!#REF!</definedName>
    <definedName name="DATA1">#REF!</definedName>
    <definedName name="DATA10">#REF!</definedName>
    <definedName name="DATA11">#REF!</definedName>
    <definedName name="DATA12">#REF!</definedName>
    <definedName name="DATA13" localSheetId="0">'[2]4-trimestre'!#REF!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2">#REF!</definedName>
    <definedName name="DATA3" localSheetId="0">'[2]4-trimestre'!#REF!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os" localSheetId="0">#REF!</definedName>
    <definedName name="DATOS" localSheetId="2">#REF!</definedName>
    <definedName name="DATOS">[1]!Tabla12[#All]</definedName>
    <definedName name="dd">#REF!</definedName>
    <definedName name="DEPCOL">#REF!</definedName>
    <definedName name="deptoscol">#REF!</definedName>
    <definedName name="Desc_Dotacion">#REF!</definedName>
    <definedName name="Diario_Mateirales">#REF!</definedName>
    <definedName name="DIEGO">#REF!</definedName>
    <definedName name="disco">#REF!</definedName>
    <definedName name="DISTRIBUCION" hidden="1">{#N/A,#N/A,FALSE,"GRAFICO";#N/A,#N/A,FALSE,"CAJA (2)";#N/A,#N/A,FALSE,"TERCEROS-PROMEDIO";#N/A,#N/A,FALSE,"CAJA";#N/A,#N/A,FALSE,"INGRESOS1995-2003";#N/A,#N/A,FALSE,"GASTOS1995-2003"}</definedName>
    <definedName name="Dólar">#REF!</definedName>
    <definedName name="Dotacion">#REF!</definedName>
    <definedName name="ds" hidden="1">{"PYGS",#N/A,FALSE,"PYG";"ACTIS",#N/A,FALSE,"BCE_GRAL-ACTIVO";"PASIS",#N/A,FALSE,"BCE_GRAL-PASIVO-PATRIM";"CAJAS",#N/A,FALSE,"CAJA"}</definedName>
    <definedName name="e">#REF!</definedName>
    <definedName name="Ebitda" hidden="1">{#N/A,#N/A,FALSE,"GRAFICO";#N/A,#N/A,FALSE,"CAJA (2)";#N/A,#N/A,FALSE,"TERCEROS-PROMEDIO";#N/A,#N/A,FALSE,"CAJA";#N/A,#N/A,FALSE,"INGRESOS1995-2003";#N/A,#N/A,FALSE,"GASTOS1995-2003"}</definedName>
    <definedName name="ee">#REF!</definedName>
    <definedName name="eee">#REF!</definedName>
    <definedName name="eeee">#REF!</definedName>
    <definedName name="EF">#REF!</definedName>
    <definedName name="EFA">#REF!</definedName>
    <definedName name="EPSA">#REF!,#REF!,#REF!,#REF!,#REF!,#REF!,#REF!,#REF!,#REF!,#REF!,#REF!,#REF!</definedName>
    <definedName name="ES">#REF!</definedName>
    <definedName name="ESA">#REF!</definedName>
    <definedName name="ESCENARIO" hidden="1">{#N/A,#N/A,FALSE,"GRAFICO";#N/A,#N/A,FALSE,"CAJA (2)";#N/A,#N/A,FALSE,"TERCEROS-PROMEDIO";#N/A,#N/A,FALSE,"CAJA";#N/A,#N/A,FALSE,"INGRESOS1995-2003";#N/A,#N/A,FALSE,"GASTOS1995-2003"}</definedName>
    <definedName name="Especialidad">#REF!</definedName>
    <definedName name="Estado">#REF!</definedName>
    <definedName name="ExtensionCoordinador">#REF!</definedName>
    <definedName name="FaseProyecto">#REF!</definedName>
    <definedName name="FechaInicio">#REF!</definedName>
    <definedName name="FechaTerminacion">#REF!</definedName>
    <definedName name="ff">#REF!</definedName>
    <definedName name="g">#REF!</definedName>
    <definedName name="Gastos" hidden="1">{#N/A,#N/A,FALSE,"GRAFICO";#N/A,#N/A,FALSE,"CAJA (2)";#N/A,#N/A,FALSE,"TERCEROS-PROMEDIO";#N/A,#N/A,FALSE,"CAJA";#N/A,#N/A,FALSE,"INGRESOS1995-2003";#N/A,#N/A,FALSE,"GASTOS1995-2003"}</definedName>
    <definedName name="ghvshvxwhj">#REF!</definedName>
    <definedName name="GRUPO">#REF!</definedName>
    <definedName name="GRUPOS">#REF!</definedName>
    <definedName name="gy">#REF!</definedName>
    <definedName name="H" localSheetId="0" hidden="1">{"PYGS",#N/A,FALSE,"PYG";"ACTIS",#N/A,FALSE,"BCE_GRAL-ACTIVO";"PASIS",#N/A,FALSE,"BCE_GRAL-PASIVO-PATRIM";"CAJAS",#N/A,FALSE,"CAJA"}</definedName>
    <definedName name="h">#REF!</definedName>
    <definedName name="hk">#REF!</definedName>
    <definedName name="hoha" hidden="1">{"PYGT",#N/A,FALSE,"PYG";"ACTIT",#N/A,FALSE,"BCE_GRAL-ACTIVO";"PASIT",#N/A,FALSE,"BCE_GRAL-PASIVO-PATRIM";"CAJAT",#N/A,FALSE,"CAJA"}</definedName>
    <definedName name="HTML_CodePage" hidden="1">1252</definedName>
    <definedName name="HTML_Control" hidden="1">{"'PACÍFICO12'!$A$1:$E$6"}</definedName>
    <definedName name="HTML_Description" hidden="1">""</definedName>
    <definedName name="HTML_Email" hidden="1">""</definedName>
    <definedName name="HTML_Header" hidden="1">"PACÍFICO12"</definedName>
    <definedName name="HTML_LastUpdate" hidden="1">"11/12/01"</definedName>
    <definedName name="HTML_LineAfter" hidden="1">FALSE</definedName>
    <definedName name="HTML_LineBefore" hidden="1">FALSE</definedName>
    <definedName name="HTML_Name" hidden="1">"GERENCIA DE SISTEMAS"</definedName>
    <definedName name="HTML_OBDlg2" hidden="1">TRUE</definedName>
    <definedName name="HTML_OBDlg4" hidden="1">TRUE</definedName>
    <definedName name="HTML_OS" hidden="1">0</definedName>
    <definedName name="HTML_PathFile" hidden="1">"\\Sap1002264\c\COMPAQ\HTML.htm"</definedName>
    <definedName name="HTML_Title" hidden="1">"Planeacion 2002-cto11"</definedName>
    <definedName name="I" hidden="1">{"PYGT",#N/A,FALSE,"PYG";"ACTIT",#N/A,FALSE,"BCE_GRAL-ACTIVO";"PASIT",#N/A,FALSE,"BCE_GRAL-PASIVO-PATRIM";"CAJAT",#N/A,FALSE,"CAJA"}</definedName>
    <definedName name="INCR._PRODC.">#REF!</definedName>
    <definedName name="IND.FACT" hidden="1">{#N/A,#N/A,FALSE,"GRAFICO";#N/A,#N/A,FALSE,"CAJA (2)";#N/A,#N/A,FALSE,"TERCEROS-PROMEDIO";#N/A,#N/A,FALSE,"CAJA";#N/A,#N/A,FALSE,"INGRESOS1995-2003";#N/A,#N/A,FALSE,"GASTOS1995-2003"}</definedName>
    <definedName name="Ingeniero">#REF!</definedName>
    <definedName name="InvDol1">#REF!</definedName>
    <definedName name="InvDol2">#REF!</definedName>
    <definedName name="InvDol3">#REF!</definedName>
    <definedName name="InvDol4">#REF!</definedName>
    <definedName name="InvDol5">#REF!</definedName>
    <definedName name="InvDol6">#REF!</definedName>
    <definedName name="InvDol7">#REF!</definedName>
    <definedName name="InvDol8">#REF!</definedName>
    <definedName name="j">#REF!</definedName>
    <definedName name="jk">#REF!</definedName>
    <definedName name="k" localSheetId="0">{"PYGT",#N/A,FALSE,"PYG";"ACTIT",#N/A,FALSE,"BCE_GRAL-ACTIVO";"PASIT",#N/A,FALSE,"BCE_GRAL-PASIVO-PATRIM";"CAJAT",#N/A,FALSE,"CAJA"}</definedName>
    <definedName name="k">#REF!</definedName>
    <definedName name="kj">#REF!</definedName>
    <definedName name="kl">#REF!</definedName>
    <definedName name="lñ">#REF!</definedName>
    <definedName name="lo" hidden="1">{#N/A,#N/A,FALSE,"GRAFICO";#N/A,#N/A,FALSE,"CAJA (2)";#N/A,#N/A,FALSE,"TERCEROS-PROMEDIO";#N/A,#N/A,FALSE,"CAJA";#N/A,#N/A,FALSE,"INGRESOS1995-2003";#N/A,#N/A,FALSE,"GASTOS1995-2003"}</definedName>
    <definedName name="Lugar_de_Residencia">OFFSET(#REF!,0,0,COUNTA(#REF!)-1,1)</definedName>
    <definedName name="m" localSheetId="1">PeríodoEnReal*(#REF!&gt;0)</definedName>
    <definedName name="m" localSheetId="2">PeríodoEnReal*(#REF!&gt;0)</definedName>
    <definedName name="m">PeríodoEnReal*(#REF!&gt;0)</definedName>
    <definedName name="marca">#REF!</definedName>
    <definedName name="MarkP" hidden="1">{#N/A,#N/A,FALSE,"GRAFICO";#N/A,#N/A,FALSE,"CAJA (2)";#N/A,#N/A,FALSE,"TERCEROS-PROMEDIO";#N/A,#N/A,FALSE,"CAJA";#N/A,#N/A,FALSE,"INGRESOS1995-2003";#N/A,#N/A,FALSE,"GASTOS1995-2003"}</definedName>
    <definedName name="matriz">#REF!</definedName>
    <definedName name="Matriz_Item">INDIRECT(#REF!)</definedName>
    <definedName name="MATRIZ1">#REF!</definedName>
    <definedName name="MATRIZ2">#REF!</definedName>
    <definedName name="MATRIZ3">#REF!</definedName>
    <definedName name="Mes">#REF!</definedName>
    <definedName name="Meta1">#REF!</definedName>
    <definedName name="Meta2">#REF!</definedName>
    <definedName name="Meta3">#REF!</definedName>
    <definedName name="mfleasing">#REF!</definedName>
    <definedName name="mleasing">#REF!</definedName>
    <definedName name="mnit">#REF!</definedName>
    <definedName name="MontoVigenciasA1">#REF!</definedName>
    <definedName name="MontoVigenciasA2">#REF!</definedName>
    <definedName name="MontoVigenciasA3">#REF!</definedName>
    <definedName name="MontoVigenciasA4">#REF!</definedName>
    <definedName name="MontoVigenciasA5">#REF!</definedName>
    <definedName name="nfila">#REF!</definedName>
    <definedName name="nit">#REF!</definedName>
    <definedName name="NO" hidden="1">{"PYGT",#N/A,FALSE,"PYG";"ACTIT",#N/A,FALSE,"BCE_GRAL-ACTIVO";"PASIT",#N/A,FALSE,"BCE_GRAL-PASIVO-PATRIM";"CAJAT",#N/A,FALSE,"CAJA"}</definedName>
    <definedName name="NombreCoordinador">#REF!</definedName>
    <definedName name="NombreDependencia">#REF!</definedName>
    <definedName name="NombreProyecto">#REF!</definedName>
    <definedName name="NombreVicepresidencia">#REF!</definedName>
    <definedName name="ñ">#REF!</definedName>
    <definedName name="ññ">#REF!</definedName>
    <definedName name="ObjetivoProyecto">#REF!</definedName>
    <definedName name="OD">#REF!</definedName>
    <definedName name="Otro">#REF!</definedName>
    <definedName name="OTROS">#REF!</definedName>
    <definedName name="P">#REF!</definedName>
    <definedName name="pais">#REF!</definedName>
    <definedName name="PeríodoEnPlan">#REF!=MEDIAN(#REF!,#REF!,#REF!+#REF!-1)</definedName>
    <definedName name="PeríodoEnReal">#REF!=MEDIAN(#REF!,#REF!,#REF!+#REF!-1)</definedName>
    <definedName name="PeriodoRepago">#REF!</definedName>
    <definedName name="PeriodoRepagoCCP">#REF!</definedName>
    <definedName name="PICA">#REF!</definedName>
    <definedName name="PICA1">#REF!</definedName>
    <definedName name="Plan" localSheetId="1">PeríodoEnPlan*(#REF!&gt;0)</definedName>
    <definedName name="Plan" localSheetId="2">PeríodoEnPlan*(#REF!&gt;0)</definedName>
    <definedName name="Plan">PeríodoEnPlan*(#REF!&gt;0)</definedName>
    <definedName name="PLAN1">#REF!</definedName>
    <definedName name="PLAN2">#REF!</definedName>
    <definedName name="PLAN3">#REF!</definedName>
    <definedName name="PLAN4">#REF!</definedName>
    <definedName name="PLAN5">#REF!</definedName>
    <definedName name="Porcentaje">#REF!</definedName>
    <definedName name="PorcentajeCompetado" localSheetId="1">PorcentajeCompletadoDespués*PeríodoEnPlan</definedName>
    <definedName name="PorcentajeCompetado" localSheetId="2">PorcentajeCompletadoDespués*PeríodoEnPlan</definedName>
    <definedName name="PorcentajeCompetado">PorcentajeCompletadoDespués*PeríodoEnPlan</definedName>
    <definedName name="PorcentajeCompletadoDespués">(#REF!=MEDIAN(#REF!,#REF!,#REF!+#REF!)*(#REF!&gt;0))*((#REF!&lt;(INT(#REF!+#REF!*#REF!)))+(#REF!=#REF!))*(#REF!&gt;0)</definedName>
    <definedName name="PRODUCTO">#REF!</definedName>
    <definedName name="Programa">#REF!</definedName>
    <definedName name="PRUEBA">#REF!</definedName>
    <definedName name="prueba_diccionario">#REF!</definedName>
    <definedName name="PTODETRABAJO">#REF!</definedName>
    <definedName name="q">#REF!</definedName>
    <definedName name="qfkjhb">#REF!</definedName>
    <definedName name="qq">#REF!</definedName>
    <definedName name="ram">#REF!</definedName>
    <definedName name="Real" localSheetId="1">(PeríodoEnReal*(#REF!&gt;0))*PeríodoEnPlan</definedName>
    <definedName name="Real" localSheetId="2">(PeríodoEnReal*(#REF!&gt;0))*PeríodoEnPlan</definedName>
    <definedName name="Real">(PeríodoEnReal*(#REF!&gt;0))*PeríodoEnPlan</definedName>
    <definedName name="RealDespués" localSheetId="1">PeríodoEnReal*(#REF!&gt;0)</definedName>
    <definedName name="RealDespués" localSheetId="2">PeríodoEnReal*(#REF!&gt;0)</definedName>
    <definedName name="RealDespués">PeríodoEnReal*(#REF!&gt;0)</definedName>
    <definedName name="Recup.">#REF!</definedName>
    <definedName name="REDES" hidden="1">{#N/A,#N/A,FALSE,"GRAFICO";#N/A,#N/A,FALSE,"CAJA (2)";#N/A,#N/A,FALSE,"TERCEROS-PROMEDIO";#N/A,#N/A,FALSE,"CAJA";#N/A,#N/A,FALSE,"INGRESOS1995-2003";#N/A,#N/A,FALSE,"GASTOS1995-2003"}</definedName>
    <definedName name="REDES1" hidden="1">{"PYGT",#N/A,FALSE,"PYG";"ACTIT",#N/A,FALSE,"BCE_GRAL-ACTIVO";"PASIT",#N/A,FALSE,"BCE_GRAL-PASIVO-PATRIM";"CAJAT",#N/A,FALSE,"CAJA"}</definedName>
    <definedName name="REDES2" hidden="1">{#N/A,#N/A,FALSE,"GRAFICO";#N/A,#N/A,FALSE,"CAJA (2)";#N/A,#N/A,FALSE,"TERCEROS-PROMEDIO";#N/A,#N/A,FALSE,"CAJA";#N/A,#N/A,FALSE,"INGRESOS1995-2003";#N/A,#N/A,FALSE,"GASTOS1995-2003"}</definedName>
    <definedName name="REDES3" hidden="1">{"PYGT",#N/A,FALSE,"PYG";"ACTIT",#N/A,FALSE,"BCE_GRAL-ACTIVO";"PASIT",#N/A,FALSE,"BCE_GRAL-PASIVO-PATRIM";"CAJAT",#N/A,FALSE,"CAJA"}</definedName>
    <definedName name="REDES4" hidden="1">{#N/A,#N/A,FALSE,"GRAFICO";#N/A,#N/A,FALSE,"CAJA (2)";#N/A,#N/A,FALSE,"TERCEROS-PROMEDIO";#N/A,#N/A,FALSE,"CAJA";#N/A,#N/A,FALSE,"INGRESOS1995-2003";#N/A,#N/A,FALSE,"GASTOS1995-2003"}</definedName>
    <definedName name="REDES5" hidden="1">{#N/A,#N/A,FALSE,"GRAFICO";#N/A,#N/A,FALSE,"CAJA (2)";#N/A,#N/A,FALSE,"TERCEROS-PROMEDIO";#N/A,#N/A,FALSE,"CAJA";#N/A,#N/A,FALSE,"INGRESOS1995-2003";#N/A,#N/A,FALSE,"GASTOS1995-2003"}</definedName>
    <definedName name="REDES6" hidden="1">{#N/A,#N/A,FALSE,"GRAFICO";#N/A,#N/A,FALSE,"CAJA (2)";#N/A,#N/A,FALSE,"TERCEROS-PROMEDIO";#N/A,#N/A,FALSE,"CAJA";#N/A,#N/A,FALSE,"INGRESOS1995-2003";#N/A,#N/A,FALSE,"GASTOS1995-2003"}</definedName>
    <definedName name="RegistroCoordinador">#REF!</definedName>
    <definedName name="rendimiento">#REF!</definedName>
    <definedName name="RENDIMIENTO____CARGA">#REF!</definedName>
    <definedName name="RRHH">#REF!</definedName>
    <definedName name="s">#REF!</definedName>
    <definedName name="S.O.">#REF!</definedName>
    <definedName name="Sector">#REF!</definedName>
    <definedName name="SEM_JULIO">#REF!</definedName>
    <definedName name="SEM_NOVIEMBRE">#REF!</definedName>
    <definedName name="SEMANAS">#REF!</definedName>
    <definedName name="SEMANAS_ABRIL">#REF!</definedName>
    <definedName name="SEMANAS_JULIO">#REF!</definedName>
    <definedName name="SEMANAS_JUNIO">#REF!</definedName>
    <definedName name="SEMANAS_MAYO">#REF!</definedName>
    <definedName name="SENTELLL" hidden="1">{"'04301010'!$B$7:$H$31","'04301110'!$B$7:$H$29","'04301210'!$B$7:$H$29","'04301310'!$B$7:$H$27"}</definedName>
    <definedName name="servicio">#REF!</definedName>
    <definedName name="SUBTOTAL">#REF!</definedName>
    <definedName name="Suministros_BP">#REF!</definedName>
    <definedName name="Supuestos">#REF!</definedName>
    <definedName name="T">#REF!</definedName>
    <definedName name="Tabla_Tareas1">'[2]PDT A+'!#REF!</definedName>
    <definedName name="Tasa">#REF!</definedName>
    <definedName name="Tasa1">#REF!</definedName>
    <definedName name="TasaCCP">#REF!</definedName>
    <definedName name="TC" hidden="1">{#N/A,#N/A,FALSE,"GRAFICO";#N/A,#N/A,FALSE,"CAJA (2)";#N/A,#N/A,FALSE,"TERCEROS-PROMEDIO";#N/A,#N/A,FALSE,"CAJA";#N/A,#N/A,FALSE,"INGRESOS1995-2003";#N/A,#N/A,FALSE,"GASTOS1995-2003"}</definedName>
    <definedName name="teST">#REF!</definedName>
    <definedName name="TEST0">#REF!</definedName>
    <definedName name="TEST1">#REF!</definedName>
    <definedName name="TEST2">#REF!</definedName>
    <definedName name="TEST3">#REF!</definedName>
    <definedName name="TESTHKEY">#REF!</definedName>
    <definedName name="TESTKEYS" localSheetId="0">'[2]4-trimestre'!#REF!</definedName>
    <definedName name="TESTKEYS">#REF!</definedName>
    <definedName name="TESTVKEY" localSheetId="0">'[2]4-trimestre'!#REF!</definedName>
    <definedName name="TESTVKEY">#REF!</definedName>
    <definedName name="tipo">#REF!</definedName>
    <definedName name="TIR">#REF!</definedName>
    <definedName name="TITLE">#REF!</definedName>
    <definedName name="TODAS">#REF!</definedName>
    <definedName name="TRABAJADOR">#REF!</definedName>
    <definedName name="Trimestre1">#REF!</definedName>
    <definedName name="Trimestre2">#REF!</definedName>
    <definedName name="Trimestre3">#REF!</definedName>
    <definedName name="Trimestre4">#REF!</definedName>
    <definedName name="trm">#REF!</definedName>
    <definedName name="v" localSheetId="1">PorcentajeCompletadoDespués*PeríodoEnPlan</definedName>
    <definedName name="v" localSheetId="2">PorcentajeCompletadoDespués*PeríodoEnPlan</definedName>
    <definedName name="v">PorcentajeCompletadoDespués*PeríodoEnPlan</definedName>
    <definedName name="valle">#REF!</definedName>
    <definedName name="ValorEjecutado">#REF!</definedName>
    <definedName name="ValorProyecto">#REF!</definedName>
    <definedName name="ValorRecursosComprometidos">#REF!</definedName>
    <definedName name="VigenciaDolares">#REF!</definedName>
    <definedName name="VigenciaPesos">#REF!</definedName>
    <definedName name="VNP">#REF!</definedName>
    <definedName name="VPN">#REF!</definedName>
    <definedName name="VPNCCP">#REF!</definedName>
    <definedName name="VPNInversion">#REF!</definedName>
    <definedName name="VPNInversionCCP">#REF!</definedName>
    <definedName name="WBS">#REF!</definedName>
    <definedName name="we">#REF!</definedName>
    <definedName name="wq">#REF!</definedName>
    <definedName name="wrn.PROYEC." hidden="1">{#N/A,#N/A,FALSE,"GRAFICO";#N/A,#N/A,FALSE,"CAJA (2)";#N/A,#N/A,FALSE,"TERCEROS-PROMEDIO";#N/A,#N/A,FALSE,"CAJA";#N/A,#N/A,FALSE,"INGRESOS1995-2003";#N/A,#N/A,FALSE,"GASTOS1995-2003"}</definedName>
    <definedName name="wrn.SENCILLO." hidden="1">{"PYGS",#N/A,FALSE,"PYG";"ACTIS",#N/A,FALSE,"BCE_GRAL-ACTIVO";"PASIS",#N/A,FALSE,"BCE_GRAL-PASIVO-PATRIM";"CAJAS",#N/A,FALSE,"CAJA"}</definedName>
    <definedName name="wrn.Total." hidden="1">{"Parcial",#N/A,FALSE,"GastFuncionamiento";"Parcial2",#N/A,FALSE,"GastFuncionamiento";"Total",#N/A,FALSE,"GastFuncionamiento"}</definedName>
    <definedName name="x" localSheetId="1">PeríodoEnPlan*(#REF!&gt;0)</definedName>
    <definedName name="x" localSheetId="2">PeríodoEnPlan*(#REF!&gt;0)</definedName>
    <definedName name="x">PeríodoEnPlan*(#REF!&gt;0)</definedName>
    <definedName name="xc">#REF!</definedName>
    <definedName name="YO" hidden="1">{#N/A,#N/A,FALSE,"GRAFICO";#N/A,#N/A,FALSE,"CAJA (2)";#N/A,#N/A,FALSE,"TERCEROS-PROMEDIO";#N/A,#N/A,FALSE,"CAJA";#N/A,#N/A,FALSE,"INGRESOS1995-2003";#N/A,#N/A,FALSE,"GASTOS1995-2003"}</definedName>
    <definedName name="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56" i="6" l="1"/>
  <c r="Y156" i="6"/>
  <c r="X156" i="6"/>
  <c r="W156" i="6"/>
  <c r="V156" i="6"/>
  <c r="P156" i="6"/>
  <c r="O156" i="6"/>
  <c r="E156" i="6"/>
  <c r="S155" i="6"/>
  <c r="S154" i="6"/>
  <c r="S153" i="6"/>
  <c r="S152" i="6"/>
  <c r="S151" i="6"/>
  <c r="S150" i="6"/>
  <c r="S149" i="6"/>
  <c r="S148" i="6"/>
  <c r="S147" i="6"/>
  <c r="S146" i="6"/>
  <c r="S145" i="6"/>
  <c r="S144" i="6"/>
  <c r="S143" i="6"/>
  <c r="S142" i="6"/>
  <c r="S141" i="6"/>
  <c r="S140" i="6"/>
  <c r="S139" i="6"/>
  <c r="S138" i="6"/>
  <c r="S137" i="6"/>
  <c r="S136" i="6"/>
  <c r="S135" i="6"/>
  <c r="S134" i="6"/>
  <c r="S133" i="6"/>
  <c r="S132" i="6"/>
  <c r="S131" i="6"/>
  <c r="S130" i="6"/>
  <c r="S129" i="6"/>
  <c r="S128" i="6"/>
  <c r="S127" i="6"/>
  <c r="S126" i="6"/>
  <c r="S125" i="6"/>
  <c r="S124" i="6"/>
  <c r="S123" i="6"/>
  <c r="S122" i="6"/>
  <c r="S121" i="6"/>
  <c r="S120" i="6"/>
  <c r="S119" i="6"/>
  <c r="S118" i="6"/>
  <c r="S117" i="6"/>
  <c r="S116" i="6"/>
  <c r="S115" i="6"/>
  <c r="S114" i="6"/>
  <c r="S113" i="6"/>
  <c r="S112" i="6"/>
  <c r="S111" i="6"/>
  <c r="S110" i="6"/>
  <c r="S109" i="6"/>
  <c r="S108" i="6"/>
  <c r="S107" i="6"/>
  <c r="S106" i="6"/>
  <c r="R105" i="6"/>
  <c r="S105" i="6" s="1"/>
  <c r="R104" i="6"/>
  <c r="S104" i="6" s="1"/>
  <c r="R103" i="6"/>
  <c r="S103" i="6" s="1"/>
  <c r="R102" i="6"/>
  <c r="S102" i="6" s="1"/>
  <c r="R101" i="6"/>
  <c r="S101" i="6" s="1"/>
  <c r="R100" i="6"/>
  <c r="S100" i="6" s="1"/>
  <c r="R99" i="6"/>
  <c r="S99" i="6" s="1"/>
  <c r="R97" i="6"/>
  <c r="S97" i="6" s="1"/>
  <c r="R96" i="6"/>
  <c r="S96" i="6" s="1"/>
  <c r="R95" i="6"/>
  <c r="S95" i="6" s="1"/>
  <c r="R94" i="6"/>
  <c r="S94" i="6" s="1"/>
  <c r="R93" i="6"/>
  <c r="S93" i="6" s="1"/>
  <c r="R92" i="6"/>
  <c r="S92" i="6" s="1"/>
  <c r="R91" i="6"/>
  <c r="S91" i="6" s="1"/>
  <c r="R90" i="6"/>
  <c r="S90" i="6" s="1"/>
  <c r="R89" i="6"/>
  <c r="S89" i="6" s="1"/>
  <c r="R88" i="6"/>
  <c r="S88" i="6" s="1"/>
  <c r="R86" i="6"/>
  <c r="S86" i="6" s="1"/>
  <c r="R85" i="6"/>
  <c r="S85" i="6" s="1"/>
  <c r="R84" i="6"/>
  <c r="S84" i="6" s="1"/>
  <c r="R83" i="6"/>
  <c r="S83" i="6" s="1"/>
  <c r="R82" i="6"/>
  <c r="S82" i="6" s="1"/>
  <c r="R81" i="6"/>
  <c r="S81" i="6" s="1"/>
  <c r="R80" i="6"/>
  <c r="S80" i="6" s="1"/>
  <c r="R79" i="6"/>
  <c r="S79" i="6" s="1"/>
  <c r="R78" i="6"/>
  <c r="S78" i="6" s="1"/>
  <c r="R77" i="6"/>
  <c r="S77" i="6" s="1"/>
  <c r="S76" i="6"/>
  <c r="R76" i="6"/>
  <c r="R74" i="6"/>
  <c r="S74" i="6" s="1"/>
  <c r="R73" i="6"/>
  <c r="S73" i="6" s="1"/>
  <c r="R71" i="6"/>
  <c r="S71" i="6" s="1"/>
  <c r="R70" i="6"/>
  <c r="S70" i="6" s="1"/>
  <c r="R69" i="6"/>
  <c r="S69" i="6" s="1"/>
  <c r="R68" i="6"/>
  <c r="S68" i="6" s="1"/>
  <c r="R67" i="6"/>
  <c r="S67" i="6" s="1"/>
  <c r="R66" i="6"/>
  <c r="S66" i="6" s="1"/>
  <c r="R65" i="6"/>
  <c r="S65" i="6" s="1"/>
  <c r="R64" i="6"/>
  <c r="S64" i="6" s="1"/>
  <c r="R63" i="6"/>
  <c r="S63" i="6" s="1"/>
  <c r="R61" i="6"/>
  <c r="S61" i="6" s="1"/>
  <c r="R60" i="6"/>
  <c r="S60" i="6" s="1"/>
  <c r="R59" i="6"/>
  <c r="S59" i="6" s="1"/>
  <c r="R58" i="6"/>
  <c r="S58" i="6" s="1"/>
  <c r="R57" i="6"/>
  <c r="S57" i="6" s="1"/>
  <c r="R56" i="6"/>
  <c r="S56" i="6" s="1"/>
  <c r="R55" i="6"/>
  <c r="S55" i="6" s="1"/>
  <c r="R54" i="6"/>
  <c r="S54" i="6" s="1"/>
  <c r="R52" i="6"/>
  <c r="S52" i="6" s="1"/>
  <c r="R50" i="6"/>
  <c r="S50" i="6" s="1"/>
  <c r="R49" i="6"/>
  <c r="S49" i="6" s="1"/>
  <c r="R48" i="6"/>
  <c r="S48" i="6" s="1"/>
  <c r="R47" i="6"/>
  <c r="S47" i="6" s="1"/>
  <c r="R46" i="6"/>
  <c r="S46" i="6" s="1"/>
  <c r="R45" i="6"/>
  <c r="S45" i="6" s="1"/>
  <c r="R44" i="6"/>
  <c r="S44" i="6" s="1"/>
  <c r="R43" i="6"/>
  <c r="S43" i="6" s="1"/>
  <c r="R42" i="6"/>
  <c r="S42" i="6" s="1"/>
  <c r="R41" i="6"/>
  <c r="S41" i="6" s="1"/>
  <c r="S40" i="6"/>
  <c r="R40" i="6"/>
  <c r="R39" i="6"/>
  <c r="S39" i="6" s="1"/>
  <c r="R37" i="6"/>
  <c r="S37" i="6" s="1"/>
  <c r="R36" i="6"/>
  <c r="S36" i="6" s="1"/>
  <c r="R35" i="6"/>
  <c r="S35" i="6" s="1"/>
  <c r="R34" i="6"/>
  <c r="S34" i="6" s="1"/>
  <c r="R33" i="6"/>
  <c r="S33" i="6" s="1"/>
  <c r="R32" i="6"/>
  <c r="S32" i="6" s="1"/>
  <c r="R31" i="6"/>
  <c r="S31" i="6" s="1"/>
  <c r="R30" i="6"/>
  <c r="S30" i="6" s="1"/>
  <c r="R29" i="6"/>
  <c r="S29" i="6" s="1"/>
  <c r="R28" i="6"/>
  <c r="S28" i="6" s="1"/>
  <c r="R27" i="6"/>
  <c r="S27" i="6" s="1"/>
  <c r="R26" i="6"/>
  <c r="S26" i="6" s="1"/>
  <c r="R25" i="6"/>
  <c r="S25" i="6" s="1"/>
  <c r="R24" i="6"/>
  <c r="S24" i="6" s="1"/>
  <c r="R23" i="6"/>
  <c r="S23" i="6" s="1"/>
  <c r="R21" i="6"/>
  <c r="S21" i="6" s="1"/>
  <c r="R20" i="6"/>
  <c r="S20" i="6" s="1"/>
  <c r="R19" i="6"/>
  <c r="S19" i="6" s="1"/>
  <c r="R18" i="6"/>
  <c r="S18" i="6" s="1"/>
  <c r="R17" i="6"/>
  <c r="S17" i="6" s="1"/>
  <c r="R16" i="6"/>
  <c r="S16" i="6" s="1"/>
  <c r="R15" i="6"/>
  <c r="S15" i="6" s="1"/>
  <c r="R14" i="6"/>
  <c r="S14" i="6" s="1"/>
  <c r="R13" i="6"/>
  <c r="S13" i="6" s="1"/>
  <c r="R12" i="6"/>
  <c r="S12" i="6" s="1"/>
  <c r="R11" i="6"/>
  <c r="S11" i="6" s="1"/>
  <c r="R10" i="6"/>
  <c r="S10" i="6" s="1"/>
  <c r="R9" i="6"/>
  <c r="S9" i="6" s="1"/>
  <c r="R8" i="6"/>
  <c r="S8" i="6" s="1"/>
  <c r="R7" i="6"/>
  <c r="S7" i="6" s="1"/>
  <c r="R6" i="6"/>
  <c r="R5" i="6"/>
  <c r="S5" i="6" s="1"/>
  <c r="R4" i="6"/>
  <c r="S4" i="6" s="1"/>
  <c r="R3" i="6"/>
  <c r="S3" i="6" s="1"/>
  <c r="R2" i="6"/>
  <c r="S2" i="6" s="1"/>
  <c r="R156" i="6" l="1"/>
  <c r="S6" i="6"/>
  <c r="S156" i="6" s="1"/>
  <c r="E96" i="2" l="1"/>
  <c r="P96" i="2"/>
  <c r="O96" i="2"/>
  <c r="B9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tc={87C77504-C0BC-4452-8A88-28A03B438257}</author>
    <author>tc={5B56482E-78F7-488E-8F61-06F2242EF315}</author>
    <author>tc={E3679B06-D92E-4D3B-BA7E-33E9B669AEE4}</author>
    <author>tc={FA576DC3-2523-4D12-B85F-8207F2033265}</author>
    <author>tc={DEC235CA-AEA1-4131-9B99-6959B4568468}</author>
    <author>tc={978D3545-7DE0-4619-B6D4-52E32BDA7F5D}</author>
    <author>tc={844E0C1B-CB8B-4AFD-9183-7608CCB9AD37}</author>
    <author>tc={90F1A69F-7796-44F5-9629-657EFC48B463}</author>
    <author>tc={B152EB09-5D87-4A33-9D61-FB761A73E23D}</author>
    <author>tc={D9FB29BE-AAAF-4C3F-98C6-8E7014C5499C}</author>
    <author>tc={521FA689-38BC-4BCA-B7D8-6B63964DAFB2}</author>
  </authors>
  <commentList>
    <comment ref="M2" authorId="0" shapeId="0" xr:uid="{87C77504-C0BC-4452-8A88-28A03B43825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K 001+460</t>
      </text>
    </comment>
    <comment ref="M11" authorId="1" shapeId="0" xr:uid="{5B56482E-78F7-488E-8F61-06F2242EF31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K 000+540</t>
      </text>
    </comment>
    <comment ref="M23" authorId="2" shapeId="0" xr:uid="{E3679B06-D92E-4D3B-BA7E-33E9B669AEE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K 000+175</t>
      </text>
    </comment>
    <comment ref="M36" authorId="3" shapeId="0" xr:uid="{FA576DC3-2523-4D12-B85F-8207F203326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K 000+000</t>
      </text>
    </comment>
    <comment ref="M45" authorId="4" shapeId="0" xr:uid="{DEC235CA-AEA1-4131-9B99-6959B456846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K 000+280</t>
      </text>
    </comment>
    <comment ref="M71" authorId="5" shapeId="0" xr:uid="{978D3545-7DE0-4619-B6D4-52E32BDA7F5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K 003+930</t>
      </text>
    </comment>
    <comment ref="M89" authorId="6" shapeId="0" xr:uid="{844E0C1B-CB8B-4AFD-9183-7608CCB9AD3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K 003+300</t>
      </text>
    </comment>
    <comment ref="M90" authorId="7" shapeId="0" xr:uid="{90F1A69F-7796-44F5-9629-657EFC48B46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K 001+372</t>
      </text>
    </comment>
    <comment ref="M91" authorId="8" shapeId="0" xr:uid="{B152EB09-5D87-4A33-9D61-FB761A73E23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K 001+750</t>
      </text>
    </comment>
    <comment ref="M94" authorId="9" shapeId="0" xr:uid="{D9FB29BE-AAAF-4C3F-98C6-8E7014C5499C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Telmacom no ejecuto </t>
      </text>
    </comment>
    <comment ref="M101" authorId="10" shapeId="0" xr:uid="{521FA689-38BC-4BCA-B7D8-6B63964DAFB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K 003+347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tc={9C5ED98A-39A4-4862-AD6A-62BFAFBAE006}</author>
    <author>tc={489A20D5-8DEC-4278-BEA5-52A560F41122}</author>
    <author>tc={30045B87-231E-40B0-A069-06C756F4DCA4}</author>
  </authors>
  <commentList>
    <comment ref="O83" authorId="0" shapeId="0" xr:uid="{9C5ED98A-39A4-4862-AD6A-62BFAFBAE00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Tiene OT PAP 2026</t>
      </text>
    </comment>
    <comment ref="O85" authorId="1" shapeId="0" xr:uid="{489A20D5-8DEC-4278-BEA5-52A560F4112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Tiene OT PAP 2026</t>
      </text>
    </comment>
    <comment ref="O86" authorId="2" shapeId="0" xr:uid="{30045B87-231E-40B0-A069-06C756F4DCA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Tiene OT PAP 2026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tc={CD595F8A-DD10-4C52-BF81-6B25F6AD0BED}</author>
  </authors>
  <commentList>
    <comment ref="H22" authorId="0" shapeId="0" xr:uid="{CD595F8A-DD10-4C52-BF81-6B25F6AD0BE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Por error se le entrego OT A+</t>
      </text>
    </comment>
  </commentList>
</comments>
</file>

<file path=xl/sharedStrings.xml><?xml version="1.0" encoding="utf-8"?>
<sst xmlns="http://schemas.openxmlformats.org/spreadsheetml/2006/main" count="3536" uniqueCount="970">
  <si>
    <t>Distrito</t>
  </si>
  <si>
    <t>Plan mant.preventivo</t>
  </si>
  <si>
    <t>Txt plan mantenim.</t>
  </si>
  <si>
    <t>Descripción posición de mantenimiento</t>
  </si>
  <si>
    <t>Orden</t>
  </si>
  <si>
    <t>Texto breve operación</t>
  </si>
  <si>
    <t>Puesto de trabajo</t>
  </si>
  <si>
    <t>Ubicación técnica</t>
  </si>
  <si>
    <t>Denominación de la ubicación técnica</t>
  </si>
  <si>
    <t>Grupo hojas ruta</t>
  </si>
  <si>
    <t>Clase actividad PM</t>
  </si>
  <si>
    <t>PLAN CIPS</t>
  </si>
  <si>
    <t>SUBSISTEMA</t>
  </si>
  <si>
    <t>Tipo</t>
  </si>
  <si>
    <t>Unidad [Km]</t>
  </si>
  <si>
    <t>Postes</t>
  </si>
  <si>
    <t>Unitario</t>
  </si>
  <si>
    <t>Valor Total</t>
  </si>
  <si>
    <t>Valor Con IVA</t>
  </si>
  <si>
    <t>CONTRATISTA</t>
  </si>
  <si>
    <t>ZONA</t>
  </si>
  <si>
    <t>TGI</t>
  </si>
  <si>
    <t>PCC</t>
  </si>
  <si>
    <t>Estado</t>
  </si>
  <si>
    <t xml:space="preserve">mes ejecución </t>
  </si>
  <si>
    <t>SAP</t>
  </si>
  <si>
    <t>Acta Facturación
60%</t>
  </si>
  <si>
    <t>Acta Facturación
40%</t>
  </si>
  <si>
    <t>Acta Facturación
100%</t>
  </si>
  <si>
    <t>observaciones</t>
  </si>
  <si>
    <t>D03</t>
  </si>
  <si>
    <t>INT INSP CUPONES ALBANIA PK 17+503</t>
  </si>
  <si>
    <t>RETIRO E INSTALACIÓN DE NUEVO CUPÓN</t>
  </si>
  <si>
    <t>D03CONTR</t>
  </si>
  <si>
    <t>TGIS-3CEN-BLCOD03-RAMALT-ALB-STU</t>
  </si>
  <si>
    <t>RM_ALBANIA  TUBERIAS</t>
  </si>
  <si>
    <t>TINT-CUP</t>
  </si>
  <si>
    <t>Z34</t>
  </si>
  <si>
    <t>Albania  PK 17+503</t>
  </si>
  <si>
    <t>SUR</t>
  </si>
  <si>
    <t>CENTRO</t>
  </si>
  <si>
    <t>No ejecutada</t>
  </si>
  <si>
    <t>D02</t>
  </si>
  <si>
    <t>INT-CE M.POT ALVARADO  PK 371+600 D02</t>
  </si>
  <si>
    <t>INT-CE PAP ALVARADO  PK 371+600 D02</t>
  </si>
  <si>
    <t>INSP Y MTTO MENOR PREVENTIVO A URPC-PAP</t>
  </si>
  <si>
    <t>D02CONTR</t>
  </si>
  <si>
    <t>TGIS-3SOC-MQGLD02-RAMALT-ALV-STU</t>
  </si>
  <si>
    <t>RM_ALV TUBERIAS</t>
  </si>
  <si>
    <t>TINT-PAP</t>
  </si>
  <si>
    <t>Alvarado  PK 371+600</t>
  </si>
  <si>
    <t>Ramal</t>
  </si>
  <si>
    <t>INT-CE M.POT AMBALEMA  PK 344+300 D02</t>
  </si>
  <si>
    <t>INT-CE PAP AMBALEMA  PK 344+300 D02</t>
  </si>
  <si>
    <t>TGIS-3SOC-MQGLD02-RAMALT-AMB-STU</t>
  </si>
  <si>
    <t>RM_AMB TUBERIAS</t>
  </si>
  <si>
    <t>Ambalema  PK 344+300</t>
  </si>
  <si>
    <t>D08</t>
  </si>
  <si>
    <t>INT-CE M.POT ANDALUCÍA  PK 250+165 D08</t>
  </si>
  <si>
    <t>INT-CE PAP ANDALUCÍA  PK 250+165 D08</t>
  </si>
  <si>
    <t>D08CONTR</t>
  </si>
  <si>
    <t>TGIS-3SOC-OBTUD08-RAMALT-AND-STU</t>
  </si>
  <si>
    <t>RM_AND TUBERIAS</t>
  </si>
  <si>
    <t>Andalucía  PK 250+165</t>
  </si>
  <si>
    <t>D07</t>
  </si>
  <si>
    <t>INT-CE M.POT ARMENIA   PK 46+265 D07</t>
  </si>
  <si>
    <t>INT-CE PAP ARMENIA   PK 46+265 D07</t>
  </si>
  <si>
    <t>D07CONTR</t>
  </si>
  <si>
    <t>TGIS-3SOC-OBTUD08-RAMALT-AR8-STU</t>
  </si>
  <si>
    <t>RM_AR8 TUBERIAS</t>
  </si>
  <si>
    <t>Armenia   PK 46+265</t>
  </si>
  <si>
    <t xml:space="preserve">Finalizada </t>
  </si>
  <si>
    <t>Notificada</t>
  </si>
  <si>
    <t>Acta - 1</t>
  </si>
  <si>
    <t>Acta - 2</t>
  </si>
  <si>
    <t>N/A</t>
  </si>
  <si>
    <t>INT-CE M.POT BUGA  PK 286+843 D08</t>
  </si>
  <si>
    <t>INT-CE PAP BUGA  PK 286+843 D08</t>
  </si>
  <si>
    <t>TGIS-3SOC-TUCAD08-RAMALT-BUG-STU</t>
  </si>
  <si>
    <t>RM_BUG TUBERIAS</t>
  </si>
  <si>
    <t>Buga  PK 286+843</t>
  </si>
  <si>
    <t>INT-CE M.POT BUGALAGRANDE D08</t>
  </si>
  <si>
    <t>INT-CE PAP BUGALAGRANDE  PK 244+127 D08</t>
  </si>
  <si>
    <t>TGIS-3SOC-OBTUD08-RAMALT-BLG-STU</t>
  </si>
  <si>
    <t>RM_BLG TUBERIAS</t>
  </si>
  <si>
    <t>Bugalagrande  PK 244+127</t>
  </si>
  <si>
    <t>INT-CE M.POT CAICEDONIA PK 218+846 D08</t>
  </si>
  <si>
    <t>INT-CE PAP CAICEDONIA PK 218+846 D08</t>
  </si>
  <si>
    <t>TGIS-3SOC-ARFID08-RAMALT-CAI-STU</t>
  </si>
  <si>
    <t>RM_CAI TUBERIAS</t>
  </si>
  <si>
    <t>Caicedonia PK 218+846</t>
  </si>
  <si>
    <t>INT-CE M.POT CALARCÁ  PK 46+265 D07</t>
  </si>
  <si>
    <t>INT-CE PAP CALARCÁ  PK 46+265 D07</t>
  </si>
  <si>
    <t>TGIS-3SOC-ARFID07-RAMALT-CLR-STU</t>
  </si>
  <si>
    <t>RM_CLR TUBERIAS</t>
  </si>
  <si>
    <t>Calarcá  PK 46+265</t>
  </si>
  <si>
    <t>INT INSP CUPONES CALDAS</t>
  </si>
  <si>
    <t>TGIS-3CEN-BLCOD03-RAMALT-CLD-STU</t>
  </si>
  <si>
    <t>RM_CALDAS TUBERIAS</t>
  </si>
  <si>
    <t>Caldas  PK 41+153</t>
  </si>
  <si>
    <t>INT-CE M.POT CASTILLA PK 470+600 D02</t>
  </si>
  <si>
    <t>INT-CE PAP CASTILLA PK 470+600 D02</t>
  </si>
  <si>
    <t>TGIS-3SOC-GLGAD02-RAMALT-CAS</t>
  </si>
  <si>
    <t>RAMAL CASTILLA</t>
  </si>
  <si>
    <t>Castilla PK 470+600</t>
  </si>
  <si>
    <t>INT-CE M.POT CEMEX  PK 402+300 D02</t>
  </si>
  <si>
    <t>INT-CE PAP CEMEX  PK 402+300 D02</t>
  </si>
  <si>
    <t>TGIS-3SOC-MQGLD02-RAMALT-CMX</t>
  </si>
  <si>
    <t>RAMAL CEMEX</t>
  </si>
  <si>
    <t>Cemex  PK 402+300</t>
  </si>
  <si>
    <t>INT INSPECCIÓN SPC CO COGUA D03</t>
  </si>
  <si>
    <t>ANODOS DE SACRIFICIO</t>
  </si>
  <si>
    <t>TGIS-3CEN-BLCOD03-TRONCA-SCO-STU</t>
  </si>
  <si>
    <t>TN_SUCRE ORIENTAL-COGUA TUBERIAS</t>
  </si>
  <si>
    <t>ESTACIONES</t>
  </si>
  <si>
    <t>CENTRO OPERACIONAL COGUA</t>
  </si>
  <si>
    <t>INT INSPECCIÓN SPC CO DINA</t>
  </si>
  <si>
    <t>TGIS-3SOC-GUDND02-TRONCA-GUD-STU</t>
  </si>
  <si>
    <t>TN_GUD TUBERIAS</t>
  </si>
  <si>
    <t>CENTRO OPERACIONAL DINA</t>
  </si>
  <si>
    <t>INT INSPECCIÓN SPC CO GUALANDAY</t>
  </si>
  <si>
    <t>TGIS-3SOC-MQGLD02-TRONCA-MAG-STU</t>
  </si>
  <si>
    <t>TN_MARIQUITA-GUALANDAY TUBERIAS</t>
  </si>
  <si>
    <t>CENTRO OPERACIONAL GUALANDAY</t>
  </si>
  <si>
    <t>INT INSPECCIÓN SPC CO MARIQUITA</t>
  </si>
  <si>
    <t>CENTRO OPERACIONAL MARIQUITA</t>
  </si>
  <si>
    <t>D04</t>
  </si>
  <si>
    <t>INT INSPECCIÓN SPC CO TERMOCOA</t>
  </si>
  <si>
    <t>D04CONTR</t>
  </si>
  <si>
    <t>TGIS-3CEN-APTED04-COTERM</t>
  </si>
  <si>
    <t>CENTRO OPERACIONAL TERMOCOA</t>
  </si>
  <si>
    <t>Centro Operacional Termocoa</t>
  </si>
  <si>
    <t>INT-CE M.POT CHICORAL  PK 421+240 D02</t>
  </si>
  <si>
    <t>INT-CE PAP CHICORAL  PK 421+240 D02</t>
  </si>
  <si>
    <t>TGIS-3SOC-GLGAD02-RAMALT-CHI-STU</t>
  </si>
  <si>
    <t>RM_CHI TUBERIAS</t>
  </si>
  <si>
    <t>Chicoral  PK 421+240</t>
  </si>
  <si>
    <t>INT-CE M.POT CIRCASIA  (PK 7+641) D07</t>
  </si>
  <si>
    <t>INT-CE PAP CIRCASIA  (PK 7+641) D07</t>
  </si>
  <si>
    <t>TGIS-3SOC-ARFID07-RAMALT-CIR</t>
  </si>
  <si>
    <t>RAMAL CIRCASIA</t>
  </si>
  <si>
    <t>Circasia  (PK 7+641)</t>
  </si>
  <si>
    <t>INT-CE M.POT CIUDAD PORFÍA D04</t>
  </si>
  <si>
    <t>INT-CE CIPS CIUDAD PORFÍA D04</t>
  </si>
  <si>
    <t>LEV PERFIL POTENCIALES PASO/PASO-CIPS</t>
  </si>
  <si>
    <t>TGIS-3CEN-APTED04-RAMALT-CPO</t>
  </si>
  <si>
    <t>RAMAL CIUDAD PORFIA</t>
  </si>
  <si>
    <t>TINTCIPS</t>
  </si>
  <si>
    <t>Ciudad Porfía  PK 34+142</t>
  </si>
  <si>
    <t>BackLog 2024</t>
  </si>
  <si>
    <t>INT-CE PAP CIUDAD PORFÍA  PK 34+142 D04</t>
  </si>
  <si>
    <t>INT INSP CUPONES CUCUNUBA D03</t>
  </si>
  <si>
    <t>INT INSP CUPONES CUCUNUBA</t>
  </si>
  <si>
    <t>TGIS-3CEN-BLCOD03-RAMALT-CUB-STU</t>
  </si>
  <si>
    <t>RM_CUCUNUBA TUBERIAS</t>
  </si>
  <si>
    <t>Cucunuba  PK 80+110</t>
  </si>
  <si>
    <t>INT-CE M.POT DOIMA  PK 390+025 D02</t>
  </si>
  <si>
    <t>INT-CE PAP DOIMA  PK 390+025 D02</t>
  </si>
  <si>
    <t>TGIS-3SOC-MQGLD02-RAMALT-DOI-STU</t>
  </si>
  <si>
    <t>RM_DOI TUBERIAS</t>
  </si>
  <si>
    <t>Doima  PK 390+025</t>
  </si>
  <si>
    <t>INT-CE M.POT EDS BUGA CAÑADUZAL D08</t>
  </si>
  <si>
    <t>INT-CE PAP EDS BUGA CAÑADUZAL D08</t>
  </si>
  <si>
    <t>TGIS-3SOC-TUCAD08-RAMALT-GCC</t>
  </si>
  <si>
    <t>RAMAL BUGA GTM TRASMOVIL</t>
  </si>
  <si>
    <t>EDS Buga Cañaduzal</t>
  </si>
  <si>
    <t>INT-CE M.POT EDS BUGA GAZEL D08</t>
  </si>
  <si>
    <t>INT-CE PAP EDS BUGA GAZEL D08</t>
  </si>
  <si>
    <t>TGIS-3SOC-TUCAD08-RAMALT-BGZ</t>
  </si>
  <si>
    <t>RAMAL BUGA GAZEL</t>
  </si>
  <si>
    <t>EDS Buga Gazel</t>
  </si>
  <si>
    <t>INT-CE M.POT BUGA GNI D08</t>
  </si>
  <si>
    <t>INT-CE PAP BUGA GNI D08</t>
  </si>
  <si>
    <t>TGIS-3SOC-TUCAD08-RAMALT-GNI</t>
  </si>
  <si>
    <t>RAMAL BUGA GNI</t>
  </si>
  <si>
    <t>EDS Buga Guadalajara</t>
  </si>
  <si>
    <t>INT-CE M.POT EDS TOTAL GAS D08</t>
  </si>
  <si>
    <t>INT-CE PAP EDS TOTAL GAS D08</t>
  </si>
  <si>
    <t>TGIS-3SOC-TUCAD08-RAMALT-TGA</t>
  </si>
  <si>
    <t>RAMAL BUGA TOTAL GAS</t>
  </si>
  <si>
    <t>EDS Total Gas</t>
  </si>
  <si>
    <t>INT-CE M.POT EL CERRITO  PK 4+721 D08</t>
  </si>
  <si>
    <t>INT-CE PAP EL CERRITO  PK 4+721 D08</t>
  </si>
  <si>
    <t>TGIS-3SOC-TUCAD08-RAMALT-CER-STU</t>
  </si>
  <si>
    <t>RM_CER TUBERIAS</t>
  </si>
  <si>
    <t>El Cerrito  PK 4+721</t>
  </si>
  <si>
    <t>INT-CE M.POT EL PRADO  (16+000) D02</t>
  </si>
  <si>
    <t>INT-CE PAP EL PRADO  (16+000) D02</t>
  </si>
  <si>
    <t>TGIS-3SOC-GLGAD02-RAMALT-EPR</t>
  </si>
  <si>
    <t>RAMAL EL PRADO</t>
  </si>
  <si>
    <t>El Prado  (16+000)</t>
  </si>
  <si>
    <t>INT INSPECCIÓN SPC EST EC PARATEBUENO</t>
  </si>
  <si>
    <t>TGIS-3CEN-65APD04-RAMALT-PAR-STU</t>
  </si>
  <si>
    <t>RM_PAR TUBERIAS</t>
  </si>
  <si>
    <t>Estación EC Paratebueno</t>
  </si>
  <si>
    <t>INT INSPECCIÓN SPC EST EC SABANA</t>
  </si>
  <si>
    <t>Estación EC Sabana</t>
  </si>
  <si>
    <t>INT INSPECCIÓN SPC EST EC VILLAVICENCIO</t>
  </si>
  <si>
    <t>TGIS-3CEN-APVID04-RAMALT-VIL-STU</t>
  </si>
  <si>
    <t>RM_VIL TUBERIAS</t>
  </si>
  <si>
    <t>Estación EC Villavicencio</t>
  </si>
  <si>
    <t>INT-CE M.POT FILANDIA  PK 17+602 D07</t>
  </si>
  <si>
    <t>INT-CE PAP FILANDIA  PK 17+602 D07</t>
  </si>
  <si>
    <t>TGIS-3SOC-ARFID07-RAMALT-FIL-STU</t>
  </si>
  <si>
    <t>RM_FIL TUBERIAS</t>
  </si>
  <si>
    <t>Filandia  PK 17+602</t>
  </si>
  <si>
    <t>INT-CE M.POT FLORIDA D08</t>
  </si>
  <si>
    <t>INT-CE PAP FLORIDA D08</t>
  </si>
  <si>
    <t>TGIS-3SOC-TUCAD08-RAMALT-FLO-STU</t>
  </si>
  <si>
    <t>RM_FLO TUBERIAS</t>
  </si>
  <si>
    <t>Florida</t>
  </si>
  <si>
    <t>INT INSP CUPONES FUQUENE  PK 61+554</t>
  </si>
  <si>
    <t>1300008173</t>
  </si>
  <si>
    <t>TGIS-3CEN-BLCOD03-RAMALT-FUQ-STU</t>
  </si>
  <si>
    <t>RM_FUQUENE TUBERIAS</t>
  </si>
  <si>
    <t>Fúquene  PK 61+554</t>
  </si>
  <si>
    <t>INT-CE REV GASODUCTO DEL ARIARI D04</t>
  </si>
  <si>
    <t>INSP DE RECUBRIMIENTO DCVG/ACVG/PCM</t>
  </si>
  <si>
    <t>TGIS-3CEN-ARIAD04-TRONCA-ARI-STU</t>
  </si>
  <si>
    <t>TN_GASODUCTO ARIARI TUBERIAS</t>
  </si>
  <si>
    <t>TINT-REV</t>
  </si>
  <si>
    <t>Gasoducto del Ariari</t>
  </si>
  <si>
    <t>Troncal</t>
  </si>
  <si>
    <t>BackLog 2025</t>
  </si>
  <si>
    <t>INT-CE M.POT GINEBRA  D08</t>
  </si>
  <si>
    <t>INT-CE PAP GINEBRA  D08</t>
  </si>
  <si>
    <t>TGIS-3SOC-TUCAD08-RAMALT-GIN-STU</t>
  </si>
  <si>
    <t>RM_GIN TUBERIAS</t>
  </si>
  <si>
    <t xml:space="preserve">Ginebra </t>
  </si>
  <si>
    <t>INT-CE CIPS GINEBRA  D08</t>
  </si>
  <si>
    <t>INT-CE M.POT GUACARÍ  PK 306+081 D08</t>
  </si>
  <si>
    <t>INT-CE PAP GUACARÍ  PK 306+081 D08</t>
  </si>
  <si>
    <t>TGIS-3SOC-TUCAD08-RAMALT-GUA-STU</t>
  </si>
  <si>
    <t>RM_GUA TUBERIAS</t>
  </si>
  <si>
    <t>Guacarí  PK 306+081</t>
  </si>
  <si>
    <t>INT-CE M.POT GUALANDAY D02</t>
  </si>
  <si>
    <t>INT-CE PAP GUALANDAY D02</t>
  </si>
  <si>
    <t>TGIS-3SOC-MQGLD02-RAMALT-GLD</t>
  </si>
  <si>
    <t>RAMAL GUALANDAY</t>
  </si>
  <si>
    <t>Gualanday</t>
  </si>
  <si>
    <t>INT-CE M.POT GUALANDAY - GUASIMAL D02</t>
  </si>
  <si>
    <t>INT-CE PAP GUALANDAY - GUASIMAL D02</t>
  </si>
  <si>
    <t>TGIS-3SOC-GLGAD02-TRONCA-GUG-STU</t>
  </si>
  <si>
    <t>TN_GUALANDAY-GUASIMAL TUBERIAS</t>
  </si>
  <si>
    <t>Gualanday - Guasimal</t>
  </si>
  <si>
    <t>INT-CE M.POT GUAMO  PK 440+325 D02</t>
  </si>
  <si>
    <t>INT-CE PAP GUAMO  PK 440+325 D02</t>
  </si>
  <si>
    <t>TGIS-3SOC-GLGAD02-RAMALT-GMO-STU</t>
  </si>
  <si>
    <t>RM_GMO TUBERIAS</t>
  </si>
  <si>
    <t>Guamo  PK 440+325</t>
  </si>
  <si>
    <t>INT-CE M.POT GUASIMAL - DINA D02</t>
  </si>
  <si>
    <t>INT-CE PAP GUASIMAL - DINA D02</t>
  </si>
  <si>
    <t>Guasimal - Dina</t>
  </si>
  <si>
    <t>INT INSP CUPONES GUATANCUY</t>
  </si>
  <si>
    <t>TGIS-3CEN-BLCOD03-RAMALT-GUA-STU</t>
  </si>
  <si>
    <t>RM_GUATANCUY TUBERIAS</t>
  </si>
  <si>
    <t>Guatancuy  PK 69+347</t>
  </si>
  <si>
    <t>INT-CE M.POT GUAYABAL  PK 313+053 D02</t>
  </si>
  <si>
    <t>INT-CE PAP GUAYABAL  PK 313+053 D02</t>
  </si>
  <si>
    <t>TGIS-3SOC-MQGLD02-RAMALT-GYV-STU</t>
  </si>
  <si>
    <t>RM_GYB TUBERIAS</t>
  </si>
  <si>
    <t>Guayabal  PK 313+053</t>
  </si>
  <si>
    <t>INT-CE M.POT HOCOL D02</t>
  </si>
  <si>
    <t>INT-CE PAP HOCOL D02</t>
  </si>
  <si>
    <t>TGIS-3SOC-GUDND02-RAMALT-HOC</t>
  </si>
  <si>
    <t>RAMAL HOCOL</t>
  </si>
  <si>
    <t>Hocol</t>
  </si>
  <si>
    <t>INT-CE M.POT HONDA  PK 296+096 D02</t>
  </si>
  <si>
    <t>INT-CE PAP HONDA  PK 296+096 D02</t>
  </si>
  <si>
    <t>TGIS-3SOC-MQGLD02-RAMALT-HON-STU</t>
  </si>
  <si>
    <t>RM_HON TUBERIAS</t>
  </si>
  <si>
    <t>Honda  PK 296+096</t>
  </si>
  <si>
    <t>INT-CE M.POT IBAGUÉ  PK 401+100 D02</t>
  </si>
  <si>
    <t>INT-CE PAP IBAGUÉ  PK 401+100 D02</t>
  </si>
  <si>
    <t>TGIS-3SOC-MQGLD02-RAMALT-IBA-STU</t>
  </si>
  <si>
    <t>RM_IBA TUBERIAS</t>
  </si>
  <si>
    <t>Ibagué  PK 401+100</t>
  </si>
  <si>
    <t>INT-CE M.POT BASE AEREA IMPROARROZ D04</t>
  </si>
  <si>
    <t>INT-CE CIPS BASE AEREA IMPROARROZ D04</t>
  </si>
  <si>
    <t>TGIS-3CEN-APTED04-RAMALT-BAI</t>
  </si>
  <si>
    <t>RAMAL BASE AEREA IMPROARROZ</t>
  </si>
  <si>
    <t>Improarroz  PK 19+120</t>
  </si>
  <si>
    <t>INT-CE M.POT JAMUNDÍ  PK 43+082 D08</t>
  </si>
  <si>
    <t>INT-CE PAP JAMUNDÍ  PK 43+082 D08</t>
  </si>
  <si>
    <t>TGIS-3SOC-TUCAD08-RAMALT-JAM-STU</t>
  </si>
  <si>
    <t>RM_JAM TUBERIAS</t>
  </si>
  <si>
    <t>Jamundí  PK 43+082</t>
  </si>
  <si>
    <t>INT-CE CIPS JAMUNDÍ  PK 43+082 D08</t>
  </si>
  <si>
    <t>INT-CE M.POT LA PAILA  PK  230+500 D08</t>
  </si>
  <si>
    <t>INT-CE PAP LA PAILA  PK  230+500 D08</t>
  </si>
  <si>
    <t>TGIS-3SOC-OBTUD08-RAMALT-PAI</t>
  </si>
  <si>
    <t>RAMAL PAILA</t>
  </si>
  <si>
    <t>La Paila  PK  230+500</t>
  </si>
  <si>
    <t>INT-CE CIPS LA PAILA  PK  230+500 D08</t>
  </si>
  <si>
    <t>INT-CE M.POT LA SIERRA  PK 344+310 D02</t>
  </si>
  <si>
    <t>INT-CE PAP LA SIERRA  PK 344+310 D02</t>
  </si>
  <si>
    <t>TGIS-3SOC-MQGLD02-RAMALT-SIE-STU</t>
  </si>
  <si>
    <t>RM_SIE TUBERIAS</t>
  </si>
  <si>
    <t>La Sierra  PK 344+310</t>
  </si>
  <si>
    <t>INT-CE M.POT LA UNIÓN  (9+217)  D08</t>
  </si>
  <si>
    <t>INT-CE PAP LA UNIÓN  (9+217)  D08</t>
  </si>
  <si>
    <t>TGIS-3SOC-OBTUD08-RAMALT-UNI</t>
  </si>
  <si>
    <t>RAMAL LA UNION</t>
  </si>
  <si>
    <t xml:space="preserve">La Unión  (9+217) </t>
  </si>
  <si>
    <t>INT-CE M.POT LA VICTORIA  (3+032) D08</t>
  </si>
  <si>
    <t>INT-CE PAP LA VICTORIA  (3+032) D08</t>
  </si>
  <si>
    <t>TGIS-3SOC-OBTUD08-RAMALT-VIC</t>
  </si>
  <si>
    <t>RAMAL LA VICTORIA</t>
  </si>
  <si>
    <t>La Victoria  (3+032)</t>
  </si>
  <si>
    <t>INT-CE M.POT LÉRIDA  PK 336+740 D02</t>
  </si>
  <si>
    <t>INT-CE PAP LÉRIDA  PK 336+740 D02</t>
  </si>
  <si>
    <t>TGIS-3SOC-MQGLD02-RAMALT-LER-STU</t>
  </si>
  <si>
    <t>RM_LER TUBERIAS</t>
  </si>
  <si>
    <t>Lérida  PK 336+740</t>
  </si>
  <si>
    <t>INT-CE REV LETRAS - MARSELLA D07</t>
  </si>
  <si>
    <t>TGIS-3SOC-LEMAD07-TRONCA-TLM-STU</t>
  </si>
  <si>
    <t>TN_LETRAS-MARSELLA TUBERIAS</t>
  </si>
  <si>
    <t>Letras - Marsella</t>
  </si>
  <si>
    <t>INT-CE M.POT LÍBANO  PK 341+750 D02</t>
  </si>
  <si>
    <t>INT-CE PAP LÍBANO  PK 341+750 D02</t>
  </si>
  <si>
    <t>TGIS-3SOC-MQGLD02-RAMALT-LIB-STU</t>
  </si>
  <si>
    <t>RM_LIB TUBERIAS</t>
  </si>
  <si>
    <t>Líbano  PK 341+750</t>
  </si>
  <si>
    <t>INT-CE M.POT LOOP ARMENIA D08</t>
  </si>
  <si>
    <t>INT-CE PAP LOOP ARMENIA D08</t>
  </si>
  <si>
    <t>TGIS-3SOC-OBTUD08-LOOPTU-ARM</t>
  </si>
  <si>
    <t>LOOP ARMENIA</t>
  </si>
  <si>
    <t>Loop Armenia</t>
  </si>
  <si>
    <t>INT-CE M.POT MANIZALES  (3+154) D07</t>
  </si>
  <si>
    <t>INT-CE PAP MANIZALES  (3+154) D07</t>
  </si>
  <si>
    <t>TGIS-3SOC-LEMAD07-RAMALT-MNZ-STU</t>
  </si>
  <si>
    <t>RM_MNZ TUBERIAS</t>
  </si>
  <si>
    <t>Manizales  (3+154)</t>
  </si>
  <si>
    <t>INT-CE M.POT MARIQUITA - GUALANDAY D02</t>
  </si>
  <si>
    <t>INT-CE PAP MARIQUITA - GUALANDAY D02</t>
  </si>
  <si>
    <t>Mariquita - Gualanday</t>
  </si>
  <si>
    <t>INT-CE CALIBRACION SECTOR ANOD FLEXI LET</t>
  </si>
  <si>
    <t>MANTENIMIENTO A LAS CAJAS DEL SISTEMA AN</t>
  </si>
  <si>
    <t>TGIS-3SOC-MQLED07-TRONCA-TML-STU</t>
  </si>
  <si>
    <t>TN_MARIQUITA-LETRAS TUBERIAS</t>
  </si>
  <si>
    <t>Calibración Anodeflex</t>
  </si>
  <si>
    <t>Mariquita - Letras</t>
  </si>
  <si>
    <t>INT-CE REV MARIQUITA - LETRAS D07</t>
  </si>
  <si>
    <t>INT-CE M.POT MARIQUITA  PK 293+100 D02</t>
  </si>
  <si>
    <t>INT-CE PAP MARIQUITA  PK 293+100 D02</t>
  </si>
  <si>
    <t>TGIS-3SOC-PSMQD02-RAMALT-MRQ</t>
  </si>
  <si>
    <t>RAMAL MARIQUITA</t>
  </si>
  <si>
    <t>Mariquita  PK 293+100</t>
  </si>
  <si>
    <t>INT-CE M.POT MONTAÑUELO - GUALANDAY D02</t>
  </si>
  <si>
    <t>INT-CE PAP MONTAÑUELO - GUALANDAY D02</t>
  </si>
  <si>
    <t>TGIS-3SOC-GLGAD02-RAMALT-MTN</t>
  </si>
  <si>
    <t>RAMAL MONTAÑUELO</t>
  </si>
  <si>
    <t>Montañuelo - Gualanday</t>
  </si>
  <si>
    <t>INT-CE M.POT MONTENEGRO  PK 9+487 D07</t>
  </si>
  <si>
    <t>INT-CE PAP MONTENEGRO  PK 9+487 D07</t>
  </si>
  <si>
    <t>TGIS-3SOC-ARFID07-RAMALT-MON-STU</t>
  </si>
  <si>
    <t>RM_MON TUBERIAS</t>
  </si>
  <si>
    <t>Montenegro  PK 9+487</t>
  </si>
  <si>
    <t>D01</t>
  </si>
  <si>
    <t>INT-CE REV MORICHE  PK  154+700 D01</t>
  </si>
  <si>
    <t>D01CONTR</t>
  </si>
  <si>
    <t>TGIS-3NRT-SBVSD01-RAMALT-MOR</t>
  </si>
  <si>
    <t>RAMAL MORICHE</t>
  </si>
  <si>
    <t>Moriche  PK  154+700</t>
  </si>
  <si>
    <t>NORTE</t>
  </si>
  <si>
    <t>INT-CE M.POT NATAGAIMA  PK 493+100 D02</t>
  </si>
  <si>
    <t>INT-CE PAP NATAGAIMA  PK 493+100 D02</t>
  </si>
  <si>
    <t>TGIS-3SOC-GLGAD02-RAMALT-NAT-STU</t>
  </si>
  <si>
    <t>RM_NAT TUBERIAS</t>
  </si>
  <si>
    <t>Natagaima  PK 493+100</t>
  </si>
  <si>
    <t>INT INSP CUPONES NEMOCOM PK 107+254</t>
  </si>
  <si>
    <t>TGIS-3CEN-BLCOD03-RAMALT-NEM-STU</t>
  </si>
  <si>
    <t>RM_NEMOCON TUBERIAS</t>
  </si>
  <si>
    <t>Nemocón  PK 107+254</t>
  </si>
  <si>
    <t>INT-CE M.POT OBANDO - TULUÁ D08</t>
  </si>
  <si>
    <t>INT-CE PAP OBANDO - TULUÁ D08</t>
  </si>
  <si>
    <t>TGIS-3SOC-OBTUD08-TRONCA-TOT-STU</t>
  </si>
  <si>
    <t>TN_OBANDO-TULUA TUBERIAS</t>
  </si>
  <si>
    <t>Obando - Tuluá</t>
  </si>
  <si>
    <t>PAP sin $</t>
  </si>
  <si>
    <t>INT-CE CIPS OBANDO - TULUÁ D08</t>
  </si>
  <si>
    <t>INT-CE M.POT PIEDRAS  PK 371+600 D02</t>
  </si>
  <si>
    <t>INT-CE PAP PIEDRAS  PK 371+600 D02</t>
  </si>
  <si>
    <t>TGIS-3SOC-MQGLD02-RAMALT-PIE-STU</t>
  </si>
  <si>
    <t>RM_PIE TUBERIAS</t>
  </si>
  <si>
    <t>Piedras  PK 371+600</t>
  </si>
  <si>
    <t>INT-CE M.POT PRADERA D08</t>
  </si>
  <si>
    <t>INT-CE PAP PRADERA  PK 37+422 D08</t>
  </si>
  <si>
    <t>TGIS-3SOC-TUCAD08-RAMALT-PRD-STU</t>
  </si>
  <si>
    <t>RM-PRD TUBERIAS</t>
  </si>
  <si>
    <t>Pradera  PK 37+422</t>
  </si>
  <si>
    <t>INT-CE CIPS PRADERA  PK 37+422 D08</t>
  </si>
  <si>
    <t>INT-CE M.POT PTO SALGAR-MARIQUITA D02</t>
  </si>
  <si>
    <t>INT-CE PAP PTO SALGAR-MARIQUITA D02</t>
  </si>
  <si>
    <t>TGIS-3NRT-PSMQD01-TRONCA-PGU-STU</t>
  </si>
  <si>
    <t>TN_PSALGAR-GUARINONCTO TUBERIAS</t>
  </si>
  <si>
    <t>Puerto Salgar - Mariquita</t>
  </si>
  <si>
    <t>INT-CE M.POT PURIFICACIÓN D02</t>
  </si>
  <si>
    <t>INT-CE PAP PURIFICACIÓN D02</t>
  </si>
  <si>
    <t>TGIS-3SOC-GLGAD02-RAMALT-PUR-STU</t>
  </si>
  <si>
    <t>RM_PUR TUBERIAS</t>
  </si>
  <si>
    <t>Purificación</t>
  </si>
  <si>
    <t>INT-CE M.POT QUIMBAYA  PK 7+850 D07</t>
  </si>
  <si>
    <t>INT-CE PAP QUIMBAYA  PK 7+850 D07</t>
  </si>
  <si>
    <t>TGIS-3SOC-ARFID07-RAMALT-QUI-STU</t>
  </si>
  <si>
    <t>RM_QUI TUBERIAS</t>
  </si>
  <si>
    <t>Quimbaya  PK 7+850</t>
  </si>
  <si>
    <t>INT-CE M.POT ROLDANILLO  PK 206+545 D08</t>
  </si>
  <si>
    <t>INT-CE PAP ROLDANILLO  PK 206+545 D08</t>
  </si>
  <si>
    <t>TGIS-3SOC-OBTUD08-RAMALT-ROL-STU</t>
  </si>
  <si>
    <t>RM_ROL TUBERIAS</t>
  </si>
  <si>
    <t>Roldanillo  PK 206+545</t>
  </si>
  <si>
    <t>INT-CE M.POT SALDAÑA A  PK 454+870 D02</t>
  </si>
  <si>
    <t>INT-CE PAP SALDAÑA A  PK 454+870 D02</t>
  </si>
  <si>
    <t>TGIS-3SOC-GLGAD02-RAMALT-SAA-STU</t>
  </si>
  <si>
    <t>RM_SAA TUBERIAS</t>
  </si>
  <si>
    <t>Saldaña A  PK 454+870</t>
  </si>
  <si>
    <t>INT-CE M.POT SALDAÑA B  PK 458+345 D02</t>
  </si>
  <si>
    <t>INT-CE PAP SALDAÑA B  PK 458+345 D02</t>
  </si>
  <si>
    <t>TGIS-3SOC-GLGAD02-RAMALT-SAB-STU</t>
  </si>
  <si>
    <t>RM_SAB TUBERIAS</t>
  </si>
  <si>
    <t>Saldaña B  PK 458+345</t>
  </si>
  <si>
    <t>INT-CE M.POT SALENTO  PK 15+921 D07</t>
  </si>
  <si>
    <t>INT-CE PAP SALENTO  PK 15+921 D07</t>
  </si>
  <si>
    <t>TGIS-3SOC-ARFID07-RAMALT-SAL-STU</t>
  </si>
  <si>
    <t>RM_SAL TUBERIAS</t>
  </si>
  <si>
    <t>Salento  PK 15+921</t>
  </si>
  <si>
    <t>INT-CE M.POT SAN LUIS D02</t>
  </si>
  <si>
    <t>INT-CE PAP SAN LUIS D02</t>
  </si>
  <si>
    <t>TGIS-3SOC-GLGAD02-RAMALT-SNL-STU</t>
  </si>
  <si>
    <t>RM_SNL TUBERIAS</t>
  </si>
  <si>
    <t>San Luis</t>
  </si>
  <si>
    <t>INT-CE M.POT SAN PEDRO  PK 277+111 D08</t>
  </si>
  <si>
    <t>INT-CE PAP SAN PEDRO  PK 277+111 D08</t>
  </si>
  <si>
    <t>TGIS-3SOC-TUCAD08-RAMALT-SAN-STU</t>
  </si>
  <si>
    <t>RM_SAN TUBERIAS</t>
  </si>
  <si>
    <t>San Pedro  PK 277+111</t>
  </si>
  <si>
    <t>INT-CE M.POT SEBASTOPOL - VASCONIA D01</t>
  </si>
  <si>
    <t>INT-CE PAP SEBASTOPOL - VASCONIA D01</t>
  </si>
  <si>
    <t>TGIS-3NRT-SBVSD01-TRONCA-SEV-STU</t>
  </si>
  <si>
    <t>TN_SEBASTOPOL-VASCONIA TUBERIAS</t>
  </si>
  <si>
    <t>Sebastopol - Vasconia</t>
  </si>
  <si>
    <t>INT-CE M.POT SENERGY  PK 114+080 D03</t>
  </si>
  <si>
    <t>INT-CE PAP SENERGY  PK 114+080 D03</t>
  </si>
  <si>
    <t>TGIS-3CEN-BLCOD03-RAMALT-SNG-STU</t>
  </si>
  <si>
    <t>RM_SENERGY TUBERIAS</t>
  </si>
  <si>
    <t>Senergy  PK 114+080</t>
  </si>
  <si>
    <t>INT-CE M.POT SEVILLA  ((12+270)) D07</t>
  </si>
  <si>
    <t>INT-CE PAP SEVILLA  ((12+270)) D07</t>
  </si>
  <si>
    <t>TGIS-3SOC-ARFID08-RAMALT-SEV-STU</t>
  </si>
  <si>
    <t>RM_SEV TUBERIAS</t>
  </si>
  <si>
    <t>Sevilla  ((12+270))</t>
  </si>
  <si>
    <t>INT INSP CUPONES SIMIJACA PK 45+311</t>
  </si>
  <si>
    <t>TGIS-3CEN-BLCOD03-RAMALT-SMJ-STU</t>
  </si>
  <si>
    <t>RM_SIMIJACA TUBERIAS</t>
  </si>
  <si>
    <t>Simijaca  PK 45+311</t>
  </si>
  <si>
    <t>INT INSP CUPONES SUSA PK 52+359</t>
  </si>
  <si>
    <t>TGIS-3CEN-BLCOD03-RAMALT-SUS-STU</t>
  </si>
  <si>
    <t>RM_SUSA TUBERIAS</t>
  </si>
  <si>
    <t>Susa PK 52+359</t>
  </si>
  <si>
    <t>INT INSP CUPONES SUTATAUSA  (73+420)</t>
  </si>
  <si>
    <t>TGIS-3CEN-BLCOD03-RAMALT-SUT-STU</t>
  </si>
  <si>
    <t>RM_SUTATAUSA TUBERIAS</t>
  </si>
  <si>
    <t>Sutatausa  (73+420)</t>
  </si>
  <si>
    <t>INT-CE M.POT TEBAIDA  PK 37+548 D07</t>
  </si>
  <si>
    <t>INT-CE PAP TEBAIDA  PK 37+548 D07</t>
  </si>
  <si>
    <t>TGIS-3SOC-ARFID07-RAMALT-TEB-STU</t>
  </si>
  <si>
    <t>RM_TEB TUBERIAS</t>
  </si>
  <si>
    <t>Tebaida  PK 37+548</t>
  </si>
  <si>
    <t>INT-CE REV TERMOCENTRO  PK 112+747 D01</t>
  </si>
  <si>
    <t>TGIS-3NRT-SBVSD01-RAMALT-TMC</t>
  </si>
  <si>
    <t>RAMAL TERMOCENTRO</t>
  </si>
  <si>
    <t>Termocentro  PK 112+747</t>
  </si>
  <si>
    <t>INT-CE M.POT TERMOCENTRO  D01</t>
  </si>
  <si>
    <t>INT-CE PAP TERMOCENTRO  PK 112+747 D01</t>
  </si>
  <si>
    <t>INT-CE M.POT TERMOEMCALI D08</t>
  </si>
  <si>
    <t>INT-CE PAP TERMOEMCALI  PK 340+500 D08</t>
  </si>
  <si>
    <t>TGIS-3SOC-TUCAD08-RAMALT-TEC</t>
  </si>
  <si>
    <t>RAMAL TERMOEMCALI</t>
  </si>
  <si>
    <t>Termoemcali  PK 340+500</t>
  </si>
  <si>
    <t>INT-CE M.POT TERMOVALLE  PK 336+404 D08</t>
  </si>
  <si>
    <t>INT-CE PAP TERMOVALLE  PK 336+404 D08</t>
  </si>
  <si>
    <t>TGIS-3SOC-TUCAD08-RAMALT-TEV</t>
  </si>
  <si>
    <t>RAMAL TERMOVALLE</t>
  </si>
  <si>
    <t>Termovalle  PK 336+404</t>
  </si>
  <si>
    <t>INT-CE M.POT TIERRADENTRO  (13+00) D02</t>
  </si>
  <si>
    <t>INT-CE PAP TIERRADENTRO  (13+00) D02</t>
  </si>
  <si>
    <t>TGIS-3SOC-MQGLD02-RAMALT-TIE-STU</t>
  </si>
  <si>
    <t>RM_TIE TUBERIAS</t>
  </si>
  <si>
    <t>Tierradentro  (13+00)</t>
  </si>
  <si>
    <t>INT-CE M.POT TULUÁ - CALÍ D08</t>
  </si>
  <si>
    <t>INT-CE PAP TULUÁ - CALÍ D08</t>
  </si>
  <si>
    <t>TGIS-3SOC-TUCAD08-TRONCA-TTC-STU</t>
  </si>
  <si>
    <t>TN_TULUA-CALI TUBERIAS</t>
  </si>
  <si>
    <t>Tuluá - Calí</t>
  </si>
  <si>
    <t>INT-CE CIPS TULUÁ - CALÍ D08</t>
  </si>
  <si>
    <t>INT-CE M.POT TULUÁ  PK 265+496 D08</t>
  </si>
  <si>
    <t>INT-CE PAP TULUÁ  PK 265+496 D08</t>
  </si>
  <si>
    <t>TGIS-3SOC-OBTUD08-RAMALT-TUL-STU</t>
  </si>
  <si>
    <t>RM_TUL TUBERIAS</t>
  </si>
  <si>
    <t>Tuluá  PK 265+496</t>
  </si>
  <si>
    <t>INT INSP CUPONES UBATE PK73+420</t>
  </si>
  <si>
    <t>TGIS-3CEN-BLCOD03-RAMALT-UBA-STU</t>
  </si>
  <si>
    <t>RM_UBATE TUBERIAS</t>
  </si>
  <si>
    <t>Ubaté  PK73+420</t>
  </si>
  <si>
    <t>INT-CE M.POT VASCONIA - PTO SALGAR D01</t>
  </si>
  <si>
    <t>INT-CE PAP VASCONIA - PUERTO SALGAR D01</t>
  </si>
  <si>
    <t>TGIS-3NRT-VSPSD01-TRONCA-VAS-STU</t>
  </si>
  <si>
    <t>TN_VASCONIA PTO SALGAR TUBERIAS</t>
  </si>
  <si>
    <t>Vasconia - Puerto Salgar</t>
  </si>
  <si>
    <t>INT-CE M.POT VENADILLO  PK 354+670 D02</t>
  </si>
  <si>
    <t>INT-CE PAP VENADILLO  PK 354+670 D02</t>
  </si>
  <si>
    <t>TGIS-3SOC-MQGLD02-RAMALT-VEN-STU</t>
  </si>
  <si>
    <t>RM_VEN TUBERIAS</t>
  </si>
  <si>
    <t>Venadillo  PK 354+670</t>
  </si>
  <si>
    <t>INT-CE REV VILLAMARÍA  PK 88+348 D07</t>
  </si>
  <si>
    <t>TGIS-3SOC-LEMAD07-RAMALT-VIL-STU</t>
  </si>
  <si>
    <t>Villamaría  PK 88+348</t>
  </si>
  <si>
    <t>INT-CE M.POT ZARZAL  PK 220+372 D08</t>
  </si>
  <si>
    <t>INT-CE PAP ZARZAL  PK 220+372 D08</t>
  </si>
  <si>
    <t>TGIS-3SOC-OBTUD08-RAMALT-ZAR-STU</t>
  </si>
  <si>
    <t>RM_ZAR TUBERIAS</t>
  </si>
  <si>
    <t>Zarzal  PK 220+372</t>
  </si>
  <si>
    <t>1300013551</t>
  </si>
  <si>
    <t xml:space="preserve"> PK 65+900 - Apiay</t>
  </si>
  <si>
    <t>1300013541</t>
  </si>
  <si>
    <t>Acacías  PK 17+00</t>
  </si>
  <si>
    <t>1300013429</t>
  </si>
  <si>
    <t>Aipe  PK 543+400</t>
  </si>
  <si>
    <t>1300013515</t>
  </si>
  <si>
    <t>1300013512</t>
  </si>
  <si>
    <t>Apiay - Termocoa</t>
  </si>
  <si>
    <t>1300013544</t>
  </si>
  <si>
    <t>Apiay - Villavicencio</t>
  </si>
  <si>
    <t>1300013562</t>
  </si>
  <si>
    <t>1300013517</t>
  </si>
  <si>
    <t>Briceño  PK 22+024</t>
  </si>
  <si>
    <t>1300013519</t>
  </si>
  <si>
    <t>1300013522</t>
  </si>
  <si>
    <t>Capellanía  PK 56+354</t>
  </si>
  <si>
    <t>1300013548</t>
  </si>
  <si>
    <t>Cáqueza   PK 92+900</t>
  </si>
  <si>
    <t>1300013550</t>
  </si>
  <si>
    <t>Chipaque  PK 112+900</t>
  </si>
  <si>
    <t>1300013518</t>
  </si>
  <si>
    <t>Chiquinquirá  PK 36+023</t>
  </si>
  <si>
    <t>1300013540</t>
  </si>
  <si>
    <t>1300013533</t>
  </si>
  <si>
    <t>Cogua (ladrilleras)  PK 114+954</t>
  </si>
  <si>
    <t>1300013529</t>
  </si>
  <si>
    <t>1300013557</t>
  </si>
  <si>
    <t>Cumaral   (8+500)</t>
  </si>
  <si>
    <t>1300013427</t>
  </si>
  <si>
    <t>Dina - Tello</t>
  </si>
  <si>
    <t>1300013528</t>
  </si>
  <si>
    <t>EDS Ubaté</t>
  </si>
  <si>
    <t>1300013428</t>
  </si>
  <si>
    <t>Fortalecillas  Pk 7+611</t>
  </si>
  <si>
    <t>1300013547</t>
  </si>
  <si>
    <t>Fosca  PK 92+900</t>
  </si>
  <si>
    <t>1300013523</t>
  </si>
  <si>
    <t>1300013511</t>
  </si>
  <si>
    <t>1300013524</t>
  </si>
  <si>
    <t>1300013545</t>
  </si>
  <si>
    <t>Guayabetal  PK 62+530</t>
  </si>
  <si>
    <t>1300013525</t>
  </si>
  <si>
    <t>Lenguazaque  PK 70+500</t>
  </si>
  <si>
    <t>1300013554</t>
  </si>
  <si>
    <t>Maya</t>
  </si>
  <si>
    <t>1300013531</t>
  </si>
  <si>
    <t>1300013555</t>
  </si>
  <si>
    <t>Paratebueno  PK93+100</t>
  </si>
  <si>
    <t>1300013534</t>
  </si>
  <si>
    <t>PK 17+500 - Sucre Oriental</t>
  </si>
  <si>
    <t>1300013536</t>
  </si>
  <si>
    <t>Pte Guillermo - Sucre oriental</t>
  </si>
  <si>
    <t>1300013546</t>
  </si>
  <si>
    <t>Quetame  PK 79+350</t>
  </si>
  <si>
    <t>1300013556</t>
  </si>
  <si>
    <t>Restrepo  PK 128+200</t>
  </si>
  <si>
    <t>1300013532</t>
  </si>
  <si>
    <t>1300013520</t>
  </si>
  <si>
    <t>1300013535</t>
  </si>
  <si>
    <t>Sucre Oriental - Cogua</t>
  </si>
  <si>
    <t>1300013521</t>
  </si>
  <si>
    <t>1300013527</t>
  </si>
  <si>
    <t>1300013530</t>
  </si>
  <si>
    <t>Tausa  PK 95+505</t>
  </si>
  <si>
    <t>1300013430</t>
  </si>
  <si>
    <t>Tello - Los Pinos Neiva</t>
  </si>
  <si>
    <t>1300013516</t>
  </si>
  <si>
    <t>Tunugua  (1+700)</t>
  </si>
  <si>
    <t>1300013526</t>
  </si>
  <si>
    <t>1300013549</t>
  </si>
  <si>
    <t>Une  PK104+905</t>
  </si>
  <si>
    <t>1300013539</t>
  </si>
  <si>
    <t>Villavicencio</t>
  </si>
  <si>
    <t>1300013542</t>
  </si>
  <si>
    <t>Villavicencio GNI</t>
  </si>
  <si>
    <t>1300013543</t>
  </si>
  <si>
    <t>Villavicencio - Usme</t>
  </si>
  <si>
    <t>1300013506</t>
  </si>
  <si>
    <t>1300013507</t>
  </si>
  <si>
    <t>1300013563</t>
  </si>
  <si>
    <t>Marsella - Obando</t>
  </si>
  <si>
    <t>1300013508</t>
  </si>
  <si>
    <t>Total</t>
  </si>
  <si>
    <t>D1</t>
  </si>
  <si>
    <t>D2</t>
  </si>
  <si>
    <t>D3</t>
  </si>
  <si>
    <t>D4</t>
  </si>
  <si>
    <t>D7</t>
  </si>
  <si>
    <t>D8</t>
  </si>
  <si>
    <t>TOTAL</t>
  </si>
  <si>
    <t>OT</t>
  </si>
  <si>
    <t>operación</t>
  </si>
  <si>
    <t>Número de toma</t>
  </si>
  <si>
    <t>Paquetes vencidos</t>
  </si>
  <si>
    <t>Trabajo</t>
  </si>
  <si>
    <t>Observaciones</t>
  </si>
  <si>
    <t>12</t>
  </si>
  <si>
    <t>ANDALUCÍA  PK 250+165</t>
  </si>
  <si>
    <t>INT-CE M.POT ANSERMANUEVO D08</t>
  </si>
  <si>
    <t>INT-CE CIPS ANSERMANUEVO D08</t>
  </si>
  <si>
    <t>36</t>
  </si>
  <si>
    <t>TGIS-3SOC-MAOBD08-RAMALT-ANS-STU</t>
  </si>
  <si>
    <t>RM_ANS TUBERIAS</t>
  </si>
  <si>
    <t>ANSERMANUEVO  PK 14+059</t>
  </si>
  <si>
    <t>INT-CE PAP ANSERMANUEVO  PK 14+059 D08</t>
  </si>
  <si>
    <t>INT-CE M.POT RAMAL BALBOA D07</t>
  </si>
  <si>
    <t>INT-CE CIPS RAMAL BALBOA D07</t>
  </si>
  <si>
    <t>TGIS-3SOC-MAOBD07-RAMALT-BAL-STU</t>
  </si>
  <si>
    <t>RM_BAL TUBERIAS</t>
  </si>
  <si>
    <t>BALBOA  PK 11+828</t>
  </si>
  <si>
    <t>INT-CE PAP RAMAL BALBOA  ((11+828)) D07</t>
  </si>
  <si>
    <t>BUGA  PK 286+843</t>
  </si>
  <si>
    <t>BUGA GNI</t>
  </si>
  <si>
    <t>BUGA LA GRANDE  PK 244+127</t>
  </si>
  <si>
    <t>INT-CE CIPS CALARCÁ  PK 46+265 D07</t>
  </si>
  <si>
    <t>CALARCÁ  PK 46+265</t>
  </si>
  <si>
    <t>INT-CE CALIB SECTOR ANOD FLEXI VILLA MAR</t>
  </si>
  <si>
    <t>TGIS-3SOC-MAOBD07-TRONCA-TMO-STU</t>
  </si>
  <si>
    <t>TN_MARSELLA-OBANDO TUBERIAS</t>
  </si>
  <si>
    <t>TINT-AFL</t>
  </si>
  <si>
    <t>CALIB SECTOR ANOD FLEXI VILLA MARIA</t>
  </si>
  <si>
    <t>6M</t>
  </si>
  <si>
    <t>CALIBRACION SECTOR ANOD FLEXI LETRAS</t>
  </si>
  <si>
    <t>INT-CE M.POT CARTAGO  PK 174+067 D08</t>
  </si>
  <si>
    <t>INT-CE PAP CARTAGO  PK 174+067 D08</t>
  </si>
  <si>
    <t>TGIS-3SOC-MAOBD08-RAMALT-CAR-STU</t>
  </si>
  <si>
    <t>RM_CAR TUBERIAS</t>
  </si>
  <si>
    <t>CARTAGO  PK 174+067</t>
  </si>
  <si>
    <t>INT-CE M.POT RAMAL CHINCHINÁ D07</t>
  </si>
  <si>
    <t>INT-CE PAP RAMAL CHINCHINÁ D07</t>
  </si>
  <si>
    <t>TGIS-3SOC-LEMAD07-RAMALT-CHI-STU</t>
  </si>
  <si>
    <t>CHINCHINÁ</t>
  </si>
  <si>
    <t>INT INSP CUPONES DOIMA D02</t>
  </si>
  <si>
    <t>DOIMA</t>
  </si>
  <si>
    <t>INT-CE M.POT DOS QUEBRADAS D07</t>
  </si>
  <si>
    <t>INT-CE PAP DOS QUEBRADAS D07</t>
  </si>
  <si>
    <t>TGIS-3SOC-LEMAD07-RAMALT-DOQ-STU</t>
  </si>
  <si>
    <t>RM_DOQ TUBERIAS</t>
  </si>
  <si>
    <t>DOS QUEBRADAS</t>
  </si>
  <si>
    <t>EDS BUGA CAÑADUZAL</t>
  </si>
  <si>
    <t xml:space="preserve">EDS BUGA GAZEL </t>
  </si>
  <si>
    <t>INT-CE M.POT EDS PUERTO CALDAS D07</t>
  </si>
  <si>
    <t>INT-CE PAP EDS PUERTO CALDAS D07</t>
  </si>
  <si>
    <t>TGIS-3SOC-MAOBD07-RAMALT-PCA</t>
  </si>
  <si>
    <t>RAMAL EDS PUERTO CALDAS</t>
  </si>
  <si>
    <t xml:space="preserve">EDS PUERTO CALDAS </t>
  </si>
  <si>
    <t>EDS TOTAL GAS</t>
  </si>
  <si>
    <t>INT-CE CIPS FILANDIA  PK 17+602 D07</t>
  </si>
  <si>
    <t>FILANDIA  PK 17+602</t>
  </si>
  <si>
    <t>INT-CE M.POT FRESNO  PK19+140 D07</t>
  </si>
  <si>
    <t>INT-CE PAP FRESNO  PK19+140 D07</t>
  </si>
  <si>
    <t>TGIS-3SOC-MQLED07-RAMALT-FRE-STU</t>
  </si>
  <si>
    <t>RM_FRE TUBERIAS</t>
  </si>
  <si>
    <t>FRESNO  PK19+140</t>
  </si>
  <si>
    <t>GUACARÍ  PK 306+081</t>
  </si>
  <si>
    <t>INT-CE M.POT RAMAL HERVEO D07</t>
  </si>
  <si>
    <t>INT-CE PAP RAMAL HERVEO  PK 50+978 D07</t>
  </si>
  <si>
    <t>TGIS-3SOC-MQLED07-RAMALT-HER-STU</t>
  </si>
  <si>
    <t>RM_HER TUBERIAS</t>
  </si>
  <si>
    <t>HERVEO  PK 50+978</t>
  </si>
  <si>
    <t>INT INSP CUPONES HONDA</t>
  </si>
  <si>
    <t>HONDA</t>
  </si>
  <si>
    <t>INT-CE M.POT LA CELIA (22+706) D07</t>
  </si>
  <si>
    <t>INT-CE CIPS LA CELIA (22+706) D07</t>
  </si>
  <si>
    <t>TGIS-3SOC-MAOBD07-RAMALT-CEL-STU</t>
  </si>
  <si>
    <t>RM_CEL TUBERIAS</t>
  </si>
  <si>
    <t>LA CELIA (22+706)</t>
  </si>
  <si>
    <t>INT-CE PAP LA CELIA (22+706) D07</t>
  </si>
  <si>
    <t>INT-CE M.POT LA DORADA  (9+600) D02</t>
  </si>
  <si>
    <t>INT-CE CIPS LA DORADA  (9+600) D02</t>
  </si>
  <si>
    <t>TGIS-3NRT-PSMQD01-RAMALT-DOR-STU</t>
  </si>
  <si>
    <t>RM_DOR TUBERIAS</t>
  </si>
  <si>
    <t>LA DORADA  (9+600)</t>
  </si>
  <si>
    <t>INT-CE PAP LA DORADA  (9+600) D02</t>
  </si>
  <si>
    <t>LA PAILA  PK  230+500</t>
  </si>
  <si>
    <t>LA UNIÓN  (9+217)</t>
  </si>
  <si>
    <t>LA VICTORIA  (3+032)</t>
  </si>
  <si>
    <t>INT-CE M.POT LA VICTORIA D02</t>
  </si>
  <si>
    <t>INT-CE CIPS LA VICTORIA D02</t>
  </si>
  <si>
    <t>TGIS-3SOC-PSMQD02-RAMALT-VIC-STU</t>
  </si>
  <si>
    <t>RM_VIC TUBERIAS</t>
  </si>
  <si>
    <t>LA VICTORIA  PK 281+800</t>
  </si>
  <si>
    <t>INT-CE PAP LA VICTORIA  PK 281+800 D02</t>
  </si>
  <si>
    <t>INT-CE M.POT LA VIRGINIA D07</t>
  </si>
  <si>
    <t>INT-CE CIPS LA VIRGINIA D07</t>
  </si>
  <si>
    <t>TGIS-3SOC-MAOBD07-RAMALT-VIR-STU</t>
  </si>
  <si>
    <t>RM_VIR TUBERIAS</t>
  </si>
  <si>
    <t>LA VIRGINIA  PK 158+678</t>
  </si>
  <si>
    <t>INT-CE PAP LA VIRGINIA  PK 158+678 D07</t>
  </si>
  <si>
    <t>INT-CE M.POT LETRAS - MARSELLA D07</t>
  </si>
  <si>
    <t>INT-CE PAP LETRAS - MARSELLA D07</t>
  </si>
  <si>
    <t>LETRAS - MARSELLA</t>
  </si>
  <si>
    <t>INT INSP CUPONES LIBANO D02</t>
  </si>
  <si>
    <t>LIBANO</t>
  </si>
  <si>
    <t>MANIZALES  (3+154)</t>
  </si>
  <si>
    <t>INT-CE M.POT MANZANARES   PK 24+044 D07</t>
  </si>
  <si>
    <t>INT-CE PAP MANZANARES   PK 24+044 D07</t>
  </si>
  <si>
    <t>TGIS-3SOC-MQLED07-RAMALT-MAZ-STU</t>
  </si>
  <si>
    <t>RM_MAZ TUBERIAS</t>
  </si>
  <si>
    <t>MANZANARES   PK 24+044</t>
  </si>
  <si>
    <t>INT-CE M.POT MARIQUITA - LETRAS D07</t>
  </si>
  <si>
    <t>INT-CE PAP MARIQUITA - LETRAS D07</t>
  </si>
  <si>
    <t>MARIQUITA - LETRAS</t>
  </si>
  <si>
    <t>INT-CE CIPS MARIQUITA  PK 293+100 D02</t>
  </si>
  <si>
    <t>MARIQUITA  PK 293+100</t>
  </si>
  <si>
    <t>INT-CE M.POT MARSELLA - OBANDO D07</t>
  </si>
  <si>
    <t>INT-CE PAP MARSELLA - OBANDO D07</t>
  </si>
  <si>
    <t>MARSELLA - OBANDO</t>
  </si>
  <si>
    <t>INT-CE M.POT MARSELLA  PK 136+017 D07</t>
  </si>
  <si>
    <t>INT-CE PAP MARSELLA  PK 136+017 D07</t>
  </si>
  <si>
    <t>TGIS-3SOC-LEMAD07-RAMALT-MAR-STU</t>
  </si>
  <si>
    <t>RM_MAR TUBERIAS</t>
  </si>
  <si>
    <t>MARSELLA  PK 136+017</t>
  </si>
  <si>
    <t>INT-CE M.POT MORICHE  PK  154+700 D01</t>
  </si>
  <si>
    <t>INT-CE CIPS MORICHE  PK  154+700 D01</t>
  </si>
  <si>
    <t>MORICHE  PK  154+700</t>
  </si>
  <si>
    <t>INT-CE PAP MORICHE  PK  154+700 D01</t>
  </si>
  <si>
    <t>INT-CE M.POT NEIRA  PK 81+146 D07</t>
  </si>
  <si>
    <t>INT-CE PAP NEIRA  PK 81+146 D07</t>
  </si>
  <si>
    <t>TGIS-3SOC-LEMAD07-RAMALT-NEI-STU</t>
  </si>
  <si>
    <t>RM_NEI TUBERIAS</t>
  </si>
  <si>
    <t>NEIRA  PK 81+146</t>
  </si>
  <si>
    <t>OBANDO - TULUÁ</t>
  </si>
  <si>
    <t>INT-CE M.POT PALESTINA  PK 107+608 D07</t>
  </si>
  <si>
    <t>INT-CE PAP PALESTINA  PK 107+608 D07</t>
  </si>
  <si>
    <t>TGIS-3SOC-LEMAD07-RAMALT-PAL-STU</t>
  </si>
  <si>
    <t>RM_PALTUBERIAS</t>
  </si>
  <si>
    <t>PALESTINA  PK 107+608</t>
  </si>
  <si>
    <t>INT-CE M.POT PEREIRA   PK 153+406 D07</t>
  </si>
  <si>
    <t>INT-CE PAP PEREIRA   PK 153+406 D07</t>
  </si>
  <si>
    <t>TGIS-3SOC-MAOBD07-RAMALT-PER-STU</t>
  </si>
  <si>
    <t>RM_PER TUBERIAS</t>
  </si>
  <si>
    <t>PEREIRA   PK 153+406</t>
  </si>
  <si>
    <t>PTO SALGAR-MARIQUITA</t>
  </si>
  <si>
    <t>INT-CE M.POT PUERTO BOYACÁ D01</t>
  </si>
  <si>
    <t>INT-CE CIPS PUERTO BOYACÁ D01</t>
  </si>
  <si>
    <t>TGIS-3NRT-VSPSD01-RAMALT-BOY</t>
  </si>
  <si>
    <t>RAMAL PUERTO BOYACA</t>
  </si>
  <si>
    <t>PUERTO BOYACÁ  PK179+276</t>
  </si>
  <si>
    <t>INT-CE PAP PUERTO BOYACÁ  PK179+276 D01</t>
  </si>
  <si>
    <t>INT-CE M.POT PUERTO SALGAR D01</t>
  </si>
  <si>
    <t>INT-CE CIPS PUERTO SALGAR D01</t>
  </si>
  <si>
    <t>TGIS-3NRT-VSPSD01-RAMALT-PTS</t>
  </si>
  <si>
    <t>RAMAL_PUERTO SALGAR</t>
  </si>
  <si>
    <t>PUERTO SALGAR</t>
  </si>
  <si>
    <t>INT-CE PAP PUERTO SALGAR D01</t>
  </si>
  <si>
    <t>INT-CE M.POT PUERTO SERVIEZ D01</t>
  </si>
  <si>
    <t>INT-CE CIPS PUERTO SERVIEZ D01</t>
  </si>
  <si>
    <t>TGIS-3NRT-SBVSD01-RAMALT-SER-STU</t>
  </si>
  <si>
    <t>RM_SER TUBERIAS</t>
  </si>
  <si>
    <t>PUERTO SERVIEZ</t>
  </si>
  <si>
    <t>INT-CE PAP PUERTO SERVIEZ D01</t>
  </si>
  <si>
    <t>INT INSP CUPONES PURIFICACION</t>
  </si>
  <si>
    <t>PURIFICACION</t>
  </si>
  <si>
    <t>INT-CE CIPS QUIMBAYA  PK 7+850 D07</t>
  </si>
  <si>
    <t>QUIMBAYA  PK 7+850</t>
  </si>
  <si>
    <t>INT-CE CIPS SALENTO  PK 15+921 D07</t>
  </si>
  <si>
    <t>SALENTO  PK 15+921</t>
  </si>
  <si>
    <t>INT-CE M.POT SANTA ROSA DE CABAL D07</t>
  </si>
  <si>
    <t>INT-CE PAP SANTA ROSA DE CABAL D07</t>
  </si>
  <si>
    <t>TGIS-3SOC-LEMAD07-RAMALT-SRO-STU</t>
  </si>
  <si>
    <t>RM_SRO TUBERIAS</t>
  </si>
  <si>
    <t>SANTA ROSA DE CABAL</t>
  </si>
  <si>
    <t>INT-CE CIPS SEBASTOPOL - VASCONIA D01</t>
  </si>
  <si>
    <t>SEBASTOPOL - VASCONIA</t>
  </si>
  <si>
    <t>INT-CE CIPS TEBAIDA  PK 37+548 D07</t>
  </si>
  <si>
    <t>TEBAIDA  PK 37+548</t>
  </si>
  <si>
    <t>TERMOCENTRO  PK 112+747</t>
  </si>
  <si>
    <t>INT-CE M.POT TERMODORADA D01</t>
  </si>
  <si>
    <t>INT-CE CIPS TERMODORADA D01</t>
  </si>
  <si>
    <t>TGIS-3NRT-PSMQD01-RAMALT-TRD-STU</t>
  </si>
  <si>
    <t>RM_TRD TUBERIAS</t>
  </si>
  <si>
    <t>TERMODORADA  PK 260+504</t>
  </si>
  <si>
    <t>INT-CE PAP TERMODORADA  PK 260+504 D01</t>
  </si>
  <si>
    <t>TERMOEMCALI  PK 340+500</t>
  </si>
  <si>
    <t>TERMOVALLE  PK 336+404</t>
  </si>
  <si>
    <t>TULUÁ  PK 265+496</t>
  </si>
  <si>
    <t>INT-CE CIPS VASCONIA - PTO SALGAR D01</t>
  </si>
  <si>
    <t>VASCONIA - PUERTO SALGAR</t>
  </si>
  <si>
    <t>INT-CE M.POT VILLAMARÍA  PK 88+348 D07</t>
  </si>
  <si>
    <t>INT-CE PAP VILLAMARÍA  PK 88+348 D07</t>
  </si>
  <si>
    <t>VILLAMARÍA  PK 88+348</t>
  </si>
  <si>
    <t>ZARZAL  PK 220+372</t>
  </si>
  <si>
    <t>ALBANIA PK 17+503</t>
  </si>
  <si>
    <t>INT-CE CIPS ALVARADO  PK 371+600 D02</t>
  </si>
  <si>
    <t>ALVARADO  PK 371+600</t>
  </si>
  <si>
    <t>INT INSP CUPONES AMBALEMA</t>
  </si>
  <si>
    <t>AMBALEMA  PK 344+300</t>
  </si>
  <si>
    <t>INT-CE CIPS AMBALEMA  PK 344+300 D02</t>
  </si>
  <si>
    <t>INT-CE REV ANSERMANUEVO  PK 14+059 D08</t>
  </si>
  <si>
    <t>ARMENIA   PK 46+265</t>
  </si>
  <si>
    <t>ARMENIA Loop</t>
  </si>
  <si>
    <t>Loop</t>
  </si>
  <si>
    <t>INT-CE REV RAMAL BALBOA D07</t>
  </si>
  <si>
    <t>BALBOA</t>
  </si>
  <si>
    <t>CAICEDONIA PK 218+846</t>
  </si>
  <si>
    <t>INT-CE REV CALARCÁ  PK 46+265 D07</t>
  </si>
  <si>
    <t>INT-CE REV CARTAGO  PK 174+067 D08</t>
  </si>
  <si>
    <t>INT-CE CIPS CEMEX  PK 402+300 D02</t>
  </si>
  <si>
    <t>CEMEX  PK 402+300</t>
  </si>
  <si>
    <t>INT-CE REV RAMAL CHINCHINÁ D07</t>
  </si>
  <si>
    <t>INT-CE CIPS CIRCASIA  (PK 7+641) D07</t>
  </si>
  <si>
    <t>CIRCASIA  (PK 7+641)</t>
  </si>
  <si>
    <t>INT-CE REV CIRCASIA  (PK 7+641) D07</t>
  </si>
  <si>
    <t xml:space="preserve">CIRCASIA  (PK 7+641) </t>
  </si>
  <si>
    <t>INT-CE REV CUMARAL   (8+500) D04</t>
  </si>
  <si>
    <t>RM_CUM TUBERIAS</t>
  </si>
  <si>
    <t>CUMARAL   (8+500)</t>
  </si>
  <si>
    <t>INT-CE CIPS DOIMA  PK 390+025 D02</t>
  </si>
  <si>
    <t>DOIMA  PK 390+025</t>
  </si>
  <si>
    <t>INT-CE REV DOS QUEBRADAS D07</t>
  </si>
  <si>
    <t>INT-CE REV EDS PUERTO CALDAS D07</t>
  </si>
  <si>
    <t>EDS PUERTO CALDAS</t>
  </si>
  <si>
    <t>EL CERRITO  PK 4+721</t>
  </si>
  <si>
    <t>INT-CE REV FILANDIA  PK 17+602 D07</t>
  </si>
  <si>
    <t xml:space="preserve">FLORIDA </t>
  </si>
  <si>
    <t>INT-CE REV FRESNO  PK19+140 D07</t>
  </si>
  <si>
    <t>INT-CE CIPS GUAYABAL  PK 313+053 D02</t>
  </si>
  <si>
    <t xml:space="preserve">GUAYABAL  PK 313+053 </t>
  </si>
  <si>
    <t>INT-CE CIPS HONDA  PK 296+096 D02</t>
  </si>
  <si>
    <t>HONDA  PK 296+096</t>
  </si>
  <si>
    <t>INT-CE CIPS IBAGUÉ  PK 401+100 D02</t>
  </si>
  <si>
    <t xml:space="preserve">IBAGUÉ  PK 401+100 </t>
  </si>
  <si>
    <t>JAMUNDÍ  PK 43+082</t>
  </si>
  <si>
    <t>INT-CE REV LA CELIA (22+706) D07</t>
  </si>
  <si>
    <t>INT-CE CIPS LA SIERRA  PK 344+310 D02</t>
  </si>
  <si>
    <t>LA SIERRA  PK 344+310</t>
  </si>
  <si>
    <t>INT INSP CUPONES LA VICTORIA D02</t>
  </si>
  <si>
    <t>INT-CE REV LA VIRGINIA  PK 158+678 D07</t>
  </si>
  <si>
    <t>INT-CE CIPS LÉRIDA  PK 336+740 D02</t>
  </si>
  <si>
    <t>LERIDA  PK 336+740</t>
  </si>
  <si>
    <t>INT-CE CIPS LÍBANO  PK 341+750 D02</t>
  </si>
  <si>
    <t>LIBANO  PK 341+750</t>
  </si>
  <si>
    <t>INT-CE REV MANIZALES  (3+154) D07</t>
  </si>
  <si>
    <t>INT-CE REV MANZANARES   PK 24+044 D07</t>
  </si>
  <si>
    <t>MARIQUITA - GUALANDAY</t>
  </si>
  <si>
    <t>INT-CE REV MARSELLA  PK 136+017 D07</t>
  </si>
  <si>
    <t>INT-CE REV MAYA D04</t>
  </si>
  <si>
    <t>TGIS-3CEN-65APD04-RAMALT-MAY</t>
  </si>
  <si>
    <t>MAYA</t>
  </si>
  <si>
    <t>INT-CE CIPS MONTENEGRO  PK 9+487 D07</t>
  </si>
  <si>
    <t xml:space="preserve">MONTENEGRO  PK 9+487 </t>
  </si>
  <si>
    <t>INT-CE REV NEIRA  PK 81+146 D07</t>
  </si>
  <si>
    <t>INT-CE REV PALESTINA  PK 107+608 D07</t>
  </si>
  <si>
    <t>INT-CE REV PARATEBUENO  PK93+100 D04</t>
  </si>
  <si>
    <t>PARATEBUENO  PK93+100</t>
  </si>
  <si>
    <t>INT-CE REV PEREIRA   PK 153+406 D07</t>
  </si>
  <si>
    <t>INT INSP CUPONES PIEDRAS D02</t>
  </si>
  <si>
    <t>PIEDRAS  PK 371+600</t>
  </si>
  <si>
    <t>INT-CE CIPS PIEDRAS  PK 371+600 D02</t>
  </si>
  <si>
    <t>PRADERA  PK 37+422</t>
  </si>
  <si>
    <t>INT-CE REV RAMAL HERVEO  PK 50+978 D07</t>
  </si>
  <si>
    <t>INT-CE REV RESTREPO  PK 128+200 D04</t>
  </si>
  <si>
    <t>TGIS-3CEN-65APD04-RAMALT-RES-STU</t>
  </si>
  <si>
    <t>RESTREPO  PK 128+200</t>
  </si>
  <si>
    <t>ROLDANILLO  PK 206+545</t>
  </si>
  <si>
    <t>SAN PEDRO  PK 277+111</t>
  </si>
  <si>
    <t>INT-CE REV SANTA ROSA DE CABAL D07</t>
  </si>
  <si>
    <t xml:space="preserve">SANTA ROSA DE CABAL </t>
  </si>
  <si>
    <t>SEVILLA  (12+270)</t>
  </si>
  <si>
    <t>INT INSP CUPONES TIERRADENTRO</t>
  </si>
  <si>
    <t>TIERRADENTRO  (13+00)</t>
  </si>
  <si>
    <t>INT-CE CIPS TIERRADENTRO  (13+00) D02</t>
  </si>
  <si>
    <t>TULUÁ - CALÍ</t>
  </si>
  <si>
    <t>UBATE PK73+420</t>
  </si>
  <si>
    <t>INT-CE CIPS VENADILLO  PK 354+670 D02</t>
  </si>
  <si>
    <t>VENADILLO  PK 354+670</t>
  </si>
  <si>
    <t>15 OT de PAP</t>
  </si>
  <si>
    <t>3 OT de PAP</t>
  </si>
  <si>
    <t>58 trimestre</t>
  </si>
  <si>
    <t>TEM </t>
  </si>
  <si>
    <t>DISTRITO</t>
  </si>
  <si>
    <t>DESCRIPCIÓN ACTIVIDADES</t>
  </si>
  <si>
    <t>SIGLA TEXT.BREVE AVISO OT</t>
  </si>
  <si>
    <t>UBICACIÓN TECNICA</t>
  </si>
  <si>
    <t>PK/DR</t>
  </si>
  <si>
    <t>CODIGO SAP CONTRATISTA</t>
  </si>
  <si>
    <t>OPEX/CAPEX</t>
  </si>
  <si>
    <t>OBSERVACIONES</t>
  </si>
  <si>
    <t>AVISO </t>
  </si>
  <si>
    <t>DIRECCION TECNICA</t>
  </si>
  <si>
    <t>fecha entrega de OT</t>
  </si>
  <si>
    <t>Estudio para evaluación directa de la corrosión exterior (ECDA) - Fase 2</t>
  </si>
  <si>
    <t>INT-ECDA-FASEII-DOSQ</t>
  </si>
  <si>
    <t>TGIS-3SOC-LEMAD07-RAMALT-EDQ</t>
  </si>
  <si>
    <t>OPEX</t>
  </si>
  <si>
    <t>MANTENIMIENTO
ECDA Dosquebradas</t>
  </si>
  <si>
    <t>YILMAR PACHECO</t>
  </si>
  <si>
    <t>Sin ejecutar</t>
  </si>
  <si>
    <t>Servicio de interventoria</t>
  </si>
  <si>
    <t>INT-ECDA-FASEII-PK19+140</t>
  </si>
  <si>
    <t>TGI-GAS-MACAL-MALE-RM-FRE</t>
  </si>
  <si>
    <t>PK 19+140</t>
  </si>
  <si>
    <t>MANTENIMIENTO
ECDA Fresno</t>
  </si>
  <si>
    <t>MANTENIMIENTO RECTIFICADOR DEL SISTEMA DE PROTECCION CATODICA (URPC)</t>
  </si>
  <si>
    <t>INT-RECT-URPC-PA</t>
  </si>
  <si>
    <t>TGIS-3SOC-MQGLD02-RECTIF-MON</t>
  </si>
  <si>
    <t>PK 295+923</t>
  </si>
  <si>
    <t>MANTENIMIENTO URPC POZO AZUL</t>
  </si>
  <si>
    <t>SERVICIO DE INTERVENTORIA</t>
  </si>
  <si>
    <t>Mantenimiento rectificador del sistema de
proteccion catodica (URPC)</t>
  </si>
  <si>
    <t>INT-URPC-OBT</t>
  </si>
  <si>
    <t>TGIS-3SOC-ARFID07-RECTIF-MON</t>
  </si>
  <si>
    <t>MANTENIMIENTO
URPC MONTENEGRO</t>
  </si>
  <si>
    <t>Finalizada</t>
  </si>
  <si>
    <t>INSTALACIÓN DE CAJAS DE CONEXIÓN</t>
  </si>
  <si>
    <t>INT-INSCA-NEI</t>
  </si>
  <si>
    <t>TGIS-3SOC-LEMAD07-RAMALT-NEI</t>
  </si>
  <si>
    <t>PK 0+230</t>
  </si>
  <si>
    <t>CAPEX</t>
  </si>
  <si>
    <t>MANTENIMIENTO
PUENTE ELECTRICO NEIRA PK 0+230</t>
  </si>
  <si>
    <t>Sin ejecutar:
*Pendiente finalizar la localizacion de la tuberia, al parecer esta a 4 metros de profundidad</t>
  </si>
  <si>
    <t>SUMINISTRO DE TÉCNICO EN PROTECCIÓN CATÓDICA - SERVICIO DE MANTENIMIENTO MENOR</t>
  </si>
  <si>
    <t>SOLDADURAS EXOTÉRMICAS CON TRABAJOS DE EXCAVACIÓN - SERVICIO DE MANTENIMIENTO MENOR</t>
  </si>
  <si>
    <t>INSTALACION DE CABLE</t>
  </si>
  <si>
    <t>CABLE HMWPE 2AWG</t>
  </si>
  <si>
    <t>CAJA DE CONEXIONES TIPO I</t>
  </si>
  <si>
    <t>INSPECCIÓN UNIDAD RECTIFICADORES DEL SISTEMA DE PROTECCION CATODICA (URPC) BUGANVILES</t>
  </si>
  <si>
    <t>INT-URPC-BG</t>
  </si>
  <si>
    <t>TGIS-3NRT-SBVSD01-RECTIF-BUG</t>
  </si>
  <si>
    <t>MANTENIMIENTO
URPC  BUGANVILES</t>
  </si>
  <si>
    <t xml:space="preserve">Se realizo visita para verifcar el alcance del mantenimineto a ejecutar </t>
  </si>
  <si>
    <t>INSPECCIÓN UNIDAD RECTIFICADORES DEL SISTEMA DE PROTECCION CATODICA (URPC) PUERTO FIERRO</t>
  </si>
  <si>
    <t>INT-URPC-PF</t>
  </si>
  <si>
    <t>TGIS-3NRT-VSPSD01-RECTIF-PTF</t>
  </si>
  <si>
    <t>MANTENIMIENTO URPC  PUERTO FIERRO</t>
  </si>
  <si>
    <t>INSPECCIÓN UNIDAD RECTIFICADORES DEL SISTEMA DE PROTECCION CATODICA (URPC) SAMARIA</t>
  </si>
  <si>
    <t>INT-URPC-SM</t>
  </si>
  <si>
    <t>TGIS-3CEN-VIUSD04-RECTIF-SAM</t>
  </si>
  <si>
    <t>MANTENIMIENTO URPC SAMARIA</t>
  </si>
  <si>
    <t>INSPECCIÓN UNIDAD RECTIFICADORES DEL SISTEMA DE PROTECCION CATODICA (URPC) OCOA</t>
  </si>
  <si>
    <t>INT-URPC-OCA</t>
  </si>
  <si>
    <t>TGIS-3CEN-APVID04-RECTIF-OCO</t>
  </si>
  <si>
    <t>MANTENIMIENTO URPC OCOA</t>
  </si>
  <si>
    <t>INSPECCIÓN UNIDAD RECTIFICADORES DEL SISTEMA DE PROTECCION CATODICA (URPC) CUBARRAL</t>
  </si>
  <si>
    <t>INT-URPC-CBB</t>
  </si>
  <si>
    <t>TGIS-3CEN-ARIAD04-RECTIF-CBR</t>
  </si>
  <si>
    <t>MANTENIMIENTO URPC CUBARRAL</t>
  </si>
  <si>
    <t>INSPECCIÓN UNIDAD RECTIFICADORES DEL SISTEMA DE PROTECCION CATODICA (URPC) CHIQUINQUIRA</t>
  </si>
  <si>
    <t>INT-URPC-CH</t>
  </si>
  <si>
    <t>TGIS-3CEN-BLCOD03-RECTIF-CHQ</t>
  </si>
  <si>
    <t>MANTENIMIENTO URPC CHIQUINQUIRA</t>
  </si>
  <si>
    <t>INSPECCIÓN UNIDAD RECTIFICADORES DEL SISTEMA DE PROTECCION CATODICA (URPC) LLANERITA</t>
  </si>
  <si>
    <t>INT-URPC-LL</t>
  </si>
  <si>
    <t>TGIS-3CEN-APVID04-RECTIF-LLA</t>
  </si>
  <si>
    <t>MANTENIMIENTO URPC  LLANERITA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</si>
</sst>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0.000"/>
    <numFmt numFmtId="166" formatCode="&quot;$&quot;\ #,##0"/>
    <numFmt numFmtId="167" formatCode="0.0"/>
  </numFmts>
  <fonts count="1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8"/>
      <color theme="0"/>
      <name val="Arial"/>
      <family val="2"/>
    </font>
    <font>
      <sz val="10"/>
      <color rgb="FF000000"/>
      <name val="Times New Roman"/>
      <family val="1"/>
    </font>
    <font>
      <sz val="8"/>
      <color rgb="FF000000"/>
      <name val="Arial"/>
      <family val="2"/>
    </font>
    <font>
      <sz val="8"/>
      <name val="Arial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rgb="FF000000"/>
      <name val="Inherit"/>
    </font>
    <font>
      <sz val="12"/>
      <color rgb="FF000000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8">
    <xf numFmtId="0" fontId="0" fillId="0" borderId="0"/>
    <xf numFmtId="0" fontId="3" fillId="0" borderId="0"/>
    <xf numFmtId="44" fontId="4" fillId="0" borderId="0" applyFont="0" applyFill="0" applyBorder="0" applyAlignment="0" applyProtection="0"/>
    <xf numFmtId="0" fontId="3" fillId="0" borderId="0"/>
    <xf numFmtId="0" fontId="2" fillId="0" borderId="0"/>
    <xf numFmtId="44" fontId="2" fillId="0" borderId="0" applyFont="0" applyFill="0" applyBorder="0" applyAlignment="0" applyProtection="0"/>
    <xf numFmtId="0" fontId="8" fillId="0" borderId="0"/>
    <xf numFmtId="0" fontId="1" fillId="0" borderId="0"/>
  </cellStyleXfs>
  <cellXfs count="165">
    <xf numFmtId="0" fontId="0" fillId="0" borderId="0" xfId="0"/>
    <xf numFmtId="0" fontId="3" fillId="0" borderId="0" xfId="1"/>
    <xf numFmtId="0" fontId="3" fillId="2" borderId="0" xfId="1" applyFill="1"/>
    <xf numFmtId="0" fontId="3" fillId="0" borderId="0" xfId="1" applyAlignment="1">
      <alignment horizontal="center"/>
    </xf>
    <xf numFmtId="0" fontId="3" fillId="0" borderId="0" xfId="1" applyAlignment="1">
      <alignment vertical="center"/>
    </xf>
    <xf numFmtId="0" fontId="5" fillId="0" borderId="0" xfId="1" applyFont="1"/>
    <xf numFmtId="0" fontId="5" fillId="0" borderId="0" xfId="1" applyFont="1" applyAlignment="1">
      <alignment horizont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5" fillId="2" borderId="0" xfId="1" applyFont="1" applyFill="1"/>
    <xf numFmtId="14" fontId="5" fillId="2" borderId="0" xfId="1" applyNumberFormat="1" applyFont="1" applyFill="1" applyAlignment="1">
      <alignment horizontal="center" vertical="center"/>
    </xf>
    <xf numFmtId="0" fontId="5" fillId="2" borderId="0" xfId="1" applyFont="1" applyFill="1" applyAlignment="1">
      <alignment horizontal="center"/>
    </xf>
    <xf numFmtId="44" fontId="5" fillId="2" borderId="0" xfId="2" applyFont="1" applyFill="1"/>
    <xf numFmtId="0" fontId="3" fillId="0" borderId="0" xfId="1" applyAlignment="1">
      <alignment horizontal="lef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left" vertical="center" wrapText="1"/>
    </xf>
    <xf numFmtId="0" fontId="5" fillId="2" borderId="0" xfId="1" applyFont="1" applyFill="1" applyAlignment="1">
      <alignment horizontal="left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1" applyFont="1"/>
    <xf numFmtId="0" fontId="7" fillId="3" borderId="0" xfId="1" applyFont="1" applyFill="1" applyAlignment="1">
      <alignment vertical="center"/>
    </xf>
    <xf numFmtId="0" fontId="7" fillId="3" borderId="0" xfId="1" applyFont="1" applyFill="1" applyAlignment="1">
      <alignment horizontal="center" vertical="center"/>
    </xf>
    <xf numFmtId="0" fontId="5" fillId="4" borderId="0" xfId="1" applyFont="1" applyFill="1"/>
    <xf numFmtId="0" fontId="5" fillId="4" borderId="0" xfId="1" applyFont="1" applyFill="1" applyAlignment="1">
      <alignment horizontal="center"/>
    </xf>
    <xf numFmtId="14" fontId="5" fillId="4" borderId="0" xfId="1" applyNumberFormat="1" applyFont="1" applyFill="1" applyAlignment="1">
      <alignment horizontal="center" vertical="center"/>
    </xf>
    <xf numFmtId="0" fontId="5" fillId="4" borderId="0" xfId="1" applyFont="1" applyFill="1" applyAlignment="1">
      <alignment horizontal="left"/>
    </xf>
    <xf numFmtId="0" fontId="5" fillId="5" borderId="0" xfId="1" applyFont="1" applyFill="1" applyAlignment="1">
      <alignment horizontal="center"/>
    </xf>
    <xf numFmtId="0" fontId="5" fillId="7" borderId="0" xfId="1" applyFont="1" applyFill="1" applyAlignment="1">
      <alignment horizontal="center"/>
    </xf>
    <xf numFmtId="0" fontId="5" fillId="4" borderId="0" xfId="1" applyFont="1" applyFill="1" applyAlignment="1">
      <alignment horizontal="center" vertical="center"/>
    </xf>
    <xf numFmtId="0" fontId="5" fillId="7" borderId="0" xfId="1" applyFont="1" applyFill="1"/>
    <xf numFmtId="0" fontId="5" fillId="4" borderId="0" xfId="1" applyFont="1" applyFill="1" applyAlignment="1">
      <alignment horizontal="left" vertical="center"/>
    </xf>
    <xf numFmtId="0" fontId="2" fillId="8" borderId="0" xfId="4" applyFill="1" applyAlignment="1">
      <alignment horizontal="center" vertical="center" wrapText="1"/>
    </xf>
    <xf numFmtId="0" fontId="2" fillId="8" borderId="0" xfId="4" applyFill="1" applyAlignment="1">
      <alignment horizontal="center" vertical="center"/>
    </xf>
    <xf numFmtId="1" fontId="2" fillId="8" borderId="0" xfId="4" applyNumberFormat="1" applyFill="1" applyAlignment="1">
      <alignment horizontal="center" vertical="center"/>
    </xf>
    <xf numFmtId="165" fontId="2" fillId="8" borderId="0" xfId="4" applyNumberFormat="1" applyFill="1" applyAlignment="1">
      <alignment horizontal="center" vertical="center" wrapText="1"/>
    </xf>
    <xf numFmtId="166" fontId="3" fillId="8" borderId="0" xfId="5" applyNumberFormat="1" applyFont="1" applyFill="1" applyBorder="1" applyAlignment="1">
      <alignment horizontal="center" vertical="center" wrapText="1"/>
    </xf>
    <xf numFmtId="0" fontId="3" fillId="8" borderId="0" xfId="4" applyFont="1" applyFill="1" applyAlignment="1">
      <alignment horizontal="center" vertical="center"/>
    </xf>
    <xf numFmtId="0" fontId="3" fillId="8" borderId="0" xfId="4" applyFont="1" applyFill="1" applyAlignment="1">
      <alignment horizontal="center" vertical="center" wrapText="1"/>
    </xf>
    <xf numFmtId="0" fontId="3" fillId="8" borderId="3" xfId="3" applyFill="1" applyBorder="1" applyAlignment="1">
      <alignment horizontal="center" vertical="center" wrapText="1"/>
    </xf>
    <xf numFmtId="0" fontId="2" fillId="0" borderId="0" xfId="4"/>
    <xf numFmtId="0" fontId="2" fillId="0" borderId="0" xfId="4" applyAlignment="1">
      <alignment horizontal="center" vertical="top"/>
    </xf>
    <xf numFmtId="0" fontId="2" fillId="0" borderId="0" xfId="4" applyAlignment="1">
      <alignment horizontal="center" vertical="center"/>
    </xf>
    <xf numFmtId="1" fontId="2" fillId="0" borderId="0" xfId="4" applyNumberFormat="1" applyAlignment="1">
      <alignment horizontal="center" vertical="center"/>
    </xf>
    <xf numFmtId="0" fontId="2" fillId="0" borderId="0" xfId="4" applyAlignment="1">
      <alignment vertical="top"/>
    </xf>
    <xf numFmtId="0" fontId="2" fillId="0" borderId="0" xfId="4" applyAlignment="1">
      <alignment vertical="center"/>
    </xf>
    <xf numFmtId="165" fontId="2" fillId="0" borderId="0" xfId="4" applyNumberFormat="1" applyAlignment="1">
      <alignment vertical="center"/>
    </xf>
    <xf numFmtId="1" fontId="2" fillId="0" borderId="0" xfId="4" applyNumberFormat="1" applyAlignment="1">
      <alignment vertical="center"/>
    </xf>
    <xf numFmtId="166" fontId="0" fillId="0" borderId="0" xfId="5" applyNumberFormat="1" applyFont="1" applyFill="1" applyBorder="1" applyAlignment="1">
      <alignment vertical="center"/>
    </xf>
    <xf numFmtId="0" fontId="3" fillId="0" borderId="0" xfId="4" applyFont="1" applyAlignment="1">
      <alignment vertical="center"/>
    </xf>
    <xf numFmtId="15" fontId="3" fillId="0" borderId="0" xfId="4" applyNumberFormat="1" applyFont="1" applyAlignment="1">
      <alignment vertical="center"/>
    </xf>
    <xf numFmtId="0" fontId="2" fillId="9" borderId="0" xfId="4" applyFill="1" applyAlignment="1">
      <alignment horizontal="center"/>
    </xf>
    <xf numFmtId="166" fontId="2" fillId="0" borderId="0" xfId="4" applyNumberFormat="1"/>
    <xf numFmtId="0" fontId="2" fillId="6" borderId="0" xfId="4" applyFill="1"/>
    <xf numFmtId="17" fontId="3" fillId="0" borderId="0" xfId="3" applyNumberFormat="1" applyAlignment="1">
      <alignment horizontal="center" vertical="center"/>
    </xf>
    <xf numFmtId="0" fontId="2" fillId="0" borderId="0" xfId="4" applyAlignment="1">
      <alignment horizontal="center"/>
    </xf>
    <xf numFmtId="166" fontId="2" fillId="4" borderId="0" xfId="4" applyNumberFormat="1" applyFill="1" applyAlignment="1">
      <alignment horizontal="center"/>
    </xf>
    <xf numFmtId="0" fontId="2" fillId="7" borderId="0" xfId="4" applyFill="1" applyAlignment="1">
      <alignment horizontal="center" vertical="top"/>
    </xf>
    <xf numFmtId="1" fontId="2" fillId="7" borderId="0" xfId="4" applyNumberFormat="1" applyFill="1" applyAlignment="1">
      <alignment horizontal="center" vertical="center"/>
    </xf>
    <xf numFmtId="0" fontId="2" fillId="7" borderId="0" xfId="4" applyFill="1" applyAlignment="1">
      <alignment horizontal="center" vertical="center"/>
    </xf>
    <xf numFmtId="1" fontId="2" fillId="0" borderId="0" xfId="4" applyNumberFormat="1" applyAlignment="1">
      <alignment horizontal="center" vertical="center" wrapText="1"/>
    </xf>
    <xf numFmtId="0" fontId="3" fillId="7" borderId="0" xfId="4" applyFont="1" applyFill="1"/>
    <xf numFmtId="0" fontId="3" fillId="7" borderId="0" xfId="4" applyFont="1" applyFill="1" applyAlignment="1">
      <alignment vertical="center"/>
    </xf>
    <xf numFmtId="167" fontId="3" fillId="7" borderId="0" xfId="4" applyNumberFormat="1" applyFont="1" applyFill="1" applyAlignment="1">
      <alignment vertical="center"/>
    </xf>
    <xf numFmtId="166" fontId="3" fillId="7" borderId="0" xfId="5" applyNumberFormat="1" applyFont="1" applyFill="1" applyBorder="1" applyAlignment="1">
      <alignment vertical="center"/>
    </xf>
    <xf numFmtId="166" fontId="0" fillId="7" borderId="0" xfId="5" applyNumberFormat="1" applyFont="1" applyFill="1" applyAlignment="1">
      <alignment vertical="center"/>
    </xf>
    <xf numFmtId="15" fontId="3" fillId="7" borderId="0" xfId="4" applyNumberFormat="1" applyFont="1" applyFill="1" applyAlignment="1">
      <alignment vertical="center"/>
    </xf>
    <xf numFmtId="0" fontId="2" fillId="7" borderId="0" xfId="4" applyFill="1"/>
    <xf numFmtId="1" fontId="9" fillId="0" borderId="0" xfId="6" applyNumberFormat="1" applyFont="1" applyAlignment="1">
      <alignment horizontal="center" vertical="center"/>
    </xf>
    <xf numFmtId="0" fontId="2" fillId="7" borderId="0" xfId="4" applyFill="1" applyAlignment="1">
      <alignment vertical="top"/>
    </xf>
    <xf numFmtId="1" fontId="2" fillId="7" borderId="0" xfId="4" applyNumberFormat="1" applyFill="1" applyAlignment="1">
      <alignment horizontal="center" vertical="center" wrapText="1"/>
    </xf>
    <xf numFmtId="0" fontId="2" fillId="7" borderId="0" xfId="4" applyFill="1" applyAlignment="1">
      <alignment vertical="center"/>
    </xf>
    <xf numFmtId="165" fontId="2" fillId="7" borderId="0" xfId="4" applyNumberFormat="1" applyFill="1" applyAlignment="1">
      <alignment vertical="center"/>
    </xf>
    <xf numFmtId="1" fontId="2" fillId="7" borderId="0" xfId="4" applyNumberFormat="1" applyFill="1" applyAlignment="1">
      <alignment vertical="center"/>
    </xf>
    <xf numFmtId="166" fontId="0" fillId="7" borderId="0" xfId="5" applyNumberFormat="1" applyFont="1" applyFill="1" applyBorder="1" applyAlignment="1">
      <alignment vertical="center"/>
    </xf>
    <xf numFmtId="0" fontId="2" fillId="5" borderId="0" xfId="4" applyFill="1" applyAlignment="1">
      <alignment vertical="center"/>
    </xf>
    <xf numFmtId="0" fontId="2" fillId="4" borderId="0" xfId="4" applyFill="1" applyAlignment="1">
      <alignment horizontal="center"/>
    </xf>
    <xf numFmtId="0" fontId="2" fillId="4" borderId="0" xfId="4" applyFill="1" applyAlignment="1">
      <alignment horizontal="center" vertical="top"/>
    </xf>
    <xf numFmtId="1" fontId="2" fillId="4" borderId="0" xfId="4" applyNumberFormat="1" applyFill="1" applyAlignment="1">
      <alignment horizontal="center" vertical="center"/>
    </xf>
    <xf numFmtId="0" fontId="2" fillId="4" borderId="0" xfId="4" applyFill="1" applyAlignment="1">
      <alignment horizontal="center" vertical="center"/>
    </xf>
    <xf numFmtId="0" fontId="2" fillId="4" borderId="0" xfId="4" applyFill="1" applyAlignment="1">
      <alignment vertical="center"/>
    </xf>
    <xf numFmtId="165" fontId="2" fillId="4" borderId="0" xfId="4" applyNumberFormat="1" applyFill="1" applyAlignment="1">
      <alignment vertical="center"/>
    </xf>
    <xf numFmtId="166" fontId="0" fillId="4" borderId="0" xfId="5" applyNumberFormat="1" applyFont="1" applyFill="1" applyBorder="1" applyAlignment="1">
      <alignment vertical="center"/>
    </xf>
    <xf numFmtId="0" fontId="2" fillId="4" borderId="0" xfId="4" applyFill="1"/>
    <xf numFmtId="17" fontId="3" fillId="4" borderId="0" xfId="3" applyNumberFormat="1" applyFill="1" applyAlignment="1">
      <alignment horizontal="center" vertical="center"/>
    </xf>
    <xf numFmtId="166" fontId="2" fillId="4" borderId="0" xfId="4" applyNumberFormat="1" applyFill="1"/>
    <xf numFmtId="0" fontId="3" fillId="5" borderId="0" xfId="4" applyFont="1" applyFill="1"/>
    <xf numFmtId="0" fontId="2" fillId="0" borderId="1" xfId="4" applyBorder="1" applyAlignment="1">
      <alignment horizontal="center" vertical="center"/>
    </xf>
    <xf numFmtId="0" fontId="2" fillId="0" borderId="0" xfId="4" applyAlignment="1">
      <alignment horizontal="left" vertical="center"/>
    </xf>
    <xf numFmtId="165" fontId="2" fillId="0" borderId="0" xfId="4" applyNumberFormat="1" applyAlignment="1">
      <alignment horizontal="center" vertical="center"/>
    </xf>
    <xf numFmtId="166" fontId="2" fillId="0" borderId="0" xfId="4" applyNumberFormat="1" applyAlignment="1">
      <alignment horizontal="center" vertical="center"/>
    </xf>
    <xf numFmtId="0" fontId="3" fillId="0" borderId="0" xfId="4" applyFont="1" applyAlignment="1">
      <alignment horizontal="center" vertical="center"/>
    </xf>
    <xf numFmtId="1" fontId="2" fillId="0" borderId="1" xfId="4" applyNumberFormat="1" applyBorder="1" applyAlignment="1">
      <alignment horizontal="center" vertical="center"/>
    </xf>
    <xf numFmtId="3" fontId="2" fillId="0" borderId="0" xfId="4" applyNumberFormat="1" applyAlignment="1">
      <alignment horizontal="center" vertical="center"/>
    </xf>
    <xf numFmtId="0" fontId="3" fillId="0" borderId="0" xfId="3"/>
    <xf numFmtId="0" fontId="3" fillId="7" borderId="0" xfId="3" applyFill="1"/>
    <xf numFmtId="0" fontId="3" fillId="0" borderId="0" xfId="3" applyAlignment="1">
      <alignment horizontal="center"/>
    </xf>
    <xf numFmtId="0" fontId="3" fillId="5" borderId="0" xfId="3" applyFill="1"/>
    <xf numFmtId="0" fontId="5" fillId="5" borderId="0" xfId="1" applyFont="1" applyFill="1" applyAlignment="1">
      <alignment horizontal="left"/>
    </xf>
    <xf numFmtId="0" fontId="3" fillId="0" borderId="0" xfId="3" applyAlignment="1">
      <alignment wrapText="1"/>
    </xf>
    <xf numFmtId="0" fontId="3" fillId="4" borderId="0" xfId="3" applyFill="1"/>
    <xf numFmtId="0" fontId="7" fillId="3" borderId="4" xfId="1" applyFont="1" applyFill="1" applyBorder="1" applyAlignment="1">
      <alignment horizontal="center" vertical="center" wrapText="1"/>
    </xf>
    <xf numFmtId="0" fontId="7" fillId="3" borderId="5" xfId="1" applyFont="1" applyFill="1" applyBorder="1" applyAlignment="1">
      <alignment horizontal="center" vertical="center" wrapText="1"/>
    </xf>
    <xf numFmtId="0" fontId="5" fillId="0" borderId="2" xfId="3" applyFont="1" applyBorder="1"/>
    <xf numFmtId="0" fontId="5" fillId="0" borderId="1" xfId="3" applyFont="1" applyBorder="1"/>
    <xf numFmtId="0" fontId="5" fillId="0" borderId="1" xfId="3" applyFont="1" applyBorder="1" applyAlignment="1">
      <alignment horizontal="center"/>
    </xf>
    <xf numFmtId="0" fontId="5" fillId="7" borderId="2" xfId="3" applyFont="1" applyFill="1" applyBorder="1"/>
    <xf numFmtId="0" fontId="5" fillId="7" borderId="1" xfId="3" applyFont="1" applyFill="1" applyBorder="1"/>
    <xf numFmtId="0" fontId="5" fillId="7" borderId="1" xfId="3" applyFont="1" applyFill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4" borderId="2" xfId="3" applyFont="1" applyFill="1" applyBorder="1"/>
    <xf numFmtId="0" fontId="5" fillId="4" borderId="1" xfId="3" applyFont="1" applyFill="1" applyBorder="1"/>
    <xf numFmtId="0" fontId="5" fillId="4" borderId="1" xfId="3" applyFont="1" applyFill="1" applyBorder="1" applyAlignment="1">
      <alignment horizontal="center"/>
    </xf>
    <xf numFmtId="0" fontId="5" fillId="5" borderId="2" xfId="3" applyFont="1" applyFill="1" applyBorder="1"/>
    <xf numFmtId="0" fontId="5" fillId="5" borderId="1" xfId="3" applyFont="1" applyFill="1" applyBorder="1"/>
    <xf numFmtId="0" fontId="5" fillId="5" borderId="1" xfId="3" applyFont="1" applyFill="1" applyBorder="1" applyAlignment="1">
      <alignment horizontal="center"/>
    </xf>
    <xf numFmtId="164" fontId="3" fillId="0" borderId="0" xfId="3" applyNumberFormat="1"/>
    <xf numFmtId="0" fontId="5" fillId="5" borderId="0" xfId="1" applyFont="1" applyFill="1"/>
    <xf numFmtId="0" fontId="5" fillId="4" borderId="0" xfId="1" applyFont="1" applyFill="1" applyAlignment="1">
      <alignment horizontal="right" vertical="center"/>
    </xf>
    <xf numFmtId="0" fontId="5" fillId="6" borderId="1" xfId="3" applyFont="1" applyFill="1" applyBorder="1" applyAlignment="1">
      <alignment horizontal="center"/>
    </xf>
    <xf numFmtId="0" fontId="5" fillId="5" borderId="1" xfId="1" applyFont="1" applyFill="1" applyBorder="1" applyAlignment="1">
      <alignment horizontal="center"/>
    </xf>
    <xf numFmtId="0" fontId="5" fillId="0" borderId="0" xfId="1" applyFont="1" applyAlignment="1">
      <alignment horizontal="left" vertical="center"/>
    </xf>
    <xf numFmtId="0" fontId="5" fillId="4" borderId="1" xfId="1" applyFont="1" applyFill="1" applyBorder="1" applyAlignment="1">
      <alignment horizontal="center"/>
    </xf>
    <xf numFmtId="0" fontId="5" fillId="7" borderId="0" xfId="1" applyFont="1" applyFill="1" applyAlignment="1">
      <alignment horizontal="left"/>
    </xf>
    <xf numFmtId="0" fontId="5" fillId="6" borderId="0" xfId="1" applyFont="1" applyFill="1"/>
    <xf numFmtId="0" fontId="11" fillId="10" borderId="8" xfId="7" applyFont="1" applyFill="1" applyBorder="1" applyAlignment="1">
      <alignment horizontal="center" vertical="center" wrapText="1"/>
    </xf>
    <xf numFmtId="0" fontId="11" fillId="10" borderId="9" xfId="7" applyFont="1" applyFill="1" applyBorder="1" applyAlignment="1">
      <alignment horizontal="center" vertical="center" wrapText="1"/>
    </xf>
    <xf numFmtId="0" fontId="12" fillId="0" borderId="0" xfId="7" applyFont="1"/>
    <xf numFmtId="0" fontId="13" fillId="0" borderId="1" xfId="7" applyFont="1" applyBorder="1" applyAlignment="1">
      <alignment horizontal="center" vertical="center" wrapText="1"/>
    </xf>
    <xf numFmtId="0" fontId="12" fillId="0" borderId="1" xfId="7" applyFont="1" applyBorder="1" applyAlignment="1">
      <alignment horizontal="center" vertical="center" wrapText="1"/>
    </xf>
    <xf numFmtId="0" fontId="12" fillId="0" borderId="0" xfId="7" applyFont="1" applyAlignment="1">
      <alignment vertical="center"/>
    </xf>
    <xf numFmtId="0" fontId="1" fillId="0" borderId="0" xfId="7"/>
    <xf numFmtId="0" fontId="14" fillId="0" borderId="1" xfId="7" applyFont="1" applyBorder="1" applyAlignment="1">
      <alignment horizontal="center" vertical="center" wrapText="1"/>
    </xf>
    <xf numFmtId="0" fontId="12" fillId="0" borderId="1" xfId="7" applyFont="1" applyBorder="1" applyAlignment="1">
      <alignment horizontal="center" vertical="center"/>
    </xf>
    <xf numFmtId="0" fontId="12" fillId="6" borderId="1" xfId="7" applyFont="1" applyFill="1" applyBorder="1" applyAlignment="1">
      <alignment horizontal="center" vertical="center"/>
    </xf>
    <xf numFmtId="0" fontId="12" fillId="7" borderId="1" xfId="7" applyFont="1" applyFill="1" applyBorder="1" applyAlignment="1">
      <alignment horizontal="center" vertical="center" wrapText="1"/>
    </xf>
    <xf numFmtId="14" fontId="12" fillId="0" borderId="1" xfId="7" applyNumberFormat="1" applyFont="1" applyBorder="1" applyAlignment="1">
      <alignment horizontal="center" vertical="center"/>
    </xf>
    <xf numFmtId="0" fontId="15" fillId="0" borderId="0" xfId="7" applyFont="1" applyAlignment="1">
      <alignment vertical="center" wrapText="1"/>
    </xf>
    <xf numFmtId="0" fontId="2" fillId="0" borderId="1" xfId="4" applyBorder="1" applyAlignment="1">
      <alignment horizontal="center" vertical="center"/>
    </xf>
    <xf numFmtId="0" fontId="2" fillId="0" borderId="1" xfId="4" applyBorder="1" applyAlignment="1">
      <alignment horizontal="center"/>
    </xf>
    <xf numFmtId="0" fontId="13" fillId="0" borderId="6" xfId="7" applyFont="1" applyBorder="1" applyAlignment="1">
      <alignment horizontal="center" vertical="center" wrapText="1"/>
    </xf>
    <xf numFmtId="0" fontId="13" fillId="0" borderId="5" xfId="7" applyFont="1" applyBorder="1" applyAlignment="1">
      <alignment horizontal="center" vertical="center" wrapText="1"/>
    </xf>
    <xf numFmtId="0" fontId="13" fillId="0" borderId="1" xfId="7" applyFont="1" applyBorder="1" applyAlignment="1">
      <alignment horizontal="center" vertical="center" wrapText="1"/>
    </xf>
    <xf numFmtId="14" fontId="13" fillId="0" borderId="6" xfId="7" applyNumberFormat="1" applyFont="1" applyBorder="1" applyAlignment="1">
      <alignment horizontal="center" vertical="center" wrapText="1"/>
    </xf>
    <xf numFmtId="0" fontId="13" fillId="6" borderId="6" xfId="7" applyFont="1" applyFill="1" applyBorder="1" applyAlignment="1">
      <alignment horizontal="center" vertical="center" wrapText="1"/>
    </xf>
    <xf numFmtId="0" fontId="13" fillId="6" borderId="5" xfId="7" applyFont="1" applyFill="1" applyBorder="1" applyAlignment="1">
      <alignment horizontal="center" vertical="center" wrapText="1"/>
    </xf>
    <xf numFmtId="0" fontId="12" fillId="0" borderId="6" xfId="7" applyFont="1" applyBorder="1" applyAlignment="1">
      <alignment horizontal="center" vertical="center"/>
    </xf>
    <xf numFmtId="0" fontId="12" fillId="0" borderId="5" xfId="7" applyFont="1" applyBorder="1" applyAlignment="1">
      <alignment horizontal="center" vertical="center"/>
    </xf>
    <xf numFmtId="0" fontId="14" fillId="0" borderId="6" xfId="7" applyFont="1" applyBorder="1" applyAlignment="1">
      <alignment horizontal="center" vertical="center" wrapText="1"/>
    </xf>
    <xf numFmtId="0" fontId="14" fillId="0" borderId="5" xfId="7" applyFont="1" applyBorder="1" applyAlignment="1">
      <alignment horizontal="center" vertical="center" wrapText="1"/>
    </xf>
    <xf numFmtId="0" fontId="14" fillId="6" borderId="6" xfId="7" applyFont="1" applyFill="1" applyBorder="1" applyAlignment="1">
      <alignment horizontal="center" vertical="center" wrapText="1"/>
    </xf>
    <xf numFmtId="0" fontId="14" fillId="6" borderId="5" xfId="7" applyFont="1" applyFill="1" applyBorder="1" applyAlignment="1">
      <alignment horizontal="center" vertical="center" wrapText="1"/>
    </xf>
    <xf numFmtId="0" fontId="12" fillId="6" borderId="6" xfId="7" applyFont="1" applyFill="1" applyBorder="1" applyAlignment="1">
      <alignment horizontal="center" vertical="center"/>
    </xf>
    <xf numFmtId="0" fontId="12" fillId="6" borderId="5" xfId="7" applyFont="1" applyFill="1" applyBorder="1" applyAlignment="1">
      <alignment horizontal="center" vertical="center"/>
    </xf>
    <xf numFmtId="14" fontId="14" fillId="0" borderId="6" xfId="7" applyNumberFormat="1" applyFont="1" applyBorder="1" applyAlignment="1">
      <alignment horizontal="center" vertical="center" wrapText="1"/>
    </xf>
    <xf numFmtId="0" fontId="13" fillId="0" borderId="7" xfId="7" applyFont="1" applyBorder="1" applyAlignment="1">
      <alignment horizontal="center" vertical="center" wrapText="1"/>
    </xf>
    <xf numFmtId="0" fontId="12" fillId="0" borderId="7" xfId="7" applyFont="1" applyBorder="1" applyAlignment="1">
      <alignment horizontal="center" vertical="center"/>
    </xf>
    <xf numFmtId="0" fontId="12" fillId="7" borderId="6" xfId="7" applyFont="1" applyFill="1" applyBorder="1" applyAlignment="1">
      <alignment horizontal="center" vertical="center"/>
    </xf>
    <xf numFmtId="0" fontId="12" fillId="7" borderId="7" xfId="7" applyFont="1" applyFill="1" applyBorder="1" applyAlignment="1">
      <alignment horizontal="center" vertical="center"/>
    </xf>
    <xf numFmtId="0" fontId="12" fillId="7" borderId="5" xfId="7" applyFont="1" applyFill="1" applyBorder="1" applyAlignment="1">
      <alignment horizontal="center" vertical="center"/>
    </xf>
    <xf numFmtId="0" fontId="12" fillId="6" borderId="7" xfId="7" applyFont="1" applyFill="1" applyBorder="1" applyAlignment="1">
      <alignment horizontal="center" vertical="center"/>
    </xf>
    <xf numFmtId="0" fontId="12" fillId="0" borderId="6" xfId="7" applyFont="1" applyBorder="1" applyAlignment="1">
      <alignment horizontal="center" vertical="center" wrapText="1"/>
    </xf>
  </cellXfs>
  <cellStyles count="8">
    <cellStyle name="Moneda" xfId="2" builtinId="4"/>
    <cellStyle name="Moneda 2" xfId="5" xr:uid="{15CD9217-7E0E-42E8-A792-D38C829AB16F}"/>
    <cellStyle name="Normal" xfId="0" builtinId="0"/>
    <cellStyle name="Normal 10 2" xfId="3" xr:uid="{FB788086-2C3B-4328-A8B3-AECF0924A84F}"/>
    <cellStyle name="Normal 2" xfId="1" xr:uid="{6B77B8E8-50B7-4980-A099-C987B473CB81}"/>
    <cellStyle name="Normal 3" xfId="4" xr:uid="{A564A070-F695-45CD-871F-35B282D17D64}"/>
    <cellStyle name="Normal 4" xfId="7" xr:uid="{F92A4800-67A4-4985-988D-2D25B5F5CA56}"/>
    <cellStyle name="Normal 7" xfId="6" xr:uid="{7D85EEEB-CEA2-42FD-A07F-BBA84821DFA4}"/>
  </cellStyles>
  <dxfs count="1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8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8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8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8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8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8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8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8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8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8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8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Arial"/>
        <family val="2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Arial"/>
        <family val="2"/>
        <scheme val="none"/>
      </font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numFmt numFmtId="166" formatCode="&quot;$&quot;\ 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fgColor indexed="64"/>
          <bgColor theme="8" tint="0.79998168889431442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0" formatCode="d\-mmm\-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numFmt numFmtId="166" formatCode="&quot;$&quot;\ 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&quot;$&quot;\ 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6" formatCode="&quot;$&quot;\ 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&quot;$&quot;\ 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6" formatCode="&quot;$&quot;\ 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&quot;$&quot;\ 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general" vertical="center" textRotation="0" wrapText="0" indent="0" justifyLastLine="0" shrinkToFit="0" readingOrder="0"/>
    </dxf>
    <dxf>
      <numFmt numFmtId="165" formatCode="0.000"/>
      <alignment horizontal="center" vertical="center" textRotation="0" wrapText="0" indent="0" justifyLastLine="0" shrinkToFit="0" readingOrder="0"/>
    </dxf>
    <dxf>
      <numFmt numFmtId="165" formatCode="0.000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solid">
          <fgColor indexed="64"/>
          <bgColor rgb="FF0070C0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Estilo de tabla dinámica 1" table="0" count="3" xr9:uid="{BA87E87A-2633-4FFA-B870-F1F26D5F6661}">
      <tableStyleElement type="wholeTable" dxfId="136"/>
      <tableStyleElement type="firstRowStripe" dxfId="135"/>
      <tableStyleElement type="firstColumnStripe" dxfId="134"/>
    </tableStyle>
    <tableStyle name="PivotStyleLight16 2" table="0" count="12" xr9:uid="{3BEEE372-C042-4F1C-B6F3-1485598C7FFA}">
      <tableStyleElement type="wholeTable" dxfId="133"/>
      <tableStyleElement type="headerRow" dxfId="132"/>
      <tableStyleElement type="totalRow" dxfId="131"/>
      <tableStyleElement type="firstRowStripe" dxfId="130"/>
      <tableStyleElement type="firstColumnStripe" dxfId="129"/>
      <tableStyleElement type="firstSubtotalColumn" dxfId="128"/>
      <tableStyleElement type="firstSubtotalRow" dxfId="127"/>
      <tableStyleElement type="secondSubtotalRow" dxfId="126"/>
      <tableStyleElement type="firstRowSubheading" dxfId="125"/>
      <tableStyleElement type="secondRowSubheading" dxfId="124"/>
      <tableStyleElement type="pageFieldLabels" dxfId="123"/>
      <tableStyleElement type="pageFieldValues" dxfId="1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gisaesp-my.sharepoint.com/personal/cmantilla_tgi_com_co/Documents/02.%20%20MIN/21.%20%20Informe%20de%20Avisos/2025/06.%20Junio/IAA-Plantilla-V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lgadomelendezasociados-my.sharepoint.com/personal/winger_velez_sma_com_co/Documents/Documentos/PCC-551007370/OT/division%20por%20zonas.xlsx" TargetMode="External"/><Relationship Id="rId1" Type="http://schemas.openxmlformats.org/officeDocument/2006/relationships/externalLinkPath" Target="https://salgadomelendezasociados-my.sharepoint.com/personal/winger_velez_sma_com_co/Documents/Documentos/PCC-551007370/OT/division%20por%20zon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_Asociacion"/>
      <sheetName val="Hoja_Avisos"/>
      <sheetName val="Hoja_Ordenes"/>
      <sheetName val="Hoja_Operaciones"/>
      <sheetName val="Base_Datos"/>
      <sheetName val="Datos_Dinamicos"/>
      <sheetName val="Graf_Dinamicos"/>
      <sheetName val="Tabla_Reporte"/>
      <sheetName val="GER_KPI´S_ECG"/>
      <sheetName val="Datos"/>
      <sheetName val="Hoja1"/>
      <sheetName val="IAA-Plantilla-V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-N"/>
      <sheetName val="PDT A+"/>
      <sheetName val="A+"/>
      <sheetName val="z-norte_2"/>
      <sheetName val="Uni-S"/>
      <sheetName val="PCC"/>
      <sheetName val="z-sur_2"/>
      <sheetName val="JC"/>
      <sheetName val="CE 2025-2027_D"/>
      <sheetName val="4-trimestre"/>
      <sheetName val="Hoja2"/>
      <sheetName val="facturacion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WINGER ANTONIO VELEZ TORRES" id="{C49B748B-CDF9-4CB9-BF6A-C364FEC952DB}" userId="S::winger.velez@SMA.COM.CO::c8d0fc35-28f6-4454-9920-0c51c93aa762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EBB2A3-3DA0-4113-9F30-72D4BEE57DD6}" name="Tabla2" displayName="Tabla2" ref="A1:AD156" totalsRowCount="1">
  <autoFilter ref="A1:AD155" xr:uid="{F3945258-0875-4C37-8D1E-3564D2156B23}">
    <filterColumn colId="23">
      <filters>
        <filter val="Finalizada"/>
      </filters>
    </filterColumn>
  </autoFilter>
  <sortState xmlns:xlrd2="http://schemas.microsoft.com/office/spreadsheetml/2017/richdata2" ref="A2:V105">
    <sortCondition ref="M1:M105"/>
  </sortState>
  <tableColumns count="30">
    <tableColumn id="1" xr3:uid="{612BC42C-FF27-4875-B3EC-562D461F7377}" name="Distrito" totalsRowLabel="Total" dataDxfId="84" totalsRowDxfId="83"/>
    <tableColumn id="2" xr3:uid="{D0E9B5C1-D820-4F1F-9B39-16F64973B3D5}" name="Plan mant.preventivo" dataDxfId="82" totalsRowDxfId="81"/>
    <tableColumn id="3" xr3:uid="{7E116BC3-0E6D-41D2-B2CB-05EDA22F4C8D}" name="Txt plan mantenim." dataDxfId="80" totalsRowDxfId="79"/>
    <tableColumn id="4" xr3:uid="{D99047DF-C5A8-4AE2-86BC-5BC5043C98B9}" name="Descripción posición de mantenimiento" dataDxfId="78" totalsRowDxfId="77"/>
    <tableColumn id="5" xr3:uid="{09E56CE6-EEF5-4F11-8A97-2D9E72A6779D}" name="Orden" totalsRowFunction="count" dataDxfId="76" totalsRowDxfId="75"/>
    <tableColumn id="6" xr3:uid="{4E2834BC-046A-42C1-80F8-F48228991C4A}" name="Texto breve operación" dataDxfId="74" totalsRowDxfId="73"/>
    <tableColumn id="7" xr3:uid="{486FB46A-C918-4F2A-AB9F-5F41D0CEF1C4}" name="Puesto de trabajo" dataDxfId="72" totalsRowDxfId="71"/>
    <tableColumn id="8" xr3:uid="{9C5C7E36-0250-4E9C-B79E-FDE832829A0B}" name="Ubicación técnica" dataDxfId="70" totalsRowDxfId="69"/>
    <tableColumn id="9" xr3:uid="{F474DF30-0B6B-4D6E-BBB1-61FAB782169D}" name="Denominación de la ubicación técnica" dataDxfId="68" totalsRowDxfId="67"/>
    <tableColumn id="10" xr3:uid="{3E3971B8-B5E2-4C73-8FDF-6A6DEB1B81E6}" name="Grupo hojas ruta" dataDxfId="66" totalsRowDxfId="65"/>
    <tableColumn id="11" xr3:uid="{CE7CDE61-7F83-4B00-BA64-7655A786B4C9}" name="Clase actividad PM" dataDxfId="64" totalsRowDxfId="63"/>
    <tableColumn id="12" xr3:uid="{9E9EEF2C-0434-417B-A3BF-E3797B5B18D9}" name="PLAN CIPS" dataDxfId="62" totalsRowDxfId="61"/>
    <tableColumn id="13" xr3:uid="{5FA411C5-03AE-42A2-97ED-229C75EA32CC}" name="SUBSISTEMA" dataDxfId="60" totalsRowDxfId="59"/>
    <tableColumn id="14" xr3:uid="{339E99B1-CB04-4726-AC68-BDC82BD150E7}" name="Tipo" dataDxfId="58" totalsRowDxfId="57"/>
    <tableColumn id="15" xr3:uid="{CA66CEF6-90CC-4307-BA55-B2B763BDE92D}" name="Unidad [Km]" totalsRowFunction="sum" dataDxfId="56" totalsRowDxfId="55"/>
    <tableColumn id="16" xr3:uid="{26274362-1873-4265-997F-33F034032EEC}" name="Postes" totalsRowFunction="sum" dataDxfId="54" totalsRowDxfId="53"/>
    <tableColumn id="17" xr3:uid="{29F56699-80FD-486C-8ECF-5E345D3AD0C7}" name="Unitario" dataDxfId="52" totalsRowDxfId="51"/>
    <tableColumn id="18" xr3:uid="{B90298EC-3A0B-4048-8F99-CCC2B9D1B85E}" name="Valor Total" totalsRowFunction="sum" dataDxfId="50" totalsRowDxfId="49"/>
    <tableColumn id="19" xr3:uid="{61D1EDB2-CB77-49E9-8FE0-DC102A6718D3}" name="Valor Con IVA" totalsRowFunction="sum" dataDxfId="48" totalsRowDxfId="47"/>
    <tableColumn id="20" xr3:uid="{4BA27FA1-1A19-435E-9056-EC649E640D30}" name="CONTRATISTA" dataDxfId="46" totalsRowDxfId="45"/>
    <tableColumn id="21" xr3:uid="{31059224-91C2-4765-8FEA-A74B3317E542}" name="ZONA" dataDxfId="44" totalsRowDxfId="43"/>
    <tableColumn id="22" xr3:uid="{3D77E621-4ECF-4AD1-8C57-FFB29A9EB8DD}" name="TGI" totalsRowFunction="count" dataDxfId="42" totalsRowDxfId="41"/>
    <tableColumn id="23" xr3:uid="{3DB0FC79-45E3-4F35-B308-EB50DA995967}" name="PCC" totalsRowFunction="count" dataDxfId="40" totalsRowDxfId="39"/>
    <tableColumn id="24" xr3:uid="{D0F6AFA3-4C5C-44A3-ABAC-CC6E59F88C34}" name="Estado" totalsRowFunction="count" dataDxfId="38" totalsRowDxfId="37"/>
    <tableColumn id="28" xr3:uid="{1CED38C1-DD02-458B-B7C2-AAE4EEB94E67}" name="mes ejecución " totalsRowFunction="count" totalsRowDxfId="36"/>
    <tableColumn id="27" xr3:uid="{6069C4E2-27D0-4900-B159-2DC5C5A3BC16}" name="SAP" dataDxfId="35" totalsRowDxfId="34"/>
    <tableColumn id="25" xr3:uid="{CD8E862A-D66E-4BF2-9FF9-37678D50B24F}" name="Acta Facturación_x000a_60%" dataDxfId="33" totalsRowDxfId="32"/>
    <tableColumn id="26" xr3:uid="{BD359E2D-DEFE-43BF-8A31-37AF236BCAE2}" name="Acta Facturación_x000a_40%" totalsRowFunction="count" dataDxfId="31" totalsRowDxfId="30"/>
    <tableColumn id="29" xr3:uid="{1F29EE40-36F4-4E90-871B-07C0E91DA866}" name="Acta Facturación_x000a_100%" dataDxfId="29" totalsRowDxfId="28"/>
    <tableColumn id="30" xr3:uid="{2A3DC505-DFF5-4402-8B4F-E7FC9ACDCBD8}" name="observaciones" dataDxfId="27" totalsRowDxfId="26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E44584-0F46-49B3-915C-A1D332D67622}" name="Tabla6" displayName="Tabla6" ref="A1:Q96" totalsRowCount="1" headerRowDxfId="121" dataDxfId="120" totalsRowDxfId="119">
  <autoFilter ref="A1:Q95" xr:uid="{51E44584-0F46-49B3-915C-A1D332D67622}"/>
  <sortState xmlns:xlrd2="http://schemas.microsoft.com/office/spreadsheetml/2017/richdata2" ref="A2:Q80">
    <sortCondition ref="O1:O80"/>
  </sortState>
  <tableColumns count="17">
    <tableColumn id="1" xr3:uid="{9D6D750A-8E58-4005-BD0B-219987BD4784}" name="Distrito" dataDxfId="118" totalsRowDxfId="117"/>
    <tableColumn id="2" xr3:uid="{128C0CE7-8393-4631-89E7-2475AF797257}" name="Plan mant.preventivo" totalsRowFunction="count" dataDxfId="116" totalsRowDxfId="115"/>
    <tableColumn id="3" xr3:uid="{F121F256-EB7F-42F0-A106-F50CF8F3FC90}" name="Txt plan mantenim." dataDxfId="114" totalsRowDxfId="113"/>
    <tableColumn id="4" xr3:uid="{ECCE2EA8-0407-4A7D-806D-219DC97121FA}" name="Descripción posición de mantenimiento" dataDxfId="112" totalsRowDxfId="111"/>
    <tableColumn id="5" xr3:uid="{E9637B7E-ED21-438A-9FF4-D85971D5552F}" name="OT" totalsRowFunction="count" dataDxfId="110" totalsRowDxfId="109"/>
    <tableColumn id="6" xr3:uid="{EAA4EDBC-BA5D-41BD-9D7F-8B6F0D1831A4}" name="operación" dataDxfId="108" totalsRowDxfId="107"/>
    <tableColumn id="7" xr3:uid="{67570107-C2E8-4F64-9D8B-1D8DD3185E78}" name="Texto breve operación" dataDxfId="106" totalsRowDxfId="105"/>
    <tableColumn id="8" xr3:uid="{EE07700F-F762-4C29-9E91-26506EA0EB00}" name="Puesto de trabajo" dataDxfId="104" totalsRowDxfId="103"/>
    <tableColumn id="9" xr3:uid="{7AB8B7FA-E948-44AD-BB40-9CE8B75709C9}" name="Número de toma" dataDxfId="102" totalsRowDxfId="101"/>
    <tableColumn id="13" xr3:uid="{A9713F44-C5C0-42C8-B785-A4ED45D3D653}" name="Paquetes vencidos" dataDxfId="100" totalsRowDxfId="99"/>
    <tableColumn id="14" xr3:uid="{0F4E3893-EC0E-447A-A4CD-926F4CEBBB5E}" name="Trabajo" dataDxfId="98" totalsRowDxfId="97"/>
    <tableColumn id="15" xr3:uid="{3E6F3B1E-7B1A-4517-B012-B5C41FD61AC5}" name="Ubicación técnica" dataDxfId="96" totalsRowDxfId="95"/>
    <tableColumn id="16" xr3:uid="{CC076826-0BAD-4707-9198-59D69E29A77B}" name="Denominación de la ubicación técnica" dataDxfId="94" totalsRowDxfId="93"/>
    <tableColumn id="17" xr3:uid="{DA9BDE9F-DCC6-4A6D-A634-93B9CC11E662}" name="Grupo hojas ruta" dataDxfId="92" totalsRowDxfId="91"/>
    <tableColumn id="11" xr3:uid="{23D9698C-8044-4002-8444-0BA0C5385C0A}" name="SUBSISTEMA" totalsRowFunction="count" dataDxfId="90" totalsRowDxfId="89"/>
    <tableColumn id="33" xr3:uid="{BD4884AE-E121-4928-8AFA-4DDE7D175BEA}" name="Tipo" totalsRowFunction="count" dataDxfId="88" totalsRowDxfId="87"/>
    <tableColumn id="29" xr3:uid="{296199A0-8F57-4CF9-829D-00AA472F9017}" name="Unidad [Km]" dataDxfId="86" totalsRowDxfId="85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2CAF0D-6BF5-47A8-B9A0-737B71590C5A}" name="Tabla8" displayName="Tabla8" ref="A1:J75" totalsRowShown="0" headerRowDxfId="25" dataDxfId="23" totalsRowDxfId="21" headerRowBorderDxfId="24" tableBorderDxfId="22" totalsRowBorderDxfId="20">
  <autoFilter ref="A1:J75" xr:uid="{743443A3-566A-461E-B03E-BE936F2D40D5}"/>
  <sortState xmlns:xlrd2="http://schemas.microsoft.com/office/spreadsheetml/2017/richdata2" ref="A2:J75">
    <sortCondition ref="H1:H75"/>
  </sortState>
  <tableColumns count="10">
    <tableColumn id="1" xr3:uid="{E434C72E-5CB2-4BF9-BDB1-2333979F6695}" name="Distrito" dataDxfId="19" totalsRowDxfId="18"/>
    <tableColumn id="3" xr3:uid="{C38D0F8B-2945-4362-832F-B925EFD0D2EF}" name="Txt plan mantenim." dataDxfId="17" totalsRowDxfId="16"/>
    <tableColumn id="4" xr3:uid="{2FF64D28-AF85-482F-A52E-D786FAC11D0A}" name="Descripción posición de mantenimiento" dataDxfId="15" totalsRowDxfId="14"/>
    <tableColumn id="5" xr3:uid="{A52B0375-EA24-4CB7-A69C-B4D5B5B422E8}" name="Orden" dataDxfId="13" totalsRowDxfId="12"/>
    <tableColumn id="7" xr3:uid="{975A5CFF-32BA-478B-9F37-A272CE679B32}" name="Texto breve operación" dataDxfId="11" totalsRowDxfId="10"/>
    <tableColumn id="15" xr3:uid="{48503814-1E42-4EC3-96B6-60AEB26FE99D}" name="Ubicación técnica" dataDxfId="9" totalsRowDxfId="8"/>
    <tableColumn id="17" xr3:uid="{9F8152D1-ADFE-447C-A917-F245ED3F5561}" name="Grupo hojas ruta" dataDxfId="7" totalsRowDxfId="6"/>
    <tableColumn id="6" xr3:uid="{E25A73EB-9E54-4BD9-825A-2FC5AAA197BF}" name="SUBSISTEMA" dataDxfId="5" totalsRowDxfId="4"/>
    <tableColumn id="9" xr3:uid="{4A0A5C36-CB97-4902-8E7B-900E1DB22E03}" name="Tipo" dataDxfId="3" totalsRowDxfId="2"/>
    <tableColumn id="28" xr3:uid="{10962DE1-43D6-49AE-AE32-5840FCA9D53A}" name="Unidad [Km]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" dT="2025-09-23T21:26:08.95" personId="{C49B748B-CDF9-4CB9-BF6A-C364FEC952DB}" id="{87C77504-C0BC-4452-8A88-28A03B438257}">
    <text>K 001+460</text>
  </threadedComment>
  <threadedComment ref="M11" dT="2025-09-23T21:26:35.73" personId="{C49B748B-CDF9-4CB9-BF6A-C364FEC952DB}" id="{5B56482E-78F7-488E-8F61-06F2242EF315}">
    <text>K 000+540</text>
  </threadedComment>
  <threadedComment ref="M23" dT="2025-09-23T21:28:15.12" personId="{C49B748B-CDF9-4CB9-BF6A-C364FEC952DB}" id="{E3679B06-D92E-4D3B-BA7E-33E9B669AEE4}">
    <text>K 000+175</text>
  </threadedComment>
  <threadedComment ref="M36" dT="2025-09-23T21:33:05.51" personId="{C49B748B-CDF9-4CB9-BF6A-C364FEC952DB}" id="{FA576DC3-2523-4D12-B85F-8207F2033265}">
    <text>K 000+000</text>
  </threadedComment>
  <threadedComment ref="M45" dT="2025-09-23T21:33:19.46" personId="{C49B748B-CDF9-4CB9-BF6A-C364FEC952DB}" id="{DEC235CA-AEA1-4131-9B99-6959B4568468}">
    <text>K 000+280</text>
  </threadedComment>
  <threadedComment ref="M71" dT="2025-09-23T21:33:38.17" personId="{C49B748B-CDF9-4CB9-BF6A-C364FEC952DB}" id="{978D3545-7DE0-4619-B6D4-52E32BDA7F5D}">
    <text>K 003+930</text>
  </threadedComment>
  <threadedComment ref="M89" dT="2025-09-23T21:33:51.44" personId="{C49B748B-CDF9-4CB9-BF6A-C364FEC952DB}" id="{844E0C1B-CB8B-4AFD-9183-7608CCB9AD37}">
    <text>K 003+300</text>
  </threadedComment>
  <threadedComment ref="M90" dT="2025-09-23T21:34:04.24" personId="{C49B748B-CDF9-4CB9-BF6A-C364FEC952DB}" id="{90F1A69F-7796-44F5-9629-657EFC48B463}">
    <text>K 001+372</text>
  </threadedComment>
  <threadedComment ref="M91" dT="2025-09-23T21:34:17.23" personId="{C49B748B-CDF9-4CB9-BF6A-C364FEC952DB}" id="{B152EB09-5D87-4A33-9D61-FB761A73E23D}">
    <text>K 001+750</text>
  </threadedComment>
  <threadedComment ref="M94" dT="2025-12-02T16:43:45.93" personId="{C49B748B-CDF9-4CB9-BF6A-C364FEC952DB}" id="{D9FB29BE-AAAF-4C3F-98C6-8E7014C5499C}">
    <text xml:space="preserve">Telmacom no ejecuto </text>
  </threadedComment>
  <threadedComment ref="M101" dT="2025-09-23T21:34:31.77" personId="{C49B748B-CDF9-4CB9-BF6A-C364FEC952DB}" id="{521FA689-38BC-4BCA-B7D8-6B63964DAFB2}">
    <text>K 003+347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83" dT="2026-04-09T16:59:32.75" personId="{C49B748B-CDF9-4CB9-BF6A-C364FEC952DB}" id="{9C5ED98A-39A4-4862-AD6A-62BFAFBAE006}">
    <text>Tiene OT PAP 2026</text>
  </threadedComment>
  <threadedComment ref="O85" dT="2026-04-17T14:24:24.89" personId="{C49B748B-CDF9-4CB9-BF6A-C364FEC952DB}" id="{489A20D5-8DEC-4278-BEA5-52A560F41122}">
    <text>Tiene OT PAP 2026</text>
  </threadedComment>
  <threadedComment ref="O86" dT="2026-04-09T16:42:32.28" personId="{C49B748B-CDF9-4CB9-BF6A-C364FEC952DB}" id="{30045B87-231E-40B0-A069-06C756F4DCA4}">
    <text>Tiene OT PAP 2026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22" dT="2026-04-09T17:14:33.45" personId="{C49B748B-CDF9-4CB9-BF6A-C364FEC952DB}" id="{CD595F8A-DD10-4C52-BF81-6B25F6AD0BED}">
    <text>Por error se le entrego OT A+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7F6DA-6756-42EF-B2CA-CB3120AEB766}">
  <dimension ref="A1:AD174"/>
  <sheetViews>
    <sheetView zoomScaleNormal="100" workbookViewId="0">
      <selection activeCell="N164" sqref="N164"/>
    </sheetView>
  </sheetViews>
  <sheetFormatPr baseColWidth="10" defaultColWidth="11.5546875" defaultRowHeight="14.4"/>
  <cols>
    <col min="1" max="1" width="8.6640625" style="58" customWidth="1"/>
    <col min="2" max="2" width="22.33203125" style="43" hidden="1" customWidth="1"/>
    <col min="3" max="3" width="20.33203125" style="43" hidden="1" customWidth="1"/>
    <col min="4" max="4" width="39.109375" style="43" hidden="1" customWidth="1"/>
    <col min="5" max="5" width="14" style="43" customWidth="1"/>
    <col min="6" max="6" width="39.109375" style="43" hidden="1" customWidth="1"/>
    <col min="7" max="7" width="18.88671875" style="43" hidden="1" customWidth="1"/>
    <col min="8" max="8" width="19" style="43" hidden="1" customWidth="1"/>
    <col min="9" max="9" width="37.109375" style="43" hidden="1" customWidth="1"/>
    <col min="10" max="10" width="19.44140625" style="43" customWidth="1"/>
    <col min="11" max="11" width="8.88671875" style="43" hidden="1" customWidth="1"/>
    <col min="12" max="12" width="9.44140625" style="43" hidden="1" customWidth="1"/>
    <col min="13" max="13" width="19.6640625" style="45" customWidth="1"/>
    <col min="14" max="14" width="7.33203125" style="43" customWidth="1"/>
    <col min="15" max="15" width="14.109375" style="43" customWidth="1"/>
    <col min="16" max="16" width="11.5546875" style="43" customWidth="1"/>
    <col min="17" max="17" width="14.33203125" style="55" hidden="1" customWidth="1"/>
    <col min="18" max="18" width="15.5546875" style="55" hidden="1" customWidth="1"/>
    <col min="19" max="19" width="18" style="55" customWidth="1"/>
    <col min="20" max="20" width="16.5546875" style="43" hidden="1" customWidth="1"/>
    <col min="21" max="21" width="11.5546875" style="43" hidden="1" customWidth="1"/>
    <col min="22" max="22" width="11.6640625" style="43" hidden="1" customWidth="1"/>
    <col min="23" max="23" width="12.6640625" style="58" hidden="1" customWidth="1"/>
    <col min="24" max="24" width="14.33203125" style="43" customWidth="1"/>
    <col min="25" max="25" width="10.88671875" style="43" customWidth="1"/>
    <col min="26" max="26" width="11.5546875" style="43"/>
    <col min="27" max="27" width="11.6640625" style="58" customWidth="1"/>
    <col min="28" max="28" width="12.6640625" style="58" customWidth="1"/>
    <col min="29" max="29" width="11.5546875" style="58"/>
    <col min="30" max="30" width="18.44140625" style="43" customWidth="1"/>
    <col min="31" max="16384" width="11.5546875" style="43"/>
  </cols>
  <sheetData>
    <row r="1" spans="1:30" ht="43.2">
      <c r="A1" s="35" t="s">
        <v>0</v>
      </c>
      <c r="B1" s="35" t="s">
        <v>1</v>
      </c>
      <c r="C1" s="36" t="s">
        <v>2</v>
      </c>
      <c r="D1" s="36" t="s">
        <v>3</v>
      </c>
      <c r="E1" s="37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5" t="s">
        <v>9</v>
      </c>
      <c r="K1" s="35" t="s">
        <v>10</v>
      </c>
      <c r="L1" s="35" t="s">
        <v>11</v>
      </c>
      <c r="M1" s="36" t="s">
        <v>12</v>
      </c>
      <c r="N1" s="36" t="s">
        <v>13</v>
      </c>
      <c r="O1" s="38" t="s">
        <v>14</v>
      </c>
      <c r="P1" s="37" t="s">
        <v>15</v>
      </c>
      <c r="Q1" s="39" t="s">
        <v>16</v>
      </c>
      <c r="R1" s="39" t="s">
        <v>17</v>
      </c>
      <c r="S1" s="39" t="s">
        <v>18</v>
      </c>
      <c r="T1" s="36" t="s">
        <v>19</v>
      </c>
      <c r="U1" s="40" t="s">
        <v>20</v>
      </c>
      <c r="V1" s="41" t="s">
        <v>21</v>
      </c>
      <c r="W1" s="41" t="s">
        <v>22</v>
      </c>
      <c r="X1" s="41" t="s">
        <v>23</v>
      </c>
      <c r="Y1" s="42" t="s">
        <v>24</v>
      </c>
      <c r="Z1" s="41" t="s">
        <v>25</v>
      </c>
      <c r="AA1" s="41" t="s">
        <v>26</v>
      </c>
      <c r="AB1" s="41" t="s">
        <v>27</v>
      </c>
      <c r="AC1" s="41" t="s">
        <v>28</v>
      </c>
      <c r="AD1" s="41" t="s">
        <v>29</v>
      </c>
    </row>
    <row r="2" spans="1:30" hidden="1">
      <c r="A2" s="44" t="s">
        <v>30</v>
      </c>
      <c r="B2" s="45">
        <v>10015403</v>
      </c>
      <c r="C2" s="45" t="s">
        <v>31</v>
      </c>
      <c r="D2" s="45" t="s">
        <v>31</v>
      </c>
      <c r="E2" s="46">
        <v>1300012814</v>
      </c>
      <c r="F2" s="45" t="s">
        <v>32</v>
      </c>
      <c r="G2" s="45" t="s">
        <v>33</v>
      </c>
      <c r="H2" s="45" t="s">
        <v>34</v>
      </c>
      <c r="I2" s="45" t="s">
        <v>35</v>
      </c>
      <c r="J2" s="45" t="s">
        <v>36</v>
      </c>
      <c r="K2" s="47" t="s">
        <v>37</v>
      </c>
      <c r="L2" s="46"/>
      <c r="M2" s="47" t="s">
        <v>38</v>
      </c>
      <c r="N2" s="48"/>
      <c r="O2" s="49">
        <v>1</v>
      </c>
      <c r="P2" s="50"/>
      <c r="Q2" s="51">
        <v>1400000</v>
      </c>
      <c r="R2" s="51">
        <f>Tabla2[[#This Row],[Unitario]]*Tabla2[[#This Row],[Unidad '[Km']]]</f>
        <v>1400000</v>
      </c>
      <c r="S2" s="51">
        <f>Tabla2[[#This Row],[Valor Total]]*1.19</f>
        <v>1666000</v>
      </c>
      <c r="T2" s="52" t="s">
        <v>39</v>
      </c>
      <c r="U2" s="52" t="s">
        <v>40</v>
      </c>
      <c r="V2" s="53">
        <v>45841</v>
      </c>
      <c r="W2" s="43"/>
      <c r="X2" s="43" t="s">
        <v>41</v>
      </c>
      <c r="AA2" s="43"/>
      <c r="AB2" s="43"/>
      <c r="AC2" s="54"/>
      <c r="AD2" s="55"/>
    </row>
    <row r="3" spans="1:30" hidden="1">
      <c r="A3" s="44" t="s">
        <v>42</v>
      </c>
      <c r="B3" s="45">
        <v>10008338</v>
      </c>
      <c r="C3" s="45" t="s">
        <v>43</v>
      </c>
      <c r="D3" s="45" t="s">
        <v>44</v>
      </c>
      <c r="E3" s="46">
        <v>1300012868</v>
      </c>
      <c r="F3" s="45" t="s">
        <v>45</v>
      </c>
      <c r="G3" s="45" t="s">
        <v>46</v>
      </c>
      <c r="H3" s="45" t="s">
        <v>47</v>
      </c>
      <c r="I3" s="45" t="s">
        <v>48</v>
      </c>
      <c r="J3" s="45" t="s">
        <v>49</v>
      </c>
      <c r="K3" s="47" t="s">
        <v>37</v>
      </c>
      <c r="L3" s="46"/>
      <c r="M3" s="47" t="s">
        <v>50</v>
      </c>
      <c r="N3" s="48" t="s">
        <v>51</v>
      </c>
      <c r="O3" s="49">
        <v>0.03</v>
      </c>
      <c r="P3" s="50">
        <v>2</v>
      </c>
      <c r="Q3" s="51">
        <v>215600</v>
      </c>
      <c r="R3" s="51">
        <f>Tabla2[[#This Row],[Unitario]]*Tabla2[[#This Row],[Postes]]</f>
        <v>431200</v>
      </c>
      <c r="S3" s="51">
        <f>Tabla2[[#This Row],[Valor Total]]*1.19</f>
        <v>513128</v>
      </c>
      <c r="T3" s="52" t="s">
        <v>39</v>
      </c>
      <c r="U3" s="52" t="s">
        <v>39</v>
      </c>
      <c r="V3" s="53">
        <v>45905</v>
      </c>
      <c r="W3" s="43"/>
      <c r="X3" s="43" t="s">
        <v>41</v>
      </c>
      <c r="AA3" s="43"/>
      <c r="AB3" s="43"/>
      <c r="AC3" s="54"/>
      <c r="AD3" s="55"/>
    </row>
    <row r="4" spans="1:30" hidden="1">
      <c r="A4" s="44" t="s">
        <v>42</v>
      </c>
      <c r="B4" s="45">
        <v>10008335</v>
      </c>
      <c r="C4" s="45" t="s">
        <v>52</v>
      </c>
      <c r="D4" s="45" t="s">
        <v>53</v>
      </c>
      <c r="E4" s="46">
        <v>1300012865</v>
      </c>
      <c r="F4" s="45" t="s">
        <v>45</v>
      </c>
      <c r="G4" s="45" t="s">
        <v>46</v>
      </c>
      <c r="H4" s="45" t="s">
        <v>54</v>
      </c>
      <c r="I4" s="45" t="s">
        <v>55</v>
      </c>
      <c r="J4" s="45" t="s">
        <v>49</v>
      </c>
      <c r="K4" s="47" t="s">
        <v>37</v>
      </c>
      <c r="L4" s="46"/>
      <c r="M4" s="47" t="s">
        <v>56</v>
      </c>
      <c r="N4" s="48" t="s">
        <v>51</v>
      </c>
      <c r="O4" s="49">
        <v>19.100000000000001</v>
      </c>
      <c r="P4" s="50">
        <v>20</v>
      </c>
      <c r="Q4" s="51">
        <v>215600</v>
      </c>
      <c r="R4" s="51">
        <f>Tabla2[[#This Row],[Unitario]]*Tabla2[[#This Row],[Postes]]</f>
        <v>4312000</v>
      </c>
      <c r="S4" s="51">
        <f>Tabla2[[#This Row],[Valor Total]]*1.19</f>
        <v>5131280</v>
      </c>
      <c r="T4" s="52" t="s">
        <v>39</v>
      </c>
      <c r="U4" s="52" t="s">
        <v>39</v>
      </c>
      <c r="V4" s="53">
        <v>45874</v>
      </c>
      <c r="W4" s="43"/>
      <c r="X4" s="43" t="s">
        <v>41</v>
      </c>
      <c r="AA4" s="43"/>
      <c r="AB4" s="43"/>
      <c r="AC4" s="54"/>
      <c r="AD4" s="55"/>
    </row>
    <row r="5" spans="1:30" hidden="1">
      <c r="A5" s="44" t="s">
        <v>57</v>
      </c>
      <c r="B5" s="45">
        <v>10008596</v>
      </c>
      <c r="C5" s="45" t="s">
        <v>58</v>
      </c>
      <c r="D5" s="45" t="s">
        <v>59</v>
      </c>
      <c r="E5" s="46">
        <v>1300012657</v>
      </c>
      <c r="F5" s="45" t="s">
        <v>45</v>
      </c>
      <c r="G5" s="45" t="s">
        <v>60</v>
      </c>
      <c r="H5" s="45" t="s">
        <v>61</v>
      </c>
      <c r="I5" s="45" t="s">
        <v>62</v>
      </c>
      <c r="J5" s="45" t="s">
        <v>49</v>
      </c>
      <c r="K5" s="47" t="s">
        <v>37</v>
      </c>
      <c r="L5" s="46"/>
      <c r="M5" s="48" t="s">
        <v>63</v>
      </c>
      <c r="N5" s="48" t="s">
        <v>51</v>
      </c>
      <c r="O5" s="49">
        <v>0.01</v>
      </c>
      <c r="P5" s="50">
        <v>1</v>
      </c>
      <c r="Q5" s="51">
        <v>215600</v>
      </c>
      <c r="R5" s="51">
        <f>Tabla2[[#This Row],[Unitario]]*Tabla2[[#This Row],[Postes]]</f>
        <v>215600</v>
      </c>
      <c r="S5" s="51">
        <f>Tabla2[[#This Row],[Valor Total]]*1.19</f>
        <v>256564</v>
      </c>
      <c r="T5" s="52" t="s">
        <v>39</v>
      </c>
      <c r="U5" s="52" t="s">
        <v>39</v>
      </c>
      <c r="V5" s="53">
        <v>45843</v>
      </c>
      <c r="W5" s="43"/>
      <c r="X5" s="43" t="s">
        <v>41</v>
      </c>
      <c r="AA5" s="43"/>
      <c r="AB5" s="43"/>
      <c r="AC5" s="54"/>
      <c r="AD5" s="55"/>
    </row>
    <row r="6" spans="1:30">
      <c r="A6" s="44" t="s">
        <v>64</v>
      </c>
      <c r="B6" s="45">
        <v>10008598</v>
      </c>
      <c r="C6" s="45" t="s">
        <v>65</v>
      </c>
      <c r="D6" s="45" t="s">
        <v>66</v>
      </c>
      <c r="E6" s="46">
        <v>1300012658</v>
      </c>
      <c r="F6" s="45" t="s">
        <v>45</v>
      </c>
      <c r="G6" s="45" t="s">
        <v>67</v>
      </c>
      <c r="H6" s="45" t="s">
        <v>68</v>
      </c>
      <c r="I6" s="45" t="s">
        <v>69</v>
      </c>
      <c r="J6" s="45" t="s">
        <v>49</v>
      </c>
      <c r="K6" s="47" t="s">
        <v>37</v>
      </c>
      <c r="L6" s="46"/>
      <c r="M6" s="48" t="s">
        <v>70</v>
      </c>
      <c r="N6" s="48" t="s">
        <v>51</v>
      </c>
      <c r="O6" s="49">
        <v>45.334000000000003</v>
      </c>
      <c r="P6" s="50">
        <v>41</v>
      </c>
      <c r="Q6" s="51">
        <v>215600</v>
      </c>
      <c r="R6" s="51">
        <f>Tabla2[[#This Row],[Unitario]]*Tabla2[[#This Row],[Postes]]</f>
        <v>8839600</v>
      </c>
      <c r="S6" s="51">
        <f>Tabla2[[#This Row],[Valor Total]]*1.19</f>
        <v>10519124</v>
      </c>
      <c r="T6" s="52" t="s">
        <v>39</v>
      </c>
      <c r="U6" s="52" t="s">
        <v>39</v>
      </c>
      <c r="V6" s="53">
        <v>45843</v>
      </c>
      <c r="W6" s="53">
        <v>45992</v>
      </c>
      <c r="X6" s="56" t="s">
        <v>71</v>
      </c>
      <c r="Y6" s="57">
        <v>45992</v>
      </c>
      <c r="Z6" s="43" t="s">
        <v>72</v>
      </c>
      <c r="AA6" s="58" t="s">
        <v>73</v>
      </c>
      <c r="AB6" s="58" t="s">
        <v>74</v>
      </c>
      <c r="AC6" s="59" t="s">
        <v>75</v>
      </c>
      <c r="AD6" s="55"/>
    </row>
    <row r="7" spans="1:30" hidden="1">
      <c r="A7" s="44" t="s">
        <v>57</v>
      </c>
      <c r="B7" s="45">
        <v>10008626</v>
      </c>
      <c r="C7" s="45" t="s">
        <v>76</v>
      </c>
      <c r="D7" s="45" t="s">
        <v>77</v>
      </c>
      <c r="E7" s="46">
        <v>1300012976</v>
      </c>
      <c r="F7" s="45" t="s">
        <v>45</v>
      </c>
      <c r="G7" s="45" t="s">
        <v>60</v>
      </c>
      <c r="H7" s="45" t="s">
        <v>78</v>
      </c>
      <c r="I7" s="45" t="s">
        <v>79</v>
      </c>
      <c r="J7" s="45" t="s">
        <v>49</v>
      </c>
      <c r="K7" s="47" t="s">
        <v>37</v>
      </c>
      <c r="L7" s="46"/>
      <c r="M7" s="48" t="s">
        <v>80</v>
      </c>
      <c r="N7" s="48" t="s">
        <v>51</v>
      </c>
      <c r="O7" s="49">
        <v>0.65</v>
      </c>
      <c r="P7" s="50">
        <v>2</v>
      </c>
      <c r="Q7" s="51">
        <v>215600</v>
      </c>
      <c r="R7" s="51">
        <f>Tabla2[[#This Row],[Unitario]]*Tabla2[[#This Row],[Postes]]</f>
        <v>431200</v>
      </c>
      <c r="S7" s="51">
        <f>Tabla2[[#This Row],[Valor Total]]*1.19</f>
        <v>513128</v>
      </c>
      <c r="T7" s="52" t="s">
        <v>39</v>
      </c>
      <c r="U7" s="52" t="s">
        <v>39</v>
      </c>
      <c r="V7" s="53">
        <v>45874</v>
      </c>
      <c r="W7" s="43"/>
      <c r="X7" s="43" t="s">
        <v>41</v>
      </c>
      <c r="AA7" s="43"/>
      <c r="AB7" s="43"/>
      <c r="AC7" s="54"/>
      <c r="AD7" s="55"/>
    </row>
    <row r="8" spans="1:30" hidden="1">
      <c r="A8" s="44" t="s">
        <v>57</v>
      </c>
      <c r="B8" s="45">
        <v>10008595</v>
      </c>
      <c r="C8" s="45" t="s">
        <v>81</v>
      </c>
      <c r="D8" s="45" t="s">
        <v>82</v>
      </c>
      <c r="E8" s="46">
        <v>1300012656</v>
      </c>
      <c r="F8" s="45" t="s">
        <v>45</v>
      </c>
      <c r="G8" s="45" t="s">
        <v>60</v>
      </c>
      <c r="H8" s="45" t="s">
        <v>83</v>
      </c>
      <c r="I8" s="45" t="s">
        <v>84</v>
      </c>
      <c r="J8" s="45" t="s">
        <v>49</v>
      </c>
      <c r="K8" s="47" t="s">
        <v>37</v>
      </c>
      <c r="L8" s="46"/>
      <c r="M8" s="48" t="s">
        <v>85</v>
      </c>
      <c r="N8" s="48" t="s">
        <v>51</v>
      </c>
      <c r="O8" s="49">
        <v>3.4000000000000002E-2</v>
      </c>
      <c r="P8" s="50">
        <v>1</v>
      </c>
      <c r="Q8" s="51">
        <v>215600</v>
      </c>
      <c r="R8" s="51">
        <f>Tabla2[[#This Row],[Unitario]]*Tabla2[[#This Row],[Postes]]</f>
        <v>215600</v>
      </c>
      <c r="S8" s="51">
        <f>Tabla2[[#This Row],[Valor Total]]*1.19</f>
        <v>256564</v>
      </c>
      <c r="T8" s="52" t="s">
        <v>39</v>
      </c>
      <c r="U8" s="52" t="s">
        <v>39</v>
      </c>
      <c r="V8" s="53">
        <v>45843</v>
      </c>
      <c r="W8" s="43"/>
      <c r="X8" s="43" t="s">
        <v>41</v>
      </c>
      <c r="AA8" s="43"/>
      <c r="AB8" s="43"/>
      <c r="AC8" s="54"/>
      <c r="AD8" s="55"/>
    </row>
    <row r="9" spans="1:30" hidden="1">
      <c r="A9" s="44" t="s">
        <v>57</v>
      </c>
      <c r="B9" s="45">
        <v>10008601</v>
      </c>
      <c r="C9" s="45" t="s">
        <v>86</v>
      </c>
      <c r="D9" s="45" t="s">
        <v>87</v>
      </c>
      <c r="E9" s="46">
        <v>1300012659</v>
      </c>
      <c r="F9" s="45" t="s">
        <v>45</v>
      </c>
      <c r="G9" s="45" t="s">
        <v>60</v>
      </c>
      <c r="H9" s="45" t="s">
        <v>88</v>
      </c>
      <c r="I9" s="45" t="s">
        <v>89</v>
      </c>
      <c r="J9" s="45" t="s">
        <v>49</v>
      </c>
      <c r="K9" s="47" t="s">
        <v>37</v>
      </c>
      <c r="L9" s="46"/>
      <c r="M9" s="48" t="s">
        <v>90</v>
      </c>
      <c r="N9" s="48" t="s">
        <v>51</v>
      </c>
      <c r="O9" s="49">
        <v>12.27</v>
      </c>
      <c r="P9" s="50">
        <v>11</v>
      </c>
      <c r="Q9" s="51">
        <v>215600</v>
      </c>
      <c r="R9" s="51">
        <f>Tabla2[[#This Row],[Unitario]]*Tabla2[[#This Row],[Postes]]</f>
        <v>2371600</v>
      </c>
      <c r="S9" s="51">
        <f>Tabla2[[#This Row],[Valor Total]]*1.19</f>
        <v>2822204</v>
      </c>
      <c r="T9" s="52" t="s">
        <v>39</v>
      </c>
      <c r="U9" s="52" t="s">
        <v>39</v>
      </c>
      <c r="V9" s="53">
        <v>45843</v>
      </c>
      <c r="W9" s="43"/>
      <c r="X9" s="43" t="s">
        <v>41</v>
      </c>
      <c r="AA9" s="43"/>
      <c r="AB9" s="43"/>
      <c r="AC9" s="54"/>
      <c r="AD9" s="55"/>
    </row>
    <row r="10" spans="1:30" hidden="1">
      <c r="A10" s="44" t="s">
        <v>64</v>
      </c>
      <c r="B10" s="45">
        <v>10008606</v>
      </c>
      <c r="C10" s="45" t="s">
        <v>91</v>
      </c>
      <c r="D10" s="45" t="s">
        <v>92</v>
      </c>
      <c r="E10" s="46">
        <v>1300012781</v>
      </c>
      <c r="F10" s="45" t="s">
        <v>45</v>
      </c>
      <c r="G10" s="45" t="s">
        <v>67</v>
      </c>
      <c r="H10" s="45" t="s">
        <v>93</v>
      </c>
      <c r="I10" s="45" t="s">
        <v>94</v>
      </c>
      <c r="J10" s="45" t="s">
        <v>49</v>
      </c>
      <c r="K10" s="47" t="s">
        <v>37</v>
      </c>
      <c r="L10" s="46"/>
      <c r="M10" s="48" t="s">
        <v>95</v>
      </c>
      <c r="N10" s="48" t="s">
        <v>51</v>
      </c>
      <c r="O10" s="49">
        <v>12.260999999999999</v>
      </c>
      <c r="P10" s="50">
        <v>12</v>
      </c>
      <c r="Q10" s="51">
        <v>215600</v>
      </c>
      <c r="R10" s="51">
        <f>Tabla2[[#This Row],[Unitario]]*Tabla2[[#This Row],[Postes]]</f>
        <v>2587200</v>
      </c>
      <c r="S10" s="51">
        <f>Tabla2[[#This Row],[Valor Total]]*1.19</f>
        <v>3078768</v>
      </c>
      <c r="T10" s="52" t="s">
        <v>39</v>
      </c>
      <c r="U10" s="52" t="s">
        <v>39</v>
      </c>
      <c r="V10" s="53">
        <v>45843</v>
      </c>
      <c r="W10" s="43"/>
      <c r="X10" s="43" t="s">
        <v>41</v>
      </c>
      <c r="AA10" s="43"/>
      <c r="AB10" s="43"/>
      <c r="AC10" s="54"/>
      <c r="AD10" s="55"/>
    </row>
    <row r="11" spans="1:30" hidden="1">
      <c r="A11" s="44" t="s">
        <v>30</v>
      </c>
      <c r="B11" s="45">
        <v>10015451</v>
      </c>
      <c r="C11" s="45" t="s">
        <v>96</v>
      </c>
      <c r="D11" s="45" t="s">
        <v>96</v>
      </c>
      <c r="E11" s="46">
        <v>1300012816</v>
      </c>
      <c r="F11" s="45" t="s">
        <v>32</v>
      </c>
      <c r="G11" s="45" t="s">
        <v>33</v>
      </c>
      <c r="H11" s="45" t="s">
        <v>97</v>
      </c>
      <c r="I11" s="45" t="s">
        <v>98</v>
      </c>
      <c r="J11" s="45" t="s">
        <v>36</v>
      </c>
      <c r="K11" s="47" t="s">
        <v>37</v>
      </c>
      <c r="L11" s="46"/>
      <c r="M11" s="47" t="s">
        <v>99</v>
      </c>
      <c r="N11" s="48"/>
      <c r="O11" s="49">
        <v>1</v>
      </c>
      <c r="P11" s="50"/>
      <c r="Q11" s="51">
        <v>1400000</v>
      </c>
      <c r="R11" s="51">
        <f>Tabla2[[#This Row],[Unitario]]*Tabla2[[#This Row],[Unidad '[Km']]]</f>
        <v>1400000</v>
      </c>
      <c r="S11" s="51">
        <f>Tabla2[[#This Row],[Valor Total]]*1.19</f>
        <v>1666000</v>
      </c>
      <c r="T11" s="52" t="s">
        <v>39</v>
      </c>
      <c r="U11" s="52" t="s">
        <v>40</v>
      </c>
      <c r="V11" s="53">
        <v>45841</v>
      </c>
      <c r="W11" s="43"/>
      <c r="X11" s="43" t="s">
        <v>41</v>
      </c>
      <c r="AA11" s="43"/>
      <c r="AB11" s="43"/>
      <c r="AC11" s="54"/>
      <c r="AD11" s="55"/>
    </row>
    <row r="12" spans="1:30" hidden="1">
      <c r="A12" s="44" t="s">
        <v>42</v>
      </c>
      <c r="B12" s="45">
        <v>10008685</v>
      </c>
      <c r="C12" s="45" t="s">
        <v>100</v>
      </c>
      <c r="D12" s="45" t="s">
        <v>101</v>
      </c>
      <c r="E12" s="46">
        <v>1300012988</v>
      </c>
      <c r="F12" s="45" t="s">
        <v>45</v>
      </c>
      <c r="G12" s="45" t="s">
        <v>46</v>
      </c>
      <c r="H12" s="45" t="s">
        <v>102</v>
      </c>
      <c r="I12" s="45" t="s">
        <v>103</v>
      </c>
      <c r="J12" s="45" t="s">
        <v>49</v>
      </c>
      <c r="K12" s="47" t="s">
        <v>37</v>
      </c>
      <c r="L12" s="46"/>
      <c r="M12" s="47" t="s">
        <v>104</v>
      </c>
      <c r="N12" s="48" t="s">
        <v>51</v>
      </c>
      <c r="O12" s="49">
        <v>0.01</v>
      </c>
      <c r="P12" s="50">
        <v>1</v>
      </c>
      <c r="Q12" s="51">
        <v>215600</v>
      </c>
      <c r="R12" s="51">
        <f>Tabla2[[#This Row],[Unitario]]*Tabla2[[#This Row],[Postes]]</f>
        <v>215600</v>
      </c>
      <c r="S12" s="51">
        <f>Tabla2[[#This Row],[Valor Total]]*1.19</f>
        <v>256564</v>
      </c>
      <c r="T12" s="52" t="s">
        <v>39</v>
      </c>
      <c r="U12" s="52" t="s">
        <v>39</v>
      </c>
      <c r="V12" s="53">
        <v>45905</v>
      </c>
      <c r="W12" s="43"/>
      <c r="X12" s="43" t="s">
        <v>41</v>
      </c>
      <c r="AA12" s="43"/>
      <c r="AB12" s="43"/>
      <c r="AC12" s="54"/>
      <c r="AD12" s="55"/>
    </row>
    <row r="13" spans="1:30" hidden="1">
      <c r="A13" s="44" t="s">
        <v>42</v>
      </c>
      <c r="B13" s="45">
        <v>10008342</v>
      </c>
      <c r="C13" s="45" t="s">
        <v>105</v>
      </c>
      <c r="D13" s="45" t="s">
        <v>106</v>
      </c>
      <c r="E13" s="46">
        <v>1300012872</v>
      </c>
      <c r="F13" s="45" t="s">
        <v>45</v>
      </c>
      <c r="G13" s="45" t="s">
        <v>46</v>
      </c>
      <c r="H13" s="45" t="s">
        <v>107</v>
      </c>
      <c r="I13" s="45" t="s">
        <v>108</v>
      </c>
      <c r="J13" s="45" t="s">
        <v>49</v>
      </c>
      <c r="K13" s="47" t="s">
        <v>37</v>
      </c>
      <c r="L13" s="46"/>
      <c r="M13" s="47" t="s">
        <v>109</v>
      </c>
      <c r="N13" s="48" t="s">
        <v>51</v>
      </c>
      <c r="O13" s="49">
        <v>0.02</v>
      </c>
      <c r="P13" s="50">
        <v>1</v>
      </c>
      <c r="Q13" s="51">
        <v>215600</v>
      </c>
      <c r="R13" s="51">
        <f>Tabla2[[#This Row],[Unitario]]*Tabla2[[#This Row],[Postes]]</f>
        <v>215600</v>
      </c>
      <c r="S13" s="51">
        <f>Tabla2[[#This Row],[Valor Total]]*1.19</f>
        <v>256564</v>
      </c>
      <c r="T13" s="52" t="s">
        <v>39</v>
      </c>
      <c r="U13" s="52" t="s">
        <v>39</v>
      </c>
      <c r="V13" s="53">
        <v>45905</v>
      </c>
      <c r="W13" s="43"/>
      <c r="X13" s="43" t="s">
        <v>41</v>
      </c>
      <c r="AA13" s="43"/>
      <c r="AB13" s="43"/>
      <c r="AC13" s="54"/>
      <c r="AD13" s="55"/>
    </row>
    <row r="14" spans="1:30" hidden="1">
      <c r="A14" s="44" t="s">
        <v>30</v>
      </c>
      <c r="B14" s="45">
        <v>10010834</v>
      </c>
      <c r="C14" s="45" t="s">
        <v>110</v>
      </c>
      <c r="D14" s="45" t="s">
        <v>110</v>
      </c>
      <c r="E14" s="46">
        <v>1300012996</v>
      </c>
      <c r="F14" s="45" t="s">
        <v>111</v>
      </c>
      <c r="G14" s="45" t="s">
        <v>33</v>
      </c>
      <c r="H14" s="45" t="s">
        <v>112</v>
      </c>
      <c r="I14" s="45" t="s">
        <v>113</v>
      </c>
      <c r="J14" s="45" t="s">
        <v>114</v>
      </c>
      <c r="K14" s="47" t="s">
        <v>37</v>
      </c>
      <c r="L14" s="46"/>
      <c r="M14" s="47" t="s">
        <v>115</v>
      </c>
      <c r="N14" s="48"/>
      <c r="O14" s="49">
        <v>1</v>
      </c>
      <c r="P14" s="50"/>
      <c r="Q14" s="51">
        <v>6000000</v>
      </c>
      <c r="R14" s="51">
        <f>Tabla2[[#This Row],[Unitario]]*Tabla2[[#This Row],[Unidad '[Km']]]</f>
        <v>6000000</v>
      </c>
      <c r="S14" s="51">
        <f>Tabla2[[#This Row],[Valor Total]]*1.19</f>
        <v>7140000</v>
      </c>
      <c r="T14" s="52" t="s">
        <v>39</v>
      </c>
      <c r="U14" s="52" t="s">
        <v>40</v>
      </c>
      <c r="V14" s="53">
        <v>45903</v>
      </c>
      <c r="W14" s="43"/>
      <c r="X14" s="43" t="s">
        <v>41</v>
      </c>
      <c r="AA14" s="43"/>
      <c r="AB14" s="43"/>
      <c r="AC14" s="54"/>
      <c r="AD14" s="55"/>
    </row>
    <row r="15" spans="1:30" hidden="1">
      <c r="A15" s="44" t="s">
        <v>42</v>
      </c>
      <c r="B15" s="45">
        <v>10010832</v>
      </c>
      <c r="C15" s="45" t="s">
        <v>116</v>
      </c>
      <c r="D15" s="45" t="s">
        <v>116</v>
      </c>
      <c r="E15" s="46">
        <v>1300012994</v>
      </c>
      <c r="F15" s="45" t="s">
        <v>111</v>
      </c>
      <c r="G15" s="45" t="s">
        <v>46</v>
      </c>
      <c r="H15" s="45" t="s">
        <v>117</v>
      </c>
      <c r="I15" s="45" t="s">
        <v>118</v>
      </c>
      <c r="J15" s="45" t="s">
        <v>114</v>
      </c>
      <c r="K15" s="47" t="s">
        <v>37</v>
      </c>
      <c r="L15" s="46"/>
      <c r="M15" s="47" t="s">
        <v>119</v>
      </c>
      <c r="N15" s="48"/>
      <c r="O15" s="49">
        <v>1</v>
      </c>
      <c r="P15" s="50"/>
      <c r="Q15" s="51">
        <v>6000000</v>
      </c>
      <c r="R15" s="51">
        <f>Tabla2[[#This Row],[Unitario]]*Tabla2[[#This Row],[Unidad '[Km']]]</f>
        <v>6000000</v>
      </c>
      <c r="S15" s="51">
        <f>Tabla2[[#This Row],[Valor Total]]*1.19</f>
        <v>7140000</v>
      </c>
      <c r="T15" s="52" t="s">
        <v>39</v>
      </c>
      <c r="U15" s="52" t="s">
        <v>39</v>
      </c>
      <c r="V15" s="53">
        <v>45903</v>
      </c>
      <c r="W15" s="43"/>
      <c r="X15" s="43" t="s">
        <v>41</v>
      </c>
      <c r="AA15" s="43"/>
      <c r="AB15" s="43"/>
      <c r="AC15" s="54"/>
      <c r="AD15" s="55"/>
    </row>
    <row r="16" spans="1:30" hidden="1">
      <c r="A16" s="44" t="s">
        <v>42</v>
      </c>
      <c r="B16" s="45">
        <v>10010833</v>
      </c>
      <c r="C16" s="45" t="s">
        <v>120</v>
      </c>
      <c r="D16" s="45" t="s">
        <v>120</v>
      </c>
      <c r="E16" s="46">
        <v>1300012995</v>
      </c>
      <c r="F16" s="45" t="s">
        <v>111</v>
      </c>
      <c r="G16" s="45" t="s">
        <v>46</v>
      </c>
      <c r="H16" s="45" t="s">
        <v>121</v>
      </c>
      <c r="I16" s="45" t="s">
        <v>122</v>
      </c>
      <c r="J16" s="45" t="s">
        <v>114</v>
      </c>
      <c r="K16" s="47" t="s">
        <v>37</v>
      </c>
      <c r="L16" s="46"/>
      <c r="M16" s="47" t="s">
        <v>123</v>
      </c>
      <c r="N16" s="48"/>
      <c r="O16" s="49">
        <v>1</v>
      </c>
      <c r="P16" s="50"/>
      <c r="Q16" s="51">
        <v>6000000</v>
      </c>
      <c r="R16" s="51">
        <f>Tabla2[[#This Row],[Unitario]]*Tabla2[[#This Row],[Unidad '[Km']]]</f>
        <v>6000000</v>
      </c>
      <c r="S16" s="51">
        <f>Tabla2[[#This Row],[Valor Total]]*1.19</f>
        <v>7140000</v>
      </c>
      <c r="T16" s="52" t="s">
        <v>39</v>
      </c>
      <c r="U16" s="52" t="s">
        <v>39</v>
      </c>
      <c r="V16" s="53">
        <v>45903</v>
      </c>
      <c r="W16" s="43"/>
      <c r="X16" s="43" t="s">
        <v>41</v>
      </c>
      <c r="AA16" s="43"/>
      <c r="AB16" s="43"/>
      <c r="AC16" s="54"/>
      <c r="AD16" s="55"/>
    </row>
    <row r="17" spans="1:30" hidden="1">
      <c r="A17" s="44" t="s">
        <v>42</v>
      </c>
      <c r="B17" s="45">
        <v>10010831</v>
      </c>
      <c r="C17" s="45" t="s">
        <v>124</v>
      </c>
      <c r="D17" s="45" t="s">
        <v>124</v>
      </c>
      <c r="E17" s="46">
        <v>1300012993</v>
      </c>
      <c r="F17" s="45" t="s">
        <v>111</v>
      </c>
      <c r="G17" s="45" t="s">
        <v>46</v>
      </c>
      <c r="H17" s="45" t="s">
        <v>121</v>
      </c>
      <c r="I17" s="45" t="s">
        <v>122</v>
      </c>
      <c r="J17" s="45" t="s">
        <v>114</v>
      </c>
      <c r="K17" s="47" t="s">
        <v>37</v>
      </c>
      <c r="L17" s="46"/>
      <c r="M17" s="47" t="s">
        <v>125</v>
      </c>
      <c r="N17" s="48"/>
      <c r="O17" s="49">
        <v>1</v>
      </c>
      <c r="P17" s="50"/>
      <c r="Q17" s="51">
        <v>6000000</v>
      </c>
      <c r="R17" s="51">
        <f>Tabla2[[#This Row],[Unitario]]*Tabla2[[#This Row],[Unidad '[Km']]]</f>
        <v>6000000</v>
      </c>
      <c r="S17" s="51">
        <f>Tabla2[[#This Row],[Valor Total]]*1.19</f>
        <v>7140000</v>
      </c>
      <c r="T17" s="52" t="s">
        <v>39</v>
      </c>
      <c r="U17" s="52" t="s">
        <v>39</v>
      </c>
      <c r="V17" s="53">
        <v>45903</v>
      </c>
      <c r="W17" s="43"/>
      <c r="X17" s="43" t="s">
        <v>41</v>
      </c>
      <c r="AA17" s="43"/>
      <c r="AB17" s="43"/>
      <c r="AC17" s="54"/>
      <c r="AD17" s="55"/>
    </row>
    <row r="18" spans="1:30" hidden="1">
      <c r="A18" s="44" t="s">
        <v>126</v>
      </c>
      <c r="B18" s="45">
        <v>10015497</v>
      </c>
      <c r="C18" s="45" t="s">
        <v>127</v>
      </c>
      <c r="D18" s="45" t="s">
        <v>127</v>
      </c>
      <c r="E18" s="46">
        <v>1300013008</v>
      </c>
      <c r="F18" s="45" t="s">
        <v>111</v>
      </c>
      <c r="G18" s="45" t="s">
        <v>128</v>
      </c>
      <c r="H18" s="45" t="s">
        <v>129</v>
      </c>
      <c r="I18" s="45" t="s">
        <v>130</v>
      </c>
      <c r="J18" s="45" t="s">
        <v>114</v>
      </c>
      <c r="K18" s="47" t="s">
        <v>37</v>
      </c>
      <c r="L18" s="46"/>
      <c r="M18" s="47" t="s">
        <v>131</v>
      </c>
      <c r="N18" s="48"/>
      <c r="O18" s="49">
        <v>1</v>
      </c>
      <c r="P18" s="50"/>
      <c r="Q18" s="51">
        <v>6000000</v>
      </c>
      <c r="R18" s="51">
        <f>Tabla2[[#This Row],[Unitario]]*Tabla2[[#This Row],[Unidad '[Km']]]</f>
        <v>6000000</v>
      </c>
      <c r="S18" s="51">
        <f>Tabla2[[#This Row],[Valor Total]]*1.19</f>
        <v>7140000</v>
      </c>
      <c r="T18" s="52" t="s">
        <v>39</v>
      </c>
      <c r="U18" s="52" t="s">
        <v>40</v>
      </c>
      <c r="V18" s="53">
        <v>45872</v>
      </c>
      <c r="W18" s="43"/>
      <c r="X18" s="43" t="s">
        <v>41</v>
      </c>
      <c r="AA18" s="43"/>
      <c r="AB18" s="43"/>
      <c r="AC18" s="54"/>
      <c r="AD18" s="55"/>
    </row>
    <row r="19" spans="1:30" hidden="1">
      <c r="A19" s="44" t="s">
        <v>42</v>
      </c>
      <c r="B19" s="45">
        <v>10008316</v>
      </c>
      <c r="C19" s="45" t="s">
        <v>132</v>
      </c>
      <c r="D19" s="45" t="s">
        <v>133</v>
      </c>
      <c r="E19" s="46">
        <v>1300012851</v>
      </c>
      <c r="F19" s="45" t="s">
        <v>45</v>
      </c>
      <c r="G19" s="45" t="s">
        <v>46</v>
      </c>
      <c r="H19" s="45" t="s">
        <v>134</v>
      </c>
      <c r="I19" s="45" t="s">
        <v>135</v>
      </c>
      <c r="J19" s="45" t="s">
        <v>49</v>
      </c>
      <c r="K19" s="47" t="s">
        <v>37</v>
      </c>
      <c r="L19" s="46"/>
      <c r="M19" s="47" t="s">
        <v>136</v>
      </c>
      <c r="N19" s="48" t="s">
        <v>51</v>
      </c>
      <c r="O19" s="49">
        <v>0.1</v>
      </c>
      <c r="P19" s="50">
        <v>1</v>
      </c>
      <c r="Q19" s="51">
        <v>215600</v>
      </c>
      <c r="R19" s="51">
        <f>Tabla2[[#This Row],[Unitario]]*Tabla2[[#This Row],[Postes]]</f>
        <v>215600</v>
      </c>
      <c r="S19" s="51">
        <f>Tabla2[[#This Row],[Valor Total]]*1.19</f>
        <v>256564</v>
      </c>
      <c r="T19" s="52" t="s">
        <v>39</v>
      </c>
      <c r="U19" s="52" t="s">
        <v>39</v>
      </c>
      <c r="V19" s="53">
        <v>45905</v>
      </c>
      <c r="W19" s="43"/>
      <c r="X19" s="43" t="s">
        <v>41</v>
      </c>
      <c r="AA19" s="43"/>
      <c r="AB19" s="43"/>
      <c r="AC19" s="54"/>
      <c r="AD19" s="55"/>
    </row>
    <row r="20" spans="1:30" hidden="1">
      <c r="A20" s="44" t="s">
        <v>64</v>
      </c>
      <c r="B20" s="45">
        <v>10008613</v>
      </c>
      <c r="C20" s="45" t="s">
        <v>137</v>
      </c>
      <c r="D20" s="45" t="s">
        <v>138</v>
      </c>
      <c r="E20" s="46">
        <v>1300012785</v>
      </c>
      <c r="F20" s="45" t="s">
        <v>45</v>
      </c>
      <c r="G20" s="45" t="s">
        <v>67</v>
      </c>
      <c r="H20" s="45" t="s">
        <v>139</v>
      </c>
      <c r="I20" s="45" t="s">
        <v>140</v>
      </c>
      <c r="J20" s="45" t="s">
        <v>49</v>
      </c>
      <c r="K20" s="47" t="s">
        <v>37</v>
      </c>
      <c r="L20" s="46"/>
      <c r="M20" s="48" t="s">
        <v>141</v>
      </c>
      <c r="N20" s="48" t="s">
        <v>51</v>
      </c>
      <c r="O20" s="49">
        <v>0.01</v>
      </c>
      <c r="P20" s="50">
        <v>2</v>
      </c>
      <c r="Q20" s="51">
        <v>215600</v>
      </c>
      <c r="R20" s="51">
        <f>Tabla2[[#This Row],[Unitario]]*Tabla2[[#This Row],[Postes]]</f>
        <v>431200</v>
      </c>
      <c r="S20" s="51">
        <f>Tabla2[[#This Row],[Valor Total]]*1.19</f>
        <v>513128</v>
      </c>
      <c r="T20" s="52" t="s">
        <v>39</v>
      </c>
      <c r="U20" s="52" t="s">
        <v>39</v>
      </c>
      <c r="V20" s="53">
        <v>45843</v>
      </c>
      <c r="W20" s="43"/>
      <c r="X20" s="43" t="s">
        <v>41</v>
      </c>
      <c r="AA20" s="43"/>
      <c r="AB20" s="43"/>
      <c r="AC20" s="54"/>
      <c r="AD20" s="55"/>
    </row>
    <row r="21" spans="1:30" hidden="1">
      <c r="A21" s="44" t="s">
        <v>126</v>
      </c>
      <c r="B21" s="45">
        <v>10008384</v>
      </c>
      <c r="C21" s="45" t="s">
        <v>142</v>
      </c>
      <c r="D21" s="45" t="s">
        <v>143</v>
      </c>
      <c r="E21" s="46">
        <v>1300009300</v>
      </c>
      <c r="F21" s="45" t="s">
        <v>144</v>
      </c>
      <c r="G21" s="45" t="s">
        <v>128</v>
      </c>
      <c r="H21" s="45" t="s">
        <v>145</v>
      </c>
      <c r="I21" s="45" t="s">
        <v>146</v>
      </c>
      <c r="J21" s="45" t="s">
        <v>147</v>
      </c>
      <c r="K21" s="47" t="s">
        <v>37</v>
      </c>
      <c r="L21" s="45"/>
      <c r="M21" s="47" t="s">
        <v>148</v>
      </c>
      <c r="N21" s="48" t="s">
        <v>51</v>
      </c>
      <c r="O21" s="49">
        <v>0.01</v>
      </c>
      <c r="P21" s="50"/>
      <c r="Q21" s="51">
        <v>833000</v>
      </c>
      <c r="R21" s="51">
        <f>Tabla2[[#This Row],[Unitario]]*Tabla2[[#This Row],[Unidad '[Km']]]</f>
        <v>8330</v>
      </c>
      <c r="S21" s="51">
        <f>Tabla2[[#This Row],[Valor Total]]*1.19</f>
        <v>9912.6999999999989</v>
      </c>
      <c r="T21" s="52" t="s">
        <v>39</v>
      </c>
      <c r="U21" s="52" t="s">
        <v>40</v>
      </c>
      <c r="V21" s="53">
        <v>45874</v>
      </c>
      <c r="W21" s="43"/>
      <c r="X21" s="43" t="s">
        <v>41</v>
      </c>
      <c r="AA21" s="43" t="s">
        <v>149</v>
      </c>
      <c r="AB21" s="43"/>
      <c r="AC21" s="54"/>
      <c r="AD21" s="55"/>
    </row>
    <row r="22" spans="1:30" s="70" customFormat="1" hidden="1">
      <c r="A22" s="60" t="s">
        <v>126</v>
      </c>
      <c r="B22" s="45">
        <v>10008384</v>
      </c>
      <c r="C22" s="45" t="s">
        <v>142</v>
      </c>
      <c r="D22" s="45" t="s">
        <v>150</v>
      </c>
      <c r="E22" s="61">
        <v>1300009301</v>
      </c>
      <c r="F22" s="45" t="s">
        <v>45</v>
      </c>
      <c r="G22" s="45" t="s">
        <v>128</v>
      </c>
      <c r="H22" s="45" t="s">
        <v>145</v>
      </c>
      <c r="I22" s="45" t="s">
        <v>146</v>
      </c>
      <c r="J22" s="62" t="s">
        <v>49</v>
      </c>
      <c r="K22" s="47" t="s">
        <v>37</v>
      </c>
      <c r="L22" s="63">
        <v>10008384</v>
      </c>
      <c r="M22" s="64" t="s">
        <v>148</v>
      </c>
      <c r="N22" s="65" t="s">
        <v>51</v>
      </c>
      <c r="O22" s="66"/>
      <c r="P22" s="65"/>
      <c r="Q22" s="67"/>
      <c r="R22" s="68"/>
      <c r="S22" s="68">
        <v>0</v>
      </c>
      <c r="T22" s="65" t="s">
        <v>39</v>
      </c>
      <c r="U22" s="48" t="s">
        <v>40</v>
      </c>
      <c r="V22" s="69">
        <v>45874</v>
      </c>
      <c r="X22" s="70" t="s">
        <v>41</v>
      </c>
      <c r="AC22" s="54"/>
      <c r="AD22" s="55"/>
    </row>
    <row r="23" spans="1:30" hidden="1">
      <c r="A23" s="44" t="s">
        <v>30</v>
      </c>
      <c r="B23" s="45">
        <v>10015449</v>
      </c>
      <c r="C23" s="45" t="s">
        <v>151</v>
      </c>
      <c r="D23" s="45" t="s">
        <v>152</v>
      </c>
      <c r="E23" s="46">
        <v>1300013003</v>
      </c>
      <c r="F23" s="45" t="s">
        <v>32</v>
      </c>
      <c r="G23" s="45" t="s">
        <v>33</v>
      </c>
      <c r="H23" s="45" t="s">
        <v>153</v>
      </c>
      <c r="I23" s="45" t="s">
        <v>154</v>
      </c>
      <c r="J23" s="45" t="s">
        <v>36</v>
      </c>
      <c r="K23" s="47" t="s">
        <v>37</v>
      </c>
      <c r="L23" s="46"/>
      <c r="M23" s="47" t="s">
        <v>155</v>
      </c>
      <c r="N23" s="48"/>
      <c r="O23" s="49">
        <v>1</v>
      </c>
      <c r="P23" s="50"/>
      <c r="Q23" s="51">
        <v>1400000</v>
      </c>
      <c r="R23" s="51">
        <f>Tabla2[[#This Row],[Unitario]]*Tabla2[[#This Row],[Unidad '[Km']]]</f>
        <v>1400000</v>
      </c>
      <c r="S23" s="51">
        <f>Tabla2[[#This Row],[Valor Total]]*1.19</f>
        <v>1666000</v>
      </c>
      <c r="T23" s="52" t="s">
        <v>39</v>
      </c>
      <c r="U23" s="52" t="s">
        <v>40</v>
      </c>
      <c r="V23" s="53">
        <v>45872</v>
      </c>
      <c r="W23" s="43"/>
      <c r="X23" s="43" t="s">
        <v>41</v>
      </c>
      <c r="AA23" s="43"/>
      <c r="AB23" s="43"/>
      <c r="AC23" s="54"/>
      <c r="AD23" s="55"/>
    </row>
    <row r="24" spans="1:30" hidden="1">
      <c r="A24" s="44" t="s">
        <v>42</v>
      </c>
      <c r="B24" s="45">
        <v>10008340</v>
      </c>
      <c r="C24" s="45" t="s">
        <v>156</v>
      </c>
      <c r="D24" s="45" t="s">
        <v>157</v>
      </c>
      <c r="E24" s="46">
        <v>1300012870</v>
      </c>
      <c r="F24" s="45" t="s">
        <v>45</v>
      </c>
      <c r="G24" s="45" t="s">
        <v>46</v>
      </c>
      <c r="H24" s="45" t="s">
        <v>158</v>
      </c>
      <c r="I24" s="45" t="s">
        <v>159</v>
      </c>
      <c r="J24" s="45" t="s">
        <v>49</v>
      </c>
      <c r="K24" s="47" t="s">
        <v>37</v>
      </c>
      <c r="L24" s="46"/>
      <c r="M24" s="47" t="s">
        <v>160</v>
      </c>
      <c r="N24" s="48" t="s">
        <v>51</v>
      </c>
      <c r="O24" s="49">
        <v>1</v>
      </c>
      <c r="P24" s="50">
        <v>5</v>
      </c>
      <c r="Q24" s="51">
        <v>215600</v>
      </c>
      <c r="R24" s="51">
        <f>Tabla2[[#This Row],[Unitario]]*Tabla2[[#This Row],[Postes]]</f>
        <v>1078000</v>
      </c>
      <c r="S24" s="51">
        <f>Tabla2[[#This Row],[Valor Total]]*1.19</f>
        <v>1282820</v>
      </c>
      <c r="T24" s="52" t="s">
        <v>39</v>
      </c>
      <c r="U24" s="52" t="s">
        <v>39</v>
      </c>
      <c r="V24" s="53">
        <v>45905</v>
      </c>
      <c r="W24" s="43"/>
      <c r="X24" s="43" t="s">
        <v>41</v>
      </c>
      <c r="AA24" s="43"/>
      <c r="AB24" s="43"/>
      <c r="AC24" s="54"/>
      <c r="AD24" s="55"/>
    </row>
    <row r="25" spans="1:30" hidden="1">
      <c r="A25" s="44" t="s">
        <v>57</v>
      </c>
      <c r="B25" s="45">
        <v>10008628</v>
      </c>
      <c r="C25" s="45" t="s">
        <v>161</v>
      </c>
      <c r="D25" s="45" t="s">
        <v>162</v>
      </c>
      <c r="E25" s="46">
        <v>1300012978</v>
      </c>
      <c r="F25" s="45" t="s">
        <v>45</v>
      </c>
      <c r="G25" s="45" t="s">
        <v>60</v>
      </c>
      <c r="H25" s="45" t="s">
        <v>163</v>
      </c>
      <c r="I25" s="45" t="s">
        <v>164</v>
      </c>
      <c r="J25" s="45" t="s">
        <v>49</v>
      </c>
      <c r="K25" s="47" t="s">
        <v>37</v>
      </c>
      <c r="L25" s="46"/>
      <c r="M25" s="48" t="s">
        <v>165</v>
      </c>
      <c r="N25" s="48" t="s">
        <v>51</v>
      </c>
      <c r="O25" s="49">
        <v>0.01</v>
      </c>
      <c r="P25" s="50">
        <v>2</v>
      </c>
      <c r="Q25" s="51">
        <v>215600</v>
      </c>
      <c r="R25" s="51">
        <f>Tabla2[[#This Row],[Unitario]]*Tabla2[[#This Row],[Postes]]</f>
        <v>431200</v>
      </c>
      <c r="S25" s="51">
        <f>Tabla2[[#This Row],[Valor Total]]*1.19</f>
        <v>513128</v>
      </c>
      <c r="T25" s="52" t="s">
        <v>39</v>
      </c>
      <c r="U25" s="52" t="s">
        <v>39</v>
      </c>
      <c r="V25" s="53">
        <v>45874</v>
      </c>
      <c r="W25" s="43"/>
      <c r="X25" s="43" t="s">
        <v>41</v>
      </c>
      <c r="AA25" s="43"/>
      <c r="AB25" s="43"/>
      <c r="AC25" s="54"/>
      <c r="AD25" s="55"/>
    </row>
    <row r="26" spans="1:30" hidden="1">
      <c r="A26" s="44" t="s">
        <v>57</v>
      </c>
      <c r="B26" s="45">
        <v>10008630</v>
      </c>
      <c r="C26" s="45" t="s">
        <v>166</v>
      </c>
      <c r="D26" s="45" t="s">
        <v>167</v>
      </c>
      <c r="E26" s="46">
        <v>1300012980</v>
      </c>
      <c r="F26" s="45" t="s">
        <v>45</v>
      </c>
      <c r="G26" s="45" t="s">
        <v>60</v>
      </c>
      <c r="H26" s="45" t="s">
        <v>168</v>
      </c>
      <c r="I26" s="45" t="s">
        <v>169</v>
      </c>
      <c r="J26" s="45" t="s">
        <v>49</v>
      </c>
      <c r="K26" s="47" t="s">
        <v>37</v>
      </c>
      <c r="L26" s="46"/>
      <c r="M26" s="48" t="s">
        <v>170</v>
      </c>
      <c r="N26" s="48" t="s">
        <v>51</v>
      </c>
      <c r="O26" s="49">
        <v>0.01</v>
      </c>
      <c r="P26" s="50">
        <v>2</v>
      </c>
      <c r="Q26" s="51">
        <v>215600</v>
      </c>
      <c r="R26" s="51">
        <f>Tabla2[[#This Row],[Unitario]]*Tabla2[[#This Row],[Postes]]</f>
        <v>431200</v>
      </c>
      <c r="S26" s="51">
        <f>Tabla2[[#This Row],[Valor Total]]*1.19</f>
        <v>513128</v>
      </c>
      <c r="T26" s="52" t="s">
        <v>39</v>
      </c>
      <c r="U26" s="52" t="s">
        <v>39</v>
      </c>
      <c r="V26" s="53">
        <v>45874</v>
      </c>
      <c r="W26" s="43"/>
      <c r="X26" s="43" t="s">
        <v>41</v>
      </c>
      <c r="AA26" s="43"/>
      <c r="AB26" s="43"/>
      <c r="AC26" s="54"/>
      <c r="AD26" s="55"/>
    </row>
    <row r="27" spans="1:30" hidden="1">
      <c r="A27" s="44" t="s">
        <v>57</v>
      </c>
      <c r="B27" s="45">
        <v>10008627</v>
      </c>
      <c r="C27" s="45" t="s">
        <v>171</v>
      </c>
      <c r="D27" s="45" t="s">
        <v>172</v>
      </c>
      <c r="E27" s="46">
        <v>1300012977</v>
      </c>
      <c r="F27" s="45" t="s">
        <v>45</v>
      </c>
      <c r="G27" s="45" t="s">
        <v>60</v>
      </c>
      <c r="H27" s="45" t="s">
        <v>173</v>
      </c>
      <c r="I27" s="45" t="s">
        <v>174</v>
      </c>
      <c r="J27" s="45" t="s">
        <v>49</v>
      </c>
      <c r="K27" s="47" t="s">
        <v>37</v>
      </c>
      <c r="L27" s="46"/>
      <c r="M27" s="48" t="s">
        <v>175</v>
      </c>
      <c r="N27" s="48" t="s">
        <v>51</v>
      </c>
      <c r="O27" s="49">
        <v>0.01</v>
      </c>
      <c r="P27" s="50">
        <v>1</v>
      </c>
      <c r="Q27" s="51">
        <v>215600</v>
      </c>
      <c r="R27" s="51">
        <f>Tabla2[[#This Row],[Unitario]]*Tabla2[[#This Row],[Postes]]</f>
        <v>215600</v>
      </c>
      <c r="S27" s="51">
        <f>Tabla2[[#This Row],[Valor Total]]*1.19</f>
        <v>256564</v>
      </c>
      <c r="T27" s="52" t="s">
        <v>39</v>
      </c>
      <c r="U27" s="52" t="s">
        <v>39</v>
      </c>
      <c r="V27" s="53">
        <v>45874</v>
      </c>
      <c r="W27" s="43"/>
      <c r="X27" s="43" t="s">
        <v>41</v>
      </c>
      <c r="AA27" s="43"/>
      <c r="AB27" s="43"/>
      <c r="AC27" s="54"/>
      <c r="AD27" s="55"/>
    </row>
    <row r="28" spans="1:30" hidden="1">
      <c r="A28" s="44" t="s">
        <v>57</v>
      </c>
      <c r="B28" s="45">
        <v>10008629</v>
      </c>
      <c r="C28" s="45" t="s">
        <v>176</v>
      </c>
      <c r="D28" s="45" t="s">
        <v>177</v>
      </c>
      <c r="E28" s="46">
        <v>1300012979</v>
      </c>
      <c r="F28" s="45" t="s">
        <v>45</v>
      </c>
      <c r="G28" s="45" t="s">
        <v>60</v>
      </c>
      <c r="H28" s="45" t="s">
        <v>178</v>
      </c>
      <c r="I28" s="45" t="s">
        <v>179</v>
      </c>
      <c r="J28" s="45" t="s">
        <v>49</v>
      </c>
      <c r="K28" s="47" t="s">
        <v>37</v>
      </c>
      <c r="L28" s="46"/>
      <c r="M28" s="48" t="s">
        <v>180</v>
      </c>
      <c r="N28" s="48" t="s">
        <v>51</v>
      </c>
      <c r="O28" s="49">
        <v>0.01</v>
      </c>
      <c r="P28" s="50">
        <v>2</v>
      </c>
      <c r="Q28" s="51">
        <v>215600</v>
      </c>
      <c r="R28" s="51">
        <f>Tabla2[[#This Row],[Unitario]]*Tabla2[[#This Row],[Postes]]</f>
        <v>431200</v>
      </c>
      <c r="S28" s="51">
        <f>Tabla2[[#This Row],[Valor Total]]*1.19</f>
        <v>513128</v>
      </c>
      <c r="T28" s="52" t="s">
        <v>39</v>
      </c>
      <c r="U28" s="52" t="s">
        <v>39</v>
      </c>
      <c r="V28" s="53">
        <v>45874</v>
      </c>
      <c r="W28" s="43"/>
      <c r="X28" s="43" t="s">
        <v>41</v>
      </c>
      <c r="AA28" s="43"/>
      <c r="AB28" s="43"/>
      <c r="AC28" s="54"/>
      <c r="AD28" s="55"/>
    </row>
    <row r="29" spans="1:30" hidden="1">
      <c r="A29" s="44" t="s">
        <v>57</v>
      </c>
      <c r="B29" s="45">
        <v>10008634</v>
      </c>
      <c r="C29" s="45" t="s">
        <v>181</v>
      </c>
      <c r="D29" s="45" t="s">
        <v>182</v>
      </c>
      <c r="E29" s="46">
        <v>1300012982</v>
      </c>
      <c r="F29" s="45" t="s">
        <v>45</v>
      </c>
      <c r="G29" s="45" t="s">
        <v>60</v>
      </c>
      <c r="H29" s="45" t="s">
        <v>183</v>
      </c>
      <c r="I29" s="45" t="s">
        <v>184</v>
      </c>
      <c r="J29" s="45" t="s">
        <v>49</v>
      </c>
      <c r="K29" s="47" t="s">
        <v>37</v>
      </c>
      <c r="L29" s="46"/>
      <c r="M29" s="48" t="s">
        <v>185</v>
      </c>
      <c r="N29" s="48" t="s">
        <v>51</v>
      </c>
      <c r="O29" s="49">
        <v>4.7210000000000001</v>
      </c>
      <c r="P29" s="50">
        <v>5</v>
      </c>
      <c r="Q29" s="51">
        <v>215600</v>
      </c>
      <c r="R29" s="51">
        <f>Tabla2[[#This Row],[Unitario]]*Tabla2[[#This Row],[Postes]]</f>
        <v>1078000</v>
      </c>
      <c r="S29" s="51">
        <f>Tabla2[[#This Row],[Valor Total]]*1.19</f>
        <v>1282820</v>
      </c>
      <c r="T29" s="52" t="s">
        <v>39</v>
      </c>
      <c r="U29" s="52" t="s">
        <v>39</v>
      </c>
      <c r="V29" s="53">
        <v>45874</v>
      </c>
      <c r="W29" s="43"/>
      <c r="X29" s="43" t="s">
        <v>41</v>
      </c>
      <c r="AA29" s="43"/>
      <c r="AB29" s="43"/>
      <c r="AC29" s="54"/>
      <c r="AD29" s="55"/>
    </row>
    <row r="30" spans="1:30" hidden="1">
      <c r="A30" s="44" t="s">
        <v>42</v>
      </c>
      <c r="B30" s="45">
        <v>10008321</v>
      </c>
      <c r="C30" s="45" t="s">
        <v>186</v>
      </c>
      <c r="D30" s="45" t="s">
        <v>187</v>
      </c>
      <c r="E30" s="46">
        <v>1300012856</v>
      </c>
      <c r="F30" s="45" t="s">
        <v>45</v>
      </c>
      <c r="G30" s="45" t="s">
        <v>46</v>
      </c>
      <c r="H30" s="45" t="s">
        <v>188</v>
      </c>
      <c r="I30" s="45" t="s">
        <v>189</v>
      </c>
      <c r="J30" s="45" t="s">
        <v>49</v>
      </c>
      <c r="K30" s="47" t="s">
        <v>37</v>
      </c>
      <c r="L30" s="46"/>
      <c r="M30" s="47" t="s">
        <v>190</v>
      </c>
      <c r="N30" s="48" t="s">
        <v>51</v>
      </c>
      <c r="O30" s="49">
        <v>0.01</v>
      </c>
      <c r="P30" s="50">
        <v>1</v>
      </c>
      <c r="Q30" s="51">
        <v>215600</v>
      </c>
      <c r="R30" s="51">
        <f>Tabla2[[#This Row],[Unitario]]*Tabla2[[#This Row],[Postes]]</f>
        <v>215600</v>
      </c>
      <c r="S30" s="51">
        <f>Tabla2[[#This Row],[Valor Total]]*1.19</f>
        <v>256564</v>
      </c>
      <c r="T30" s="52" t="s">
        <v>39</v>
      </c>
      <c r="U30" s="52" t="s">
        <v>39</v>
      </c>
      <c r="V30" s="53">
        <v>45905</v>
      </c>
      <c r="W30" s="43"/>
      <c r="X30" s="43" t="s">
        <v>41</v>
      </c>
      <c r="AA30" s="43"/>
      <c r="AB30" s="43"/>
      <c r="AC30" s="54"/>
      <c r="AD30" s="55"/>
    </row>
    <row r="31" spans="1:30" hidden="1">
      <c r="A31" s="44" t="s">
        <v>126</v>
      </c>
      <c r="B31" s="45">
        <v>10015495</v>
      </c>
      <c r="C31" s="45" t="s">
        <v>191</v>
      </c>
      <c r="D31" s="45" t="s">
        <v>191</v>
      </c>
      <c r="E31" s="46">
        <v>1300012820</v>
      </c>
      <c r="F31" s="45" t="s">
        <v>111</v>
      </c>
      <c r="G31" s="45" t="s">
        <v>128</v>
      </c>
      <c r="H31" s="45" t="s">
        <v>192</v>
      </c>
      <c r="I31" s="45" t="s">
        <v>193</v>
      </c>
      <c r="J31" s="45" t="s">
        <v>114</v>
      </c>
      <c r="K31" s="47" t="s">
        <v>37</v>
      </c>
      <c r="L31" s="46"/>
      <c r="M31" s="47" t="s">
        <v>194</v>
      </c>
      <c r="N31" s="48"/>
      <c r="O31" s="49">
        <v>1</v>
      </c>
      <c r="P31" s="50"/>
      <c r="Q31" s="51">
        <v>6000000</v>
      </c>
      <c r="R31" s="51">
        <f>Tabla2[[#This Row],[Unitario]]*Tabla2[[#This Row],[Unidad '[Km']]]</f>
        <v>6000000</v>
      </c>
      <c r="S31" s="51">
        <f>Tabla2[[#This Row],[Valor Total]]*1.19</f>
        <v>7140000</v>
      </c>
      <c r="T31" s="52" t="s">
        <v>39</v>
      </c>
      <c r="U31" s="52" t="s">
        <v>40</v>
      </c>
      <c r="V31" s="53">
        <v>45874</v>
      </c>
      <c r="W31" s="43"/>
      <c r="X31" s="43" t="s">
        <v>41</v>
      </c>
      <c r="AA31" s="43"/>
      <c r="AB31" s="43"/>
      <c r="AC31" s="54"/>
      <c r="AD31" s="55"/>
    </row>
    <row r="32" spans="1:30" hidden="1">
      <c r="A32" s="44" t="s">
        <v>30</v>
      </c>
      <c r="B32" s="45">
        <v>10015492</v>
      </c>
      <c r="C32" s="45" t="s">
        <v>195</v>
      </c>
      <c r="D32" s="45" t="s">
        <v>195</v>
      </c>
      <c r="E32" s="46">
        <v>1300013005</v>
      </c>
      <c r="F32" s="45" t="s">
        <v>111</v>
      </c>
      <c r="G32" s="45" t="s">
        <v>33</v>
      </c>
      <c r="H32" s="45" t="s">
        <v>112</v>
      </c>
      <c r="I32" s="45" t="s">
        <v>113</v>
      </c>
      <c r="J32" s="45" t="s">
        <v>114</v>
      </c>
      <c r="K32" s="47" t="s">
        <v>37</v>
      </c>
      <c r="L32" s="46"/>
      <c r="M32" s="47" t="s">
        <v>196</v>
      </c>
      <c r="N32" s="48"/>
      <c r="O32" s="49">
        <v>1</v>
      </c>
      <c r="P32" s="50"/>
      <c r="Q32" s="51">
        <v>6000000</v>
      </c>
      <c r="R32" s="51">
        <f>Tabla2[[#This Row],[Unitario]]*Tabla2[[#This Row],[Unidad '[Km']]]</f>
        <v>6000000</v>
      </c>
      <c r="S32" s="51">
        <f>Tabla2[[#This Row],[Valor Total]]*1.19</f>
        <v>7140000</v>
      </c>
      <c r="T32" s="52" t="s">
        <v>39</v>
      </c>
      <c r="U32" s="52" t="s">
        <v>40</v>
      </c>
      <c r="V32" s="53">
        <v>45903</v>
      </c>
      <c r="W32" s="43"/>
      <c r="X32" s="43" t="s">
        <v>41</v>
      </c>
      <c r="AA32" s="43"/>
      <c r="AB32" s="43"/>
      <c r="AC32" s="54"/>
      <c r="AD32" s="55"/>
    </row>
    <row r="33" spans="1:30" hidden="1">
      <c r="A33" s="44" t="s">
        <v>126</v>
      </c>
      <c r="B33" s="45">
        <v>10015496</v>
      </c>
      <c r="C33" s="45" t="s">
        <v>197</v>
      </c>
      <c r="D33" s="45" t="s">
        <v>197</v>
      </c>
      <c r="E33" s="46">
        <v>1300013007</v>
      </c>
      <c r="F33" s="45" t="s">
        <v>111</v>
      </c>
      <c r="G33" s="45" t="s">
        <v>128</v>
      </c>
      <c r="H33" s="45" t="s">
        <v>198</v>
      </c>
      <c r="I33" s="45" t="s">
        <v>199</v>
      </c>
      <c r="J33" s="45" t="s">
        <v>114</v>
      </c>
      <c r="K33" s="47" t="s">
        <v>37</v>
      </c>
      <c r="L33" s="46"/>
      <c r="M33" s="47" t="s">
        <v>200</v>
      </c>
      <c r="N33" s="48"/>
      <c r="O33" s="49">
        <v>1</v>
      </c>
      <c r="P33" s="50"/>
      <c r="Q33" s="51">
        <v>6000000</v>
      </c>
      <c r="R33" s="51">
        <f>Tabla2[[#This Row],[Unitario]]*Tabla2[[#This Row],[Unidad '[Km']]]</f>
        <v>6000000</v>
      </c>
      <c r="S33" s="51">
        <f>Tabla2[[#This Row],[Valor Total]]*1.19</f>
        <v>7140000</v>
      </c>
      <c r="T33" s="52" t="s">
        <v>39</v>
      </c>
      <c r="U33" s="52" t="s">
        <v>40</v>
      </c>
      <c r="V33" s="53">
        <v>45874</v>
      </c>
      <c r="W33" s="43"/>
      <c r="X33" s="43" t="s">
        <v>41</v>
      </c>
      <c r="AA33" s="43"/>
      <c r="AB33" s="43"/>
      <c r="AC33" s="54"/>
      <c r="AD33" s="55"/>
    </row>
    <row r="34" spans="1:30" hidden="1">
      <c r="A34" s="44" t="s">
        <v>64</v>
      </c>
      <c r="B34" s="45">
        <v>10008609</v>
      </c>
      <c r="C34" s="45" t="s">
        <v>201</v>
      </c>
      <c r="D34" s="45" t="s">
        <v>202</v>
      </c>
      <c r="E34" s="46">
        <v>1300012784</v>
      </c>
      <c r="F34" s="45" t="s">
        <v>45</v>
      </c>
      <c r="G34" s="45" t="s">
        <v>67</v>
      </c>
      <c r="H34" s="45" t="s">
        <v>203</v>
      </c>
      <c r="I34" s="45" t="s">
        <v>204</v>
      </c>
      <c r="J34" s="45" t="s">
        <v>49</v>
      </c>
      <c r="K34" s="47" t="s">
        <v>37</v>
      </c>
      <c r="L34" s="46"/>
      <c r="M34" s="48" t="s">
        <v>205</v>
      </c>
      <c r="N34" s="48" t="s">
        <v>51</v>
      </c>
      <c r="O34" s="49">
        <v>23.31</v>
      </c>
      <c r="P34" s="50">
        <v>25</v>
      </c>
      <c r="Q34" s="51">
        <v>215600</v>
      </c>
      <c r="R34" s="51">
        <f>Tabla2[[#This Row],[Unitario]]*Tabla2[[#This Row],[Postes]]</f>
        <v>5390000</v>
      </c>
      <c r="S34" s="51">
        <f>Tabla2[[#This Row],[Valor Total]]*1.19</f>
        <v>6414100</v>
      </c>
      <c r="T34" s="52" t="s">
        <v>39</v>
      </c>
      <c r="U34" s="52" t="s">
        <v>39</v>
      </c>
      <c r="V34" s="53">
        <v>45843</v>
      </c>
      <c r="W34" s="43"/>
      <c r="X34" s="43" t="s">
        <v>41</v>
      </c>
      <c r="AA34" s="43"/>
      <c r="AB34" s="43"/>
      <c r="AC34" s="54"/>
      <c r="AD34" s="55"/>
    </row>
    <row r="35" spans="1:30" hidden="1">
      <c r="A35" s="44" t="s">
        <v>57</v>
      </c>
      <c r="B35" s="45">
        <v>10008639</v>
      </c>
      <c r="C35" s="45" t="s">
        <v>206</v>
      </c>
      <c r="D35" s="45" t="s">
        <v>207</v>
      </c>
      <c r="E35" s="46">
        <v>1300012984</v>
      </c>
      <c r="F35" s="45" t="s">
        <v>45</v>
      </c>
      <c r="G35" s="45" t="s">
        <v>60</v>
      </c>
      <c r="H35" s="45" t="s">
        <v>208</v>
      </c>
      <c r="I35" s="45" t="s">
        <v>209</v>
      </c>
      <c r="J35" s="45" t="s">
        <v>49</v>
      </c>
      <c r="K35" s="47" t="s">
        <v>37</v>
      </c>
      <c r="L35" s="46"/>
      <c r="M35" s="48" t="s">
        <v>210</v>
      </c>
      <c r="N35" s="48" t="s">
        <v>51</v>
      </c>
      <c r="O35" s="49">
        <v>5.0519999999999996</v>
      </c>
      <c r="P35" s="50">
        <v>3</v>
      </c>
      <c r="Q35" s="51">
        <v>215600</v>
      </c>
      <c r="R35" s="51">
        <f>Tabla2[[#This Row],[Unitario]]*Tabla2[[#This Row],[Postes]]</f>
        <v>646800</v>
      </c>
      <c r="S35" s="51">
        <f>Tabla2[[#This Row],[Valor Total]]*1.19</f>
        <v>769692</v>
      </c>
      <c r="T35" s="52" t="s">
        <v>39</v>
      </c>
      <c r="U35" s="52" t="s">
        <v>39</v>
      </c>
      <c r="V35" s="53">
        <v>45874</v>
      </c>
      <c r="W35" s="43"/>
      <c r="X35" s="43" t="s">
        <v>41</v>
      </c>
      <c r="AA35" s="43"/>
      <c r="AB35" s="43"/>
      <c r="AC35" s="54"/>
      <c r="AD35" s="55"/>
    </row>
    <row r="36" spans="1:30" hidden="1">
      <c r="A36" s="44" t="s">
        <v>30</v>
      </c>
      <c r="B36" s="45">
        <v>10015406</v>
      </c>
      <c r="C36" s="45" t="s">
        <v>211</v>
      </c>
      <c r="D36" s="71" t="s">
        <v>212</v>
      </c>
      <c r="E36" s="46">
        <v>1300013000</v>
      </c>
      <c r="F36" s="45" t="s">
        <v>32</v>
      </c>
      <c r="G36" s="45" t="s">
        <v>33</v>
      </c>
      <c r="H36" s="45" t="s">
        <v>213</v>
      </c>
      <c r="I36" s="45" t="s">
        <v>214</v>
      </c>
      <c r="J36" s="45" t="s">
        <v>36</v>
      </c>
      <c r="K36" s="47" t="s">
        <v>37</v>
      </c>
      <c r="L36" s="46"/>
      <c r="M36" s="47" t="s">
        <v>215</v>
      </c>
      <c r="N36" s="48"/>
      <c r="O36" s="49">
        <v>1</v>
      </c>
      <c r="P36" s="50"/>
      <c r="Q36" s="51">
        <v>1400000</v>
      </c>
      <c r="R36" s="51">
        <f>Tabla2[[#This Row],[Unitario]]*Tabla2[[#This Row],[Unidad '[Km']]]</f>
        <v>1400000</v>
      </c>
      <c r="S36" s="51">
        <f>Tabla2[[#This Row],[Valor Total]]*1.19</f>
        <v>1666000</v>
      </c>
      <c r="T36" s="52" t="s">
        <v>39</v>
      </c>
      <c r="U36" s="52" t="s">
        <v>40</v>
      </c>
      <c r="V36" s="53">
        <v>45872</v>
      </c>
      <c r="W36" s="43"/>
      <c r="X36" s="43" t="s">
        <v>41</v>
      </c>
      <c r="AA36" s="43"/>
      <c r="AB36" s="43"/>
      <c r="AC36" s="54"/>
      <c r="AD36" s="55"/>
    </row>
    <row r="37" spans="1:30" hidden="1">
      <c r="A37" s="44" t="s">
        <v>126</v>
      </c>
      <c r="B37" s="45">
        <v>10008163</v>
      </c>
      <c r="C37" s="45" t="s">
        <v>216</v>
      </c>
      <c r="D37" s="45" t="s">
        <v>216</v>
      </c>
      <c r="E37" s="46">
        <v>1300012836</v>
      </c>
      <c r="F37" s="45" t="s">
        <v>217</v>
      </c>
      <c r="G37" s="45" t="s">
        <v>128</v>
      </c>
      <c r="H37" s="45" t="s">
        <v>218</v>
      </c>
      <c r="I37" s="45" t="s">
        <v>219</v>
      </c>
      <c r="J37" s="45" t="s">
        <v>220</v>
      </c>
      <c r="K37" s="47" t="s">
        <v>37</v>
      </c>
      <c r="L37" s="46"/>
      <c r="M37" s="47" t="s">
        <v>221</v>
      </c>
      <c r="N37" s="48" t="s">
        <v>222</v>
      </c>
      <c r="O37" s="49">
        <v>60.289000000000001</v>
      </c>
      <c r="P37" s="50">
        <v>70</v>
      </c>
      <c r="Q37" s="51">
        <v>840000</v>
      </c>
      <c r="R37" s="51">
        <f>Tabla2[[#This Row],[Unitario]]*Tabla2[[#This Row],[Unidad '[Km']]]</f>
        <v>50642760</v>
      </c>
      <c r="S37" s="51">
        <f>Tabla2[[#This Row],[Valor Total]]*1.19</f>
        <v>60264884.399999999</v>
      </c>
      <c r="T37" s="52" t="s">
        <v>39</v>
      </c>
      <c r="U37" s="52" t="s">
        <v>40</v>
      </c>
      <c r="V37" s="53">
        <v>45843</v>
      </c>
      <c r="W37" s="43"/>
      <c r="X37" s="43" t="s">
        <v>41</v>
      </c>
      <c r="AA37" s="43" t="s">
        <v>223</v>
      </c>
      <c r="AB37" s="43"/>
      <c r="AC37" s="54"/>
      <c r="AD37" s="55"/>
    </row>
    <row r="38" spans="1:30" s="70" customFormat="1" hidden="1">
      <c r="A38" s="60" t="s">
        <v>57</v>
      </c>
      <c r="B38" s="62">
        <v>10008635</v>
      </c>
      <c r="C38" s="62" t="s">
        <v>224</v>
      </c>
      <c r="D38" s="62" t="s">
        <v>225</v>
      </c>
      <c r="E38" s="61">
        <v>1300012983</v>
      </c>
      <c r="F38" s="62" t="s">
        <v>45</v>
      </c>
      <c r="G38" s="62" t="s">
        <v>60</v>
      </c>
      <c r="H38" s="62" t="s">
        <v>226</v>
      </c>
      <c r="I38" s="62" t="s">
        <v>227</v>
      </c>
      <c r="J38" s="62" t="s">
        <v>49</v>
      </c>
      <c r="K38" s="72" t="s">
        <v>37</v>
      </c>
      <c r="L38" s="73">
        <v>10008635</v>
      </c>
      <c r="M38" s="74" t="s">
        <v>228</v>
      </c>
      <c r="N38" s="74" t="s">
        <v>51</v>
      </c>
      <c r="O38" s="75"/>
      <c r="P38" s="76"/>
      <c r="Q38" s="77"/>
      <c r="R38" s="77"/>
      <c r="S38" s="77">
        <v>0</v>
      </c>
      <c r="T38" s="65" t="s">
        <v>39</v>
      </c>
      <c r="U38" s="65" t="s">
        <v>39</v>
      </c>
      <c r="V38" s="69">
        <v>45874</v>
      </c>
      <c r="X38" s="70" t="s">
        <v>41</v>
      </c>
      <c r="AC38" s="54"/>
      <c r="AD38" s="55"/>
    </row>
    <row r="39" spans="1:30" hidden="1">
      <c r="A39" s="44" t="s">
        <v>57</v>
      </c>
      <c r="B39" s="45">
        <v>10008635</v>
      </c>
      <c r="C39" s="45" t="s">
        <v>224</v>
      </c>
      <c r="D39" s="45" t="s">
        <v>229</v>
      </c>
      <c r="E39" s="46">
        <v>1300011002</v>
      </c>
      <c r="F39" s="45" t="s">
        <v>144</v>
      </c>
      <c r="G39" s="45" t="s">
        <v>60</v>
      </c>
      <c r="H39" s="45" t="s">
        <v>226</v>
      </c>
      <c r="I39" s="45" t="s">
        <v>227</v>
      </c>
      <c r="J39" s="45" t="s">
        <v>147</v>
      </c>
      <c r="K39" s="47" t="s">
        <v>37</v>
      </c>
      <c r="L39" s="63"/>
      <c r="M39" s="48" t="s">
        <v>228</v>
      </c>
      <c r="N39" s="48" t="s">
        <v>51</v>
      </c>
      <c r="O39" s="49">
        <v>8.1750000000000007</v>
      </c>
      <c r="P39" s="50"/>
      <c r="Q39" s="51">
        <v>833000</v>
      </c>
      <c r="R39" s="51">
        <f>Tabla2[[#This Row],[Unitario]]*Tabla2[[#This Row],[Unidad '[Km']]]</f>
        <v>6809775.0000000009</v>
      </c>
      <c r="S39" s="51">
        <f>Tabla2[[#This Row],[Valor Total]]*1.19</f>
        <v>8103632.2500000009</v>
      </c>
      <c r="T39" s="52" t="s">
        <v>39</v>
      </c>
      <c r="U39" s="52" t="s">
        <v>39</v>
      </c>
      <c r="V39" s="53">
        <v>45874</v>
      </c>
      <c r="W39" s="43"/>
      <c r="X39" s="43" t="s">
        <v>41</v>
      </c>
      <c r="AA39" s="43" t="s">
        <v>223</v>
      </c>
      <c r="AB39" s="43"/>
      <c r="AC39" s="54"/>
      <c r="AD39" s="55"/>
    </row>
    <row r="40" spans="1:30" hidden="1">
      <c r="A40" s="44" t="s">
        <v>57</v>
      </c>
      <c r="B40" s="45">
        <v>10008633</v>
      </c>
      <c r="C40" s="45" t="s">
        <v>230</v>
      </c>
      <c r="D40" s="45" t="s">
        <v>231</v>
      </c>
      <c r="E40" s="46">
        <v>1300012981</v>
      </c>
      <c r="F40" s="45" t="s">
        <v>45</v>
      </c>
      <c r="G40" s="45" t="s">
        <v>60</v>
      </c>
      <c r="H40" s="45" t="s">
        <v>232</v>
      </c>
      <c r="I40" s="45" t="s">
        <v>233</v>
      </c>
      <c r="J40" s="45" t="s">
        <v>49</v>
      </c>
      <c r="K40" s="47" t="s">
        <v>37</v>
      </c>
      <c r="L40" s="46"/>
      <c r="M40" s="48" t="s">
        <v>234</v>
      </c>
      <c r="N40" s="48" t="s">
        <v>51</v>
      </c>
      <c r="O40" s="49">
        <v>0.17199999999999999</v>
      </c>
      <c r="P40" s="50">
        <v>2</v>
      </c>
      <c r="Q40" s="51">
        <v>215600</v>
      </c>
      <c r="R40" s="51">
        <f>Tabla2[[#This Row],[Unitario]]*Tabla2[[#This Row],[Postes]]</f>
        <v>431200</v>
      </c>
      <c r="S40" s="51">
        <f>Tabla2[[#This Row],[Valor Total]]*1.19</f>
        <v>513128</v>
      </c>
      <c r="T40" s="52" t="s">
        <v>39</v>
      </c>
      <c r="U40" s="52" t="s">
        <v>39</v>
      </c>
      <c r="V40" s="53">
        <v>45874</v>
      </c>
      <c r="W40" s="43"/>
      <c r="X40" s="43" t="s">
        <v>41</v>
      </c>
      <c r="AA40" s="43"/>
      <c r="AB40" s="43"/>
      <c r="AC40" s="54"/>
      <c r="AD40" s="55"/>
    </row>
    <row r="41" spans="1:30" hidden="1">
      <c r="A41" s="44" t="s">
        <v>42</v>
      </c>
      <c r="B41" s="45">
        <v>10008314</v>
      </c>
      <c r="C41" s="45" t="s">
        <v>235</v>
      </c>
      <c r="D41" s="45" t="s">
        <v>236</v>
      </c>
      <c r="E41" s="46">
        <v>1300012849</v>
      </c>
      <c r="F41" s="45" t="s">
        <v>45</v>
      </c>
      <c r="G41" s="45" t="s">
        <v>46</v>
      </c>
      <c r="H41" s="45" t="s">
        <v>237</v>
      </c>
      <c r="I41" s="45" t="s">
        <v>238</v>
      </c>
      <c r="J41" s="45" t="s">
        <v>49</v>
      </c>
      <c r="K41" s="47" t="s">
        <v>37</v>
      </c>
      <c r="L41" s="46"/>
      <c r="M41" s="47" t="s">
        <v>239</v>
      </c>
      <c r="N41" s="48" t="s">
        <v>51</v>
      </c>
      <c r="O41" s="49">
        <v>0.01</v>
      </c>
      <c r="P41" s="50">
        <v>2</v>
      </c>
      <c r="Q41" s="51">
        <v>215600</v>
      </c>
      <c r="R41" s="51">
        <f>Tabla2[[#This Row],[Unitario]]*Tabla2[[#This Row],[Postes]]</f>
        <v>431200</v>
      </c>
      <c r="S41" s="51">
        <f>Tabla2[[#This Row],[Valor Total]]*1.19</f>
        <v>513128</v>
      </c>
      <c r="T41" s="52" t="s">
        <v>39</v>
      </c>
      <c r="U41" s="52" t="s">
        <v>39</v>
      </c>
      <c r="V41" s="53">
        <v>45874</v>
      </c>
      <c r="W41" s="43"/>
      <c r="X41" s="43" t="s">
        <v>41</v>
      </c>
      <c r="AA41" s="43"/>
      <c r="AB41" s="43"/>
      <c r="AC41" s="54"/>
      <c r="AD41" s="55"/>
    </row>
    <row r="42" spans="1:30" hidden="1">
      <c r="A42" s="44" t="s">
        <v>42</v>
      </c>
      <c r="B42" s="45">
        <v>10008313</v>
      </c>
      <c r="C42" s="45" t="s">
        <v>240</v>
      </c>
      <c r="D42" s="45" t="s">
        <v>241</v>
      </c>
      <c r="E42" s="46">
        <v>1300012848</v>
      </c>
      <c r="F42" s="45" t="s">
        <v>45</v>
      </c>
      <c r="G42" s="45" t="s">
        <v>46</v>
      </c>
      <c r="H42" s="45" t="s">
        <v>242</v>
      </c>
      <c r="I42" s="45" t="s">
        <v>243</v>
      </c>
      <c r="J42" s="45" t="s">
        <v>49</v>
      </c>
      <c r="K42" s="47" t="s">
        <v>37</v>
      </c>
      <c r="L42" s="46"/>
      <c r="M42" s="47" t="s">
        <v>244</v>
      </c>
      <c r="N42" s="48" t="s">
        <v>222</v>
      </c>
      <c r="O42" s="49">
        <v>88.111999999999995</v>
      </c>
      <c r="P42" s="50">
        <v>89</v>
      </c>
      <c r="Q42" s="51">
        <v>215600</v>
      </c>
      <c r="R42" s="51">
        <f>Tabla2[[#This Row],[Unitario]]*Tabla2[[#This Row],[Postes]]</f>
        <v>19188400</v>
      </c>
      <c r="S42" s="51">
        <f>Tabla2[[#This Row],[Valor Total]]*1.19</f>
        <v>22834196</v>
      </c>
      <c r="T42" s="52" t="s">
        <v>39</v>
      </c>
      <c r="U42" s="52" t="s">
        <v>39</v>
      </c>
      <c r="V42" s="53">
        <v>45905</v>
      </c>
      <c r="W42" s="43"/>
      <c r="X42" s="43" t="s">
        <v>41</v>
      </c>
      <c r="AA42" s="43"/>
      <c r="AB42" s="43"/>
      <c r="AC42" s="54"/>
      <c r="AD42" s="55"/>
    </row>
    <row r="43" spans="1:30" hidden="1">
      <c r="A43" s="44" t="s">
        <v>42</v>
      </c>
      <c r="B43" s="45">
        <v>10008317</v>
      </c>
      <c r="C43" s="45" t="s">
        <v>245</v>
      </c>
      <c r="D43" s="45" t="s">
        <v>246</v>
      </c>
      <c r="E43" s="46">
        <v>1300012852</v>
      </c>
      <c r="F43" s="45" t="s">
        <v>45</v>
      </c>
      <c r="G43" s="45" t="s">
        <v>46</v>
      </c>
      <c r="H43" s="45" t="s">
        <v>247</v>
      </c>
      <c r="I43" s="45" t="s">
        <v>248</v>
      </c>
      <c r="J43" s="45" t="s">
        <v>49</v>
      </c>
      <c r="K43" s="47" t="s">
        <v>37</v>
      </c>
      <c r="L43" s="46"/>
      <c r="M43" s="47" t="s">
        <v>249</v>
      </c>
      <c r="N43" s="48" t="s">
        <v>51</v>
      </c>
      <c r="O43" s="49">
        <v>0.02</v>
      </c>
      <c r="P43" s="50">
        <v>1</v>
      </c>
      <c r="Q43" s="51">
        <v>215600</v>
      </c>
      <c r="R43" s="51">
        <f>Tabla2[[#This Row],[Unitario]]*Tabla2[[#This Row],[Postes]]</f>
        <v>215600</v>
      </c>
      <c r="S43" s="51">
        <f>Tabla2[[#This Row],[Valor Total]]*1.19</f>
        <v>256564</v>
      </c>
      <c r="T43" s="52" t="s">
        <v>39</v>
      </c>
      <c r="U43" s="52" t="s">
        <v>39</v>
      </c>
      <c r="V43" s="53">
        <v>45905</v>
      </c>
      <c r="W43" s="43"/>
      <c r="X43" s="43" t="s">
        <v>41</v>
      </c>
      <c r="AA43" s="43"/>
      <c r="AB43" s="43"/>
      <c r="AC43" s="54"/>
      <c r="AD43" s="55"/>
    </row>
    <row r="44" spans="1:30" hidden="1">
      <c r="A44" s="44" t="s">
        <v>42</v>
      </c>
      <c r="B44" s="45">
        <v>10008324</v>
      </c>
      <c r="C44" s="45" t="s">
        <v>250</v>
      </c>
      <c r="D44" s="45" t="s">
        <v>251</v>
      </c>
      <c r="E44" s="46">
        <v>1300012858</v>
      </c>
      <c r="F44" s="45" t="s">
        <v>45</v>
      </c>
      <c r="G44" s="45" t="s">
        <v>46</v>
      </c>
      <c r="H44" s="45" t="s">
        <v>117</v>
      </c>
      <c r="I44" s="45" t="s">
        <v>118</v>
      </c>
      <c r="J44" s="45" t="s">
        <v>49</v>
      </c>
      <c r="K44" s="47" t="s">
        <v>37</v>
      </c>
      <c r="L44" s="46"/>
      <c r="M44" s="47" t="s">
        <v>252</v>
      </c>
      <c r="N44" s="48" t="s">
        <v>222</v>
      </c>
      <c r="O44" s="49">
        <v>60.472999999999999</v>
      </c>
      <c r="P44" s="50">
        <v>60</v>
      </c>
      <c r="Q44" s="51">
        <v>215600</v>
      </c>
      <c r="R44" s="51">
        <f>Tabla2[[#This Row],[Unitario]]*Tabla2[[#This Row],[Postes]]</f>
        <v>12936000</v>
      </c>
      <c r="S44" s="51">
        <f>Tabla2[[#This Row],[Valor Total]]*1.19</f>
        <v>15393840</v>
      </c>
      <c r="T44" s="52" t="s">
        <v>39</v>
      </c>
      <c r="U44" s="52" t="s">
        <v>39</v>
      </c>
      <c r="V44" s="53">
        <v>45905</v>
      </c>
      <c r="W44" s="43"/>
      <c r="X44" s="43" t="s">
        <v>41</v>
      </c>
      <c r="AA44" s="43"/>
      <c r="AB44" s="43"/>
      <c r="AC44" s="54"/>
      <c r="AD44" s="55"/>
    </row>
    <row r="45" spans="1:30" hidden="1">
      <c r="A45" s="44" t="s">
        <v>30</v>
      </c>
      <c r="B45" s="45">
        <v>10015450</v>
      </c>
      <c r="C45" s="45" t="s">
        <v>253</v>
      </c>
      <c r="D45" s="45" t="s">
        <v>253</v>
      </c>
      <c r="E45" s="46">
        <v>1300013004</v>
      </c>
      <c r="F45" s="45" t="s">
        <v>32</v>
      </c>
      <c r="G45" s="45" t="s">
        <v>33</v>
      </c>
      <c r="H45" s="45" t="s">
        <v>254</v>
      </c>
      <c r="I45" s="45" t="s">
        <v>255</v>
      </c>
      <c r="J45" s="45" t="s">
        <v>36</v>
      </c>
      <c r="K45" s="47" t="s">
        <v>37</v>
      </c>
      <c r="L45" s="46"/>
      <c r="M45" s="47" t="s">
        <v>256</v>
      </c>
      <c r="N45" s="48"/>
      <c r="O45" s="49">
        <v>1</v>
      </c>
      <c r="P45" s="50"/>
      <c r="Q45" s="51">
        <v>1400000</v>
      </c>
      <c r="R45" s="51">
        <f>Tabla2[[#This Row],[Unitario]]*Tabla2[[#This Row],[Unidad '[Km']]]</f>
        <v>1400000</v>
      </c>
      <c r="S45" s="51">
        <f>Tabla2[[#This Row],[Valor Total]]*1.19</f>
        <v>1666000</v>
      </c>
      <c r="T45" s="52" t="s">
        <v>39</v>
      </c>
      <c r="U45" s="52" t="s">
        <v>40</v>
      </c>
      <c r="V45" s="53">
        <v>45872</v>
      </c>
      <c r="W45" s="43"/>
      <c r="X45" s="43" t="s">
        <v>41</v>
      </c>
      <c r="AA45" s="43"/>
      <c r="AB45" s="43"/>
      <c r="AC45" s="54"/>
      <c r="AD45" s="55"/>
    </row>
    <row r="46" spans="1:30" hidden="1">
      <c r="A46" s="44" t="s">
        <v>42</v>
      </c>
      <c r="B46" s="45">
        <v>10008329</v>
      </c>
      <c r="C46" s="45" t="s">
        <v>257</v>
      </c>
      <c r="D46" s="45" t="s">
        <v>258</v>
      </c>
      <c r="E46" s="46">
        <v>1300012861</v>
      </c>
      <c r="F46" s="45" t="s">
        <v>45</v>
      </c>
      <c r="G46" s="45" t="s">
        <v>46</v>
      </c>
      <c r="H46" s="45" t="s">
        <v>259</v>
      </c>
      <c r="I46" s="45" t="s">
        <v>260</v>
      </c>
      <c r="J46" s="45" t="s">
        <v>49</v>
      </c>
      <c r="K46" s="47" t="s">
        <v>37</v>
      </c>
      <c r="L46" s="46"/>
      <c r="M46" s="47" t="s">
        <v>261</v>
      </c>
      <c r="N46" s="48" t="s">
        <v>51</v>
      </c>
      <c r="O46" s="49">
        <v>0.03</v>
      </c>
      <c r="P46" s="50">
        <v>2</v>
      </c>
      <c r="Q46" s="51">
        <v>215600</v>
      </c>
      <c r="R46" s="51">
        <f>Tabla2[[#This Row],[Unitario]]*Tabla2[[#This Row],[Postes]]</f>
        <v>431200</v>
      </c>
      <c r="S46" s="51">
        <f>Tabla2[[#This Row],[Valor Total]]*1.19</f>
        <v>513128</v>
      </c>
      <c r="T46" s="52" t="s">
        <v>39</v>
      </c>
      <c r="U46" s="52" t="s">
        <v>39</v>
      </c>
      <c r="V46" s="53">
        <v>45905</v>
      </c>
      <c r="W46" s="43"/>
      <c r="X46" s="43" t="s">
        <v>41</v>
      </c>
      <c r="AA46" s="43"/>
      <c r="AB46" s="43"/>
      <c r="AC46" s="54"/>
      <c r="AD46" s="55"/>
    </row>
    <row r="47" spans="1:30" hidden="1">
      <c r="A47" s="44" t="s">
        <v>42</v>
      </c>
      <c r="B47" s="45">
        <v>10008326</v>
      </c>
      <c r="C47" s="45" t="s">
        <v>262</v>
      </c>
      <c r="D47" s="45" t="s">
        <v>263</v>
      </c>
      <c r="E47" s="46">
        <v>1300012859</v>
      </c>
      <c r="F47" s="45" t="s">
        <v>45</v>
      </c>
      <c r="G47" s="45" t="s">
        <v>46</v>
      </c>
      <c r="H47" s="45" t="s">
        <v>264</v>
      </c>
      <c r="I47" s="45" t="s">
        <v>265</v>
      </c>
      <c r="J47" s="45" t="s">
        <v>49</v>
      </c>
      <c r="K47" s="47" t="s">
        <v>37</v>
      </c>
      <c r="L47" s="46"/>
      <c r="M47" s="47" t="s">
        <v>266</v>
      </c>
      <c r="N47" s="48" t="s">
        <v>51</v>
      </c>
      <c r="O47" s="49">
        <v>0.01</v>
      </c>
      <c r="P47" s="50">
        <v>1</v>
      </c>
      <c r="Q47" s="51">
        <v>215600</v>
      </c>
      <c r="R47" s="51">
        <f>Tabla2[[#This Row],[Unitario]]*Tabla2[[#This Row],[Postes]]</f>
        <v>215600</v>
      </c>
      <c r="S47" s="51">
        <f>Tabla2[[#This Row],[Valor Total]]*1.19</f>
        <v>256564</v>
      </c>
      <c r="T47" s="52" t="s">
        <v>39</v>
      </c>
      <c r="U47" s="52" t="s">
        <v>39</v>
      </c>
      <c r="V47" s="53">
        <v>45905</v>
      </c>
      <c r="W47" s="43"/>
      <c r="X47" s="43" t="s">
        <v>41</v>
      </c>
      <c r="AA47" s="43"/>
      <c r="AB47" s="43"/>
      <c r="AC47" s="54"/>
      <c r="AD47" s="55"/>
    </row>
    <row r="48" spans="1:30" hidden="1">
      <c r="A48" s="44" t="s">
        <v>42</v>
      </c>
      <c r="B48" s="45">
        <v>10008328</v>
      </c>
      <c r="C48" s="45" t="s">
        <v>267</v>
      </c>
      <c r="D48" s="45" t="s">
        <v>268</v>
      </c>
      <c r="E48" s="46">
        <v>1300012860</v>
      </c>
      <c r="F48" s="45" t="s">
        <v>45</v>
      </c>
      <c r="G48" s="45" t="s">
        <v>46</v>
      </c>
      <c r="H48" s="45" t="s">
        <v>269</v>
      </c>
      <c r="I48" s="45" t="s">
        <v>270</v>
      </c>
      <c r="J48" s="45" t="s">
        <v>49</v>
      </c>
      <c r="K48" s="47" t="s">
        <v>37</v>
      </c>
      <c r="L48" s="46"/>
      <c r="M48" s="47" t="s">
        <v>271</v>
      </c>
      <c r="N48" s="48" t="s">
        <v>51</v>
      </c>
      <c r="O48" s="49">
        <v>8.0299999999999994</v>
      </c>
      <c r="P48" s="50">
        <v>8</v>
      </c>
      <c r="Q48" s="51">
        <v>215600</v>
      </c>
      <c r="R48" s="51">
        <f>Tabla2[[#This Row],[Unitario]]*Tabla2[[#This Row],[Postes]]</f>
        <v>1724800</v>
      </c>
      <c r="S48" s="51">
        <f>Tabla2[[#This Row],[Valor Total]]*1.19</f>
        <v>2052512</v>
      </c>
      <c r="T48" s="52" t="s">
        <v>39</v>
      </c>
      <c r="U48" s="52" t="s">
        <v>39</v>
      </c>
      <c r="V48" s="53">
        <v>45874</v>
      </c>
      <c r="W48" s="43"/>
      <c r="X48" s="43" t="s">
        <v>41</v>
      </c>
      <c r="AA48" s="43"/>
      <c r="AB48" s="43"/>
      <c r="AC48" s="54"/>
      <c r="AD48" s="55"/>
    </row>
    <row r="49" spans="1:30" hidden="1">
      <c r="A49" s="44" t="s">
        <v>42</v>
      </c>
      <c r="B49" s="45">
        <v>10008341</v>
      </c>
      <c r="C49" s="45" t="s">
        <v>272</v>
      </c>
      <c r="D49" s="45" t="s">
        <v>273</v>
      </c>
      <c r="E49" s="46">
        <v>1300012871</v>
      </c>
      <c r="F49" s="45" t="s">
        <v>45</v>
      </c>
      <c r="G49" s="45" t="s">
        <v>46</v>
      </c>
      <c r="H49" s="45" t="s">
        <v>274</v>
      </c>
      <c r="I49" s="45" t="s">
        <v>275</v>
      </c>
      <c r="J49" s="45" t="s">
        <v>49</v>
      </c>
      <c r="K49" s="47" t="s">
        <v>37</v>
      </c>
      <c r="L49" s="46"/>
      <c r="M49" s="47" t="s">
        <v>276</v>
      </c>
      <c r="N49" s="48" t="s">
        <v>51</v>
      </c>
      <c r="O49" s="49">
        <v>0.02</v>
      </c>
      <c r="P49" s="50">
        <v>1</v>
      </c>
      <c r="Q49" s="51">
        <v>215600</v>
      </c>
      <c r="R49" s="51">
        <f>Tabla2[[#This Row],[Unitario]]*Tabla2[[#This Row],[Postes]]</f>
        <v>215600</v>
      </c>
      <c r="S49" s="51">
        <f>Tabla2[[#This Row],[Valor Total]]*1.19</f>
        <v>256564</v>
      </c>
      <c r="T49" s="52" t="s">
        <v>39</v>
      </c>
      <c r="U49" s="52" t="s">
        <v>39</v>
      </c>
      <c r="V49" s="53">
        <v>45905</v>
      </c>
      <c r="W49" s="43"/>
      <c r="X49" s="43" t="s">
        <v>41</v>
      </c>
      <c r="AA49" s="43"/>
      <c r="AB49" s="43"/>
      <c r="AC49" s="54"/>
      <c r="AD49" s="55"/>
    </row>
    <row r="50" spans="1:30" hidden="1">
      <c r="A50" s="44" t="s">
        <v>126</v>
      </c>
      <c r="B50" s="45">
        <v>10008762</v>
      </c>
      <c r="C50" s="45" t="s">
        <v>277</v>
      </c>
      <c r="D50" s="45" t="s">
        <v>278</v>
      </c>
      <c r="E50" s="46">
        <v>1300009297</v>
      </c>
      <c r="F50" s="45" t="s">
        <v>144</v>
      </c>
      <c r="G50" s="45" t="s">
        <v>128</v>
      </c>
      <c r="H50" s="45" t="s">
        <v>279</v>
      </c>
      <c r="I50" s="45" t="s">
        <v>280</v>
      </c>
      <c r="J50" s="45" t="s">
        <v>147</v>
      </c>
      <c r="K50" s="47" t="s">
        <v>37</v>
      </c>
      <c r="L50" s="45"/>
      <c r="M50" s="47" t="s">
        <v>281</v>
      </c>
      <c r="N50" s="48" t="s">
        <v>51</v>
      </c>
      <c r="O50" s="49">
        <v>0.01</v>
      </c>
      <c r="P50" s="50"/>
      <c r="Q50" s="51">
        <v>833000</v>
      </c>
      <c r="R50" s="51">
        <f>Tabla2[[#This Row],[Unitario]]*Tabla2[[#This Row],[Unidad '[Km']]]</f>
        <v>8330</v>
      </c>
      <c r="S50" s="51">
        <f>Tabla2[[#This Row],[Valor Total]]*1.19</f>
        <v>9912.6999999999989</v>
      </c>
      <c r="T50" s="52" t="s">
        <v>39</v>
      </c>
      <c r="U50" s="52" t="s">
        <v>40</v>
      </c>
      <c r="V50" s="53">
        <v>45874</v>
      </c>
      <c r="W50" s="43"/>
      <c r="X50" s="43" t="s">
        <v>41</v>
      </c>
      <c r="AA50" s="43" t="s">
        <v>149</v>
      </c>
      <c r="AB50" s="43"/>
      <c r="AC50" s="54"/>
      <c r="AD50" s="55"/>
    </row>
    <row r="51" spans="1:30" s="70" customFormat="1" hidden="1">
      <c r="A51" s="60" t="s">
        <v>57</v>
      </c>
      <c r="B51" s="45">
        <v>10008640</v>
      </c>
      <c r="C51" s="45" t="s">
        <v>282</v>
      </c>
      <c r="D51" s="45" t="s">
        <v>283</v>
      </c>
      <c r="E51" s="61">
        <v>1300012985</v>
      </c>
      <c r="F51" s="45" t="s">
        <v>45</v>
      </c>
      <c r="G51" s="45" t="s">
        <v>60</v>
      </c>
      <c r="H51" s="45" t="s">
        <v>284</v>
      </c>
      <c r="I51" s="45" t="s">
        <v>285</v>
      </c>
      <c r="J51" s="62" t="s">
        <v>49</v>
      </c>
      <c r="K51" s="47" t="s">
        <v>37</v>
      </c>
      <c r="L51" s="63">
        <v>10008640</v>
      </c>
      <c r="M51" s="74" t="s">
        <v>286</v>
      </c>
      <c r="N51" s="74" t="s">
        <v>51</v>
      </c>
      <c r="O51" s="75"/>
      <c r="P51" s="76"/>
      <c r="Q51" s="77"/>
      <c r="R51" s="77"/>
      <c r="S51" s="77">
        <v>0</v>
      </c>
      <c r="T51" s="65" t="s">
        <v>39</v>
      </c>
      <c r="U51" s="52" t="s">
        <v>39</v>
      </c>
      <c r="V51" s="69">
        <v>45874</v>
      </c>
      <c r="X51" s="70" t="s">
        <v>41</v>
      </c>
      <c r="AC51" s="54"/>
      <c r="AD51" s="55"/>
    </row>
    <row r="52" spans="1:30" hidden="1">
      <c r="A52" s="44" t="s">
        <v>57</v>
      </c>
      <c r="B52" s="45">
        <v>10008640</v>
      </c>
      <c r="C52" s="45" t="s">
        <v>282</v>
      </c>
      <c r="D52" s="45" t="s">
        <v>287</v>
      </c>
      <c r="E52" s="46">
        <v>1300011006</v>
      </c>
      <c r="F52" s="45" t="s">
        <v>144</v>
      </c>
      <c r="G52" s="45" t="s">
        <v>60</v>
      </c>
      <c r="H52" s="45" t="s">
        <v>284</v>
      </c>
      <c r="I52" s="45" t="s">
        <v>285</v>
      </c>
      <c r="J52" s="45" t="s">
        <v>147</v>
      </c>
      <c r="K52" s="47" t="s">
        <v>37</v>
      </c>
      <c r="L52" s="63"/>
      <c r="M52" s="48" t="s">
        <v>286</v>
      </c>
      <c r="N52" s="48" t="s">
        <v>51</v>
      </c>
      <c r="O52" s="49">
        <v>43.082000000000001</v>
      </c>
      <c r="P52" s="50"/>
      <c r="Q52" s="51">
        <v>833000</v>
      </c>
      <c r="R52" s="51">
        <f>Tabla2[[#This Row],[Unitario]]*Tabla2[[#This Row],[Unidad '[Km']]]</f>
        <v>35887306</v>
      </c>
      <c r="S52" s="51">
        <f>Tabla2[[#This Row],[Valor Total]]*1.19</f>
        <v>42705894.140000001</v>
      </c>
      <c r="T52" s="52" t="s">
        <v>39</v>
      </c>
      <c r="U52" s="48">
        <v>0</v>
      </c>
      <c r="V52" s="53">
        <v>45874</v>
      </c>
      <c r="W52" s="43"/>
      <c r="X52" s="43" t="s">
        <v>41</v>
      </c>
      <c r="AA52" s="43" t="s">
        <v>223</v>
      </c>
      <c r="AB52" s="43"/>
      <c r="AC52" s="54"/>
      <c r="AD52" s="55"/>
    </row>
    <row r="53" spans="1:30" s="70" customFormat="1" hidden="1">
      <c r="A53" s="60" t="s">
        <v>57</v>
      </c>
      <c r="B53" s="45">
        <v>10008621</v>
      </c>
      <c r="C53" s="45" t="s">
        <v>288</v>
      </c>
      <c r="D53" s="45" t="s">
        <v>289</v>
      </c>
      <c r="E53" s="61">
        <v>1300012806</v>
      </c>
      <c r="F53" s="45" t="s">
        <v>45</v>
      </c>
      <c r="G53" s="45" t="s">
        <v>60</v>
      </c>
      <c r="H53" s="45" t="s">
        <v>290</v>
      </c>
      <c r="I53" s="45" t="s">
        <v>291</v>
      </c>
      <c r="J53" s="62" t="s">
        <v>49</v>
      </c>
      <c r="K53" s="47" t="s">
        <v>37</v>
      </c>
      <c r="L53" s="63">
        <v>10008621</v>
      </c>
      <c r="M53" s="74" t="s">
        <v>292</v>
      </c>
      <c r="N53" s="74" t="s">
        <v>51</v>
      </c>
      <c r="O53" s="75"/>
      <c r="P53" s="76"/>
      <c r="Q53" s="77"/>
      <c r="R53" s="77"/>
      <c r="S53" s="77">
        <v>0</v>
      </c>
      <c r="T53" s="65" t="s">
        <v>39</v>
      </c>
      <c r="U53" s="52" t="s">
        <v>39</v>
      </c>
      <c r="V53" s="69">
        <v>45843</v>
      </c>
      <c r="X53" s="70" t="s">
        <v>41</v>
      </c>
      <c r="AC53" s="54"/>
      <c r="AD53" s="55"/>
    </row>
    <row r="54" spans="1:30" hidden="1">
      <c r="A54" s="44" t="s">
        <v>57</v>
      </c>
      <c r="B54" s="45">
        <v>10008621</v>
      </c>
      <c r="C54" s="45" t="s">
        <v>288</v>
      </c>
      <c r="D54" s="45" t="s">
        <v>293</v>
      </c>
      <c r="E54" s="46">
        <v>1300010982</v>
      </c>
      <c r="F54" s="45" t="s">
        <v>144</v>
      </c>
      <c r="G54" s="45" t="s">
        <v>60</v>
      </c>
      <c r="H54" s="45" t="s">
        <v>290</v>
      </c>
      <c r="I54" s="45" t="s">
        <v>291</v>
      </c>
      <c r="J54" s="45" t="s">
        <v>147</v>
      </c>
      <c r="K54" s="47" t="s">
        <v>37</v>
      </c>
      <c r="L54" s="63"/>
      <c r="M54" s="48" t="s">
        <v>292</v>
      </c>
      <c r="N54" s="48" t="s">
        <v>51</v>
      </c>
      <c r="O54" s="49">
        <v>2.4E-2</v>
      </c>
      <c r="P54" s="50"/>
      <c r="Q54" s="51">
        <v>833000</v>
      </c>
      <c r="R54" s="51">
        <f>Tabla2[[#This Row],[Unitario]]*Tabla2[[#This Row],[Unidad '[Km']]]</f>
        <v>19992</v>
      </c>
      <c r="S54" s="51">
        <f>Tabla2[[#This Row],[Valor Total]]*1.19</f>
        <v>23790.48</v>
      </c>
      <c r="T54" s="52" t="s">
        <v>39</v>
      </c>
      <c r="U54" s="52" t="s">
        <v>39</v>
      </c>
      <c r="V54" s="53">
        <v>45843</v>
      </c>
      <c r="W54" s="43"/>
      <c r="X54" s="43" t="s">
        <v>41</v>
      </c>
      <c r="AA54" s="43" t="s">
        <v>223</v>
      </c>
      <c r="AB54" s="43"/>
      <c r="AC54" s="54"/>
      <c r="AD54" s="55"/>
    </row>
    <row r="55" spans="1:30" hidden="1">
      <c r="A55" s="44" t="s">
        <v>42</v>
      </c>
      <c r="B55" s="45">
        <v>10008336</v>
      </c>
      <c r="C55" s="45" t="s">
        <v>294</v>
      </c>
      <c r="D55" s="45" t="s">
        <v>295</v>
      </c>
      <c r="E55" s="46">
        <v>1300012866</v>
      </c>
      <c r="F55" s="45" t="s">
        <v>45</v>
      </c>
      <c r="G55" s="45" t="s">
        <v>46</v>
      </c>
      <c r="H55" s="45" t="s">
        <v>296</v>
      </c>
      <c r="I55" s="45" t="s">
        <v>297</v>
      </c>
      <c r="J55" s="45" t="s">
        <v>49</v>
      </c>
      <c r="K55" s="47" t="s">
        <v>37</v>
      </c>
      <c r="L55" s="46"/>
      <c r="M55" s="47" t="s">
        <v>298</v>
      </c>
      <c r="N55" s="48" t="s">
        <v>51</v>
      </c>
      <c r="O55" s="49">
        <v>2.8000000000000001E-2</v>
      </c>
      <c r="P55" s="50">
        <v>2</v>
      </c>
      <c r="Q55" s="51">
        <v>215600</v>
      </c>
      <c r="R55" s="51">
        <f>Tabla2[[#This Row],[Unitario]]*Tabla2[[#This Row],[Postes]]</f>
        <v>431200</v>
      </c>
      <c r="S55" s="51">
        <f>Tabla2[[#This Row],[Valor Total]]*1.19</f>
        <v>513128</v>
      </c>
      <c r="T55" s="52" t="s">
        <v>39</v>
      </c>
      <c r="U55" s="52" t="s">
        <v>39</v>
      </c>
      <c r="V55" s="53">
        <v>45874</v>
      </c>
      <c r="W55" s="43"/>
      <c r="X55" s="43" t="s">
        <v>41</v>
      </c>
      <c r="AA55" s="43"/>
      <c r="AB55" s="43"/>
      <c r="AC55" s="54"/>
      <c r="AD55" s="55"/>
    </row>
    <row r="56" spans="1:30" hidden="1">
      <c r="A56" s="44" t="s">
        <v>57</v>
      </c>
      <c r="B56" s="45">
        <v>10008619</v>
      </c>
      <c r="C56" s="45" t="s">
        <v>299</v>
      </c>
      <c r="D56" s="45" t="s">
        <v>300</v>
      </c>
      <c r="E56" s="46">
        <v>1300012664</v>
      </c>
      <c r="F56" s="45" t="s">
        <v>45</v>
      </c>
      <c r="G56" s="45" t="s">
        <v>60</v>
      </c>
      <c r="H56" s="45" t="s">
        <v>301</v>
      </c>
      <c r="I56" s="45" t="s">
        <v>302</v>
      </c>
      <c r="J56" s="45" t="s">
        <v>49</v>
      </c>
      <c r="K56" s="47" t="s">
        <v>37</v>
      </c>
      <c r="L56" s="46"/>
      <c r="M56" s="48" t="s">
        <v>303</v>
      </c>
      <c r="N56" s="48" t="s">
        <v>51</v>
      </c>
      <c r="O56" s="49">
        <v>0.01</v>
      </c>
      <c r="P56" s="50">
        <v>2</v>
      </c>
      <c r="Q56" s="51">
        <v>215600</v>
      </c>
      <c r="R56" s="51">
        <f>Tabla2[[#This Row],[Unitario]]*Tabla2[[#This Row],[Postes]]</f>
        <v>431200</v>
      </c>
      <c r="S56" s="51">
        <f>Tabla2[[#This Row],[Valor Total]]*1.19</f>
        <v>513128</v>
      </c>
      <c r="T56" s="52" t="s">
        <v>39</v>
      </c>
      <c r="U56" s="52" t="s">
        <v>39</v>
      </c>
      <c r="V56" s="53">
        <v>45843</v>
      </c>
      <c r="W56" s="43"/>
      <c r="X56" s="43" t="s">
        <v>41</v>
      </c>
      <c r="AA56" s="43"/>
      <c r="AB56" s="43"/>
      <c r="AC56" s="54"/>
      <c r="AD56" s="55"/>
    </row>
    <row r="57" spans="1:30" hidden="1">
      <c r="A57" s="44" t="s">
        <v>57</v>
      </c>
      <c r="B57" s="45">
        <v>10008618</v>
      </c>
      <c r="C57" s="45" t="s">
        <v>304</v>
      </c>
      <c r="D57" s="45" t="s">
        <v>305</v>
      </c>
      <c r="E57" s="46">
        <v>1300012663</v>
      </c>
      <c r="F57" s="45" t="s">
        <v>45</v>
      </c>
      <c r="G57" s="45" t="s">
        <v>60</v>
      </c>
      <c r="H57" s="45" t="s">
        <v>306</v>
      </c>
      <c r="I57" s="45" t="s">
        <v>307</v>
      </c>
      <c r="J57" s="45" t="s">
        <v>49</v>
      </c>
      <c r="K57" s="47" t="s">
        <v>37</v>
      </c>
      <c r="L57" s="46"/>
      <c r="M57" s="48" t="s">
        <v>308</v>
      </c>
      <c r="N57" s="48" t="s">
        <v>51</v>
      </c>
      <c r="O57" s="49">
        <v>0.01</v>
      </c>
      <c r="P57" s="50">
        <v>2</v>
      </c>
      <c r="Q57" s="51">
        <v>215600</v>
      </c>
      <c r="R57" s="51">
        <f>Tabla2[[#This Row],[Unitario]]*Tabla2[[#This Row],[Postes]]</f>
        <v>431200</v>
      </c>
      <c r="S57" s="51">
        <f>Tabla2[[#This Row],[Valor Total]]*1.19</f>
        <v>513128</v>
      </c>
      <c r="T57" s="52" t="s">
        <v>39</v>
      </c>
      <c r="U57" s="52" t="s">
        <v>39</v>
      </c>
      <c r="V57" s="53">
        <v>45843</v>
      </c>
      <c r="W57" s="43"/>
      <c r="X57" s="43" t="s">
        <v>41</v>
      </c>
      <c r="AA57" s="43"/>
      <c r="AB57" s="43"/>
      <c r="AC57" s="54"/>
      <c r="AD57" s="55"/>
    </row>
    <row r="58" spans="1:30" hidden="1">
      <c r="A58" s="44" t="s">
        <v>42</v>
      </c>
      <c r="B58" s="45">
        <v>10008330</v>
      </c>
      <c r="C58" s="45" t="s">
        <v>309</v>
      </c>
      <c r="D58" s="45" t="s">
        <v>310</v>
      </c>
      <c r="E58" s="46">
        <v>1300012862</v>
      </c>
      <c r="F58" s="45" t="s">
        <v>45</v>
      </c>
      <c r="G58" s="45" t="s">
        <v>46</v>
      </c>
      <c r="H58" s="45" t="s">
        <v>311</v>
      </c>
      <c r="I58" s="45" t="s">
        <v>312</v>
      </c>
      <c r="J58" s="45" t="s">
        <v>49</v>
      </c>
      <c r="K58" s="47" t="s">
        <v>37</v>
      </c>
      <c r="L58" s="46"/>
      <c r="M58" s="47" t="s">
        <v>313</v>
      </c>
      <c r="N58" s="48" t="s">
        <v>51</v>
      </c>
      <c r="O58" s="49">
        <v>0.1</v>
      </c>
      <c r="P58" s="50">
        <v>2</v>
      </c>
      <c r="Q58" s="51">
        <v>215600</v>
      </c>
      <c r="R58" s="51">
        <f>Tabla2[[#This Row],[Unitario]]*Tabla2[[#This Row],[Postes]]</f>
        <v>431200</v>
      </c>
      <c r="S58" s="51">
        <f>Tabla2[[#This Row],[Valor Total]]*1.19</f>
        <v>513128</v>
      </c>
      <c r="T58" s="52" t="s">
        <v>39</v>
      </c>
      <c r="U58" s="52" t="s">
        <v>39</v>
      </c>
      <c r="V58" s="53">
        <v>45905</v>
      </c>
      <c r="W58" s="43"/>
      <c r="X58" s="43" t="s">
        <v>41</v>
      </c>
      <c r="AA58" s="43"/>
      <c r="AB58" s="43"/>
      <c r="AC58" s="54"/>
      <c r="AD58" s="55"/>
    </row>
    <row r="59" spans="1:30" hidden="1">
      <c r="A59" s="44" t="s">
        <v>64</v>
      </c>
      <c r="B59" s="45">
        <v>10008184</v>
      </c>
      <c r="C59" s="45" t="s">
        <v>314</v>
      </c>
      <c r="D59" s="45" t="s">
        <v>314</v>
      </c>
      <c r="E59" s="46">
        <v>1300012837</v>
      </c>
      <c r="F59" s="45" t="s">
        <v>217</v>
      </c>
      <c r="G59" s="45" t="s">
        <v>67</v>
      </c>
      <c r="H59" s="45" t="s">
        <v>315</v>
      </c>
      <c r="I59" s="45" t="s">
        <v>316</v>
      </c>
      <c r="J59" s="45" t="s">
        <v>220</v>
      </c>
      <c r="K59" s="47" t="s">
        <v>37</v>
      </c>
      <c r="L59" s="46"/>
      <c r="M59" s="48" t="s">
        <v>317</v>
      </c>
      <c r="N59" s="48" t="s">
        <v>222</v>
      </c>
      <c r="O59" s="49">
        <v>67.063000000000002</v>
      </c>
      <c r="P59" s="50">
        <v>75</v>
      </c>
      <c r="Q59" s="51">
        <v>840000</v>
      </c>
      <c r="R59" s="51">
        <f>Tabla2[[#This Row],[Unitario]]*Tabla2[[#This Row],[Unidad '[Km']]]</f>
        <v>56332920</v>
      </c>
      <c r="S59" s="51">
        <f>Tabla2[[#This Row],[Valor Total]]*1.19</f>
        <v>67036174.799999997</v>
      </c>
      <c r="T59" s="52" t="s">
        <v>39</v>
      </c>
      <c r="U59" s="52" t="s">
        <v>39</v>
      </c>
      <c r="V59" s="53">
        <v>45905</v>
      </c>
      <c r="W59" s="53"/>
      <c r="X59" s="43" t="s">
        <v>41</v>
      </c>
      <c r="AA59" s="43" t="s">
        <v>223</v>
      </c>
      <c r="AB59" s="43"/>
      <c r="AC59" s="54"/>
      <c r="AD59" s="55"/>
    </row>
    <row r="60" spans="1:30" hidden="1">
      <c r="A60" s="44" t="s">
        <v>42</v>
      </c>
      <c r="B60" s="45">
        <v>10008331</v>
      </c>
      <c r="C60" s="45" t="s">
        <v>318</v>
      </c>
      <c r="D60" s="45" t="s">
        <v>319</v>
      </c>
      <c r="E60" s="46">
        <v>1300012863</v>
      </c>
      <c r="F60" s="45" t="s">
        <v>45</v>
      </c>
      <c r="G60" s="45" t="s">
        <v>46</v>
      </c>
      <c r="H60" s="45" t="s">
        <v>320</v>
      </c>
      <c r="I60" s="45" t="s">
        <v>321</v>
      </c>
      <c r="J60" s="45" t="s">
        <v>49</v>
      </c>
      <c r="K60" s="47" t="s">
        <v>37</v>
      </c>
      <c r="L60" s="46"/>
      <c r="M60" s="47" t="s">
        <v>322</v>
      </c>
      <c r="N60" s="48" t="s">
        <v>51</v>
      </c>
      <c r="O60" s="49">
        <v>20.8</v>
      </c>
      <c r="P60" s="50">
        <v>22</v>
      </c>
      <c r="Q60" s="51">
        <v>215600</v>
      </c>
      <c r="R60" s="51">
        <f>Tabla2[[#This Row],[Unitario]]*Tabla2[[#This Row],[Postes]]</f>
        <v>4743200</v>
      </c>
      <c r="S60" s="51">
        <f>Tabla2[[#This Row],[Valor Total]]*1.19</f>
        <v>5644408</v>
      </c>
      <c r="T60" s="52" t="s">
        <v>39</v>
      </c>
      <c r="U60" s="52" t="s">
        <v>39</v>
      </c>
      <c r="V60" s="53">
        <v>45905</v>
      </c>
      <c r="W60" s="43"/>
      <c r="X60" s="43" t="s">
        <v>41</v>
      </c>
      <c r="AA60" s="43"/>
      <c r="AB60" s="43"/>
      <c r="AC60" s="54"/>
      <c r="AD60" s="55"/>
    </row>
    <row r="61" spans="1:30">
      <c r="A61" s="44" t="s">
        <v>57</v>
      </c>
      <c r="B61" s="45">
        <v>10008616</v>
      </c>
      <c r="C61" s="45" t="s">
        <v>323</v>
      </c>
      <c r="D61" s="45" t="s">
        <v>324</v>
      </c>
      <c r="E61" s="46">
        <v>1300012661</v>
      </c>
      <c r="F61" s="45" t="s">
        <v>45</v>
      </c>
      <c r="G61" s="45" t="s">
        <v>60</v>
      </c>
      <c r="H61" s="45" t="s">
        <v>325</v>
      </c>
      <c r="I61" s="45" t="s">
        <v>326</v>
      </c>
      <c r="J61" s="45" t="s">
        <v>49</v>
      </c>
      <c r="K61" s="47" t="s">
        <v>37</v>
      </c>
      <c r="L61" s="46"/>
      <c r="M61" s="48" t="s">
        <v>327</v>
      </c>
      <c r="N61" s="48" t="s">
        <v>51</v>
      </c>
      <c r="O61" s="49"/>
      <c r="P61" s="50">
        <v>36</v>
      </c>
      <c r="Q61" s="51">
        <v>215600</v>
      </c>
      <c r="R61" s="51">
        <f>Tabla2[[#This Row],[Unitario]]*Tabla2[[#This Row],[Postes]]</f>
        <v>7761600</v>
      </c>
      <c r="S61" s="51">
        <f>Tabla2[[#This Row],[Valor Total]]*1.19</f>
        <v>9236304</v>
      </c>
      <c r="T61" s="52" t="s">
        <v>39</v>
      </c>
      <c r="U61" s="52" t="s">
        <v>39</v>
      </c>
      <c r="V61" s="53">
        <v>45843</v>
      </c>
      <c r="W61" s="53">
        <v>45992</v>
      </c>
      <c r="X61" s="56" t="s">
        <v>71</v>
      </c>
      <c r="Y61" s="57">
        <v>45992</v>
      </c>
      <c r="Z61" s="43" t="s">
        <v>72</v>
      </c>
      <c r="AA61" s="58" t="s">
        <v>73</v>
      </c>
      <c r="AB61" s="58" t="s">
        <v>74</v>
      </c>
      <c r="AC61" s="59" t="s">
        <v>75</v>
      </c>
      <c r="AD61" s="55"/>
    </row>
    <row r="62" spans="1:30" s="70" customFormat="1" hidden="1">
      <c r="A62" s="60" t="s">
        <v>64</v>
      </c>
      <c r="B62" s="45">
        <v>10008565</v>
      </c>
      <c r="C62" s="45" t="s">
        <v>328</v>
      </c>
      <c r="D62" s="45" t="s">
        <v>329</v>
      </c>
      <c r="E62" s="61">
        <v>1300012972</v>
      </c>
      <c r="F62" s="45" t="s">
        <v>45</v>
      </c>
      <c r="G62" s="45" t="s">
        <v>67</v>
      </c>
      <c r="H62" s="45" t="s">
        <v>330</v>
      </c>
      <c r="I62" s="45" t="s">
        <v>331</v>
      </c>
      <c r="J62" s="62" t="s">
        <v>49</v>
      </c>
      <c r="K62" s="47" t="s">
        <v>37</v>
      </c>
      <c r="L62" s="63">
        <v>10008565</v>
      </c>
      <c r="M62" s="78" t="s">
        <v>332</v>
      </c>
      <c r="N62" s="74" t="s">
        <v>51</v>
      </c>
      <c r="O62" s="75">
        <v>3.0680000000000001</v>
      </c>
      <c r="P62" s="76"/>
      <c r="Q62" s="77"/>
      <c r="R62" s="77"/>
      <c r="S62" s="77">
        <v>0</v>
      </c>
      <c r="T62" s="65" t="s">
        <v>39</v>
      </c>
      <c r="U62" s="52" t="s">
        <v>39</v>
      </c>
      <c r="V62" s="69">
        <v>45874</v>
      </c>
      <c r="X62" s="70" t="s">
        <v>41</v>
      </c>
      <c r="AC62" s="54"/>
      <c r="AD62" s="55"/>
    </row>
    <row r="63" spans="1:30" hidden="1">
      <c r="A63" s="44" t="s">
        <v>42</v>
      </c>
      <c r="B63" s="45">
        <v>10008196</v>
      </c>
      <c r="C63" s="45" t="s">
        <v>333</v>
      </c>
      <c r="D63" s="45" t="s">
        <v>334</v>
      </c>
      <c r="E63" s="46">
        <v>1300012838</v>
      </c>
      <c r="F63" s="45" t="s">
        <v>45</v>
      </c>
      <c r="G63" s="45" t="s">
        <v>46</v>
      </c>
      <c r="H63" s="45" t="s">
        <v>121</v>
      </c>
      <c r="I63" s="45" t="s">
        <v>122</v>
      </c>
      <c r="J63" s="45" t="s">
        <v>49</v>
      </c>
      <c r="K63" s="47" t="s">
        <v>37</v>
      </c>
      <c r="L63" s="46"/>
      <c r="M63" s="47" t="s">
        <v>335</v>
      </c>
      <c r="N63" s="48" t="s">
        <v>222</v>
      </c>
      <c r="O63" s="49">
        <v>119.396</v>
      </c>
      <c r="P63" s="50">
        <v>112</v>
      </c>
      <c r="Q63" s="51">
        <v>215600</v>
      </c>
      <c r="R63" s="51">
        <f>Tabla2[[#This Row],[Unitario]]*Tabla2[[#This Row],[Postes]]</f>
        <v>24147200</v>
      </c>
      <c r="S63" s="51">
        <f>Tabla2[[#This Row],[Valor Total]]*1.19</f>
        <v>28735168</v>
      </c>
      <c r="T63" s="52" t="s">
        <v>39</v>
      </c>
      <c r="U63" s="52" t="s">
        <v>39</v>
      </c>
      <c r="V63" s="53">
        <v>45874</v>
      </c>
      <c r="W63" s="43"/>
      <c r="X63" s="43" t="s">
        <v>41</v>
      </c>
      <c r="AA63" s="43"/>
      <c r="AB63" s="43"/>
      <c r="AC63" s="54"/>
      <c r="AD63" s="55"/>
    </row>
    <row r="64" spans="1:30">
      <c r="A64" s="44" t="s">
        <v>64</v>
      </c>
      <c r="B64" s="45">
        <v>10010984</v>
      </c>
      <c r="C64" s="45" t="s">
        <v>336</v>
      </c>
      <c r="D64" s="45" t="s">
        <v>336</v>
      </c>
      <c r="E64" s="46">
        <v>1300012787</v>
      </c>
      <c r="F64" s="45" t="s">
        <v>337</v>
      </c>
      <c r="G64" s="45" t="s">
        <v>67</v>
      </c>
      <c r="H64" s="45" t="s">
        <v>338</v>
      </c>
      <c r="I64" s="45" t="s">
        <v>339</v>
      </c>
      <c r="J64" s="45" t="s">
        <v>340</v>
      </c>
      <c r="K64" s="47" t="s">
        <v>37</v>
      </c>
      <c r="L64" s="46"/>
      <c r="M64" s="48" t="s">
        <v>341</v>
      </c>
      <c r="N64" s="48" t="s">
        <v>222</v>
      </c>
      <c r="O64" s="49">
        <v>3</v>
      </c>
      <c r="P64" s="50"/>
      <c r="Q64" s="51">
        <v>10500000</v>
      </c>
      <c r="R64" s="51">
        <f>Tabla2[[#This Row],[Unitario]]*Tabla2[[#This Row],[Unidad '[Km']]]</f>
        <v>31500000</v>
      </c>
      <c r="S64" s="51">
        <f>Tabla2[[#This Row],[Valor Total]]*1.19</f>
        <v>37485000</v>
      </c>
      <c r="T64" s="52" t="s">
        <v>39</v>
      </c>
      <c r="U64" s="52" t="s">
        <v>39</v>
      </c>
      <c r="V64" s="53">
        <v>45841</v>
      </c>
      <c r="W64" s="53">
        <v>45992</v>
      </c>
      <c r="X64" s="56" t="s">
        <v>71</v>
      </c>
      <c r="Y64" s="57">
        <v>45992</v>
      </c>
      <c r="Z64" s="43" t="s">
        <v>72</v>
      </c>
      <c r="AA64" s="79" t="s">
        <v>75</v>
      </c>
      <c r="AB64" s="79" t="s">
        <v>75</v>
      </c>
      <c r="AC64" s="58" t="s">
        <v>74</v>
      </c>
      <c r="AD64" s="55"/>
    </row>
    <row r="65" spans="1:30" hidden="1">
      <c r="A65" s="44" t="s">
        <v>64</v>
      </c>
      <c r="B65" s="45">
        <v>10009236</v>
      </c>
      <c r="C65" s="45" t="s">
        <v>342</v>
      </c>
      <c r="D65" s="45" t="s">
        <v>342</v>
      </c>
      <c r="E65" s="46">
        <v>1300012991</v>
      </c>
      <c r="F65" s="45" t="s">
        <v>217</v>
      </c>
      <c r="G65" s="45" t="s">
        <v>67</v>
      </c>
      <c r="H65" s="45" t="s">
        <v>338</v>
      </c>
      <c r="I65" s="45" t="s">
        <v>339</v>
      </c>
      <c r="J65" s="45" t="s">
        <v>220</v>
      </c>
      <c r="K65" s="47" t="s">
        <v>37</v>
      </c>
      <c r="L65" s="46"/>
      <c r="M65" s="48" t="s">
        <v>341</v>
      </c>
      <c r="N65" s="48" t="s">
        <v>222</v>
      </c>
      <c r="O65" s="49">
        <v>67.144000000000005</v>
      </c>
      <c r="P65" s="50">
        <v>69</v>
      </c>
      <c r="Q65" s="51">
        <v>840000</v>
      </c>
      <c r="R65" s="51">
        <f>Tabla2[[#This Row],[Unitario]]*Tabla2[[#This Row],[Unidad '[Km']]]</f>
        <v>56400960.000000007</v>
      </c>
      <c r="S65" s="51">
        <f>Tabla2[[#This Row],[Valor Total]]*1.19</f>
        <v>67117142.400000006</v>
      </c>
      <c r="T65" s="52" t="s">
        <v>39</v>
      </c>
      <c r="U65" s="52" t="s">
        <v>39</v>
      </c>
      <c r="V65" s="53">
        <v>45874</v>
      </c>
      <c r="W65" s="53"/>
      <c r="X65" s="43" t="s">
        <v>41</v>
      </c>
      <c r="AA65" s="43" t="s">
        <v>223</v>
      </c>
      <c r="AB65" s="43"/>
      <c r="AC65" s="54"/>
      <c r="AD65" s="55"/>
    </row>
    <row r="66" spans="1:30" hidden="1">
      <c r="A66" s="44" t="s">
        <v>42</v>
      </c>
      <c r="B66" s="45">
        <v>10008347</v>
      </c>
      <c r="C66" s="45" t="s">
        <v>343</v>
      </c>
      <c r="D66" s="45" t="s">
        <v>344</v>
      </c>
      <c r="E66" s="46">
        <v>1300012873</v>
      </c>
      <c r="F66" s="45" t="s">
        <v>45</v>
      </c>
      <c r="G66" s="45" t="s">
        <v>46</v>
      </c>
      <c r="H66" s="45" t="s">
        <v>345</v>
      </c>
      <c r="I66" s="45" t="s">
        <v>346</v>
      </c>
      <c r="J66" s="45" t="s">
        <v>49</v>
      </c>
      <c r="K66" s="47" t="s">
        <v>37</v>
      </c>
      <c r="L66" s="46"/>
      <c r="M66" s="47" t="s">
        <v>347</v>
      </c>
      <c r="N66" s="48" t="s">
        <v>51</v>
      </c>
      <c r="O66" s="49">
        <v>0.03</v>
      </c>
      <c r="P66" s="50">
        <v>1</v>
      </c>
      <c r="Q66" s="51">
        <v>215600</v>
      </c>
      <c r="R66" s="51">
        <f>Tabla2[[#This Row],[Unitario]]*Tabla2[[#This Row],[Postes]]</f>
        <v>215600</v>
      </c>
      <c r="S66" s="51">
        <f>Tabla2[[#This Row],[Valor Total]]*1.19</f>
        <v>256564</v>
      </c>
      <c r="T66" s="52" t="s">
        <v>39</v>
      </c>
      <c r="U66" s="52" t="s">
        <v>39</v>
      </c>
      <c r="V66" s="53">
        <v>45874</v>
      </c>
      <c r="W66" s="43"/>
      <c r="X66" s="43" t="s">
        <v>41</v>
      </c>
      <c r="AA66" s="43"/>
      <c r="AB66" s="43"/>
      <c r="AC66" s="54"/>
      <c r="AD66" s="55"/>
    </row>
    <row r="67" spans="1:30" hidden="1">
      <c r="A67" s="44" t="s">
        <v>42</v>
      </c>
      <c r="B67" s="45">
        <v>10008263</v>
      </c>
      <c r="C67" s="45" t="s">
        <v>348</v>
      </c>
      <c r="D67" s="45" t="s">
        <v>349</v>
      </c>
      <c r="E67" s="46">
        <v>1300012845</v>
      </c>
      <c r="F67" s="45" t="s">
        <v>45</v>
      </c>
      <c r="G67" s="45" t="s">
        <v>46</v>
      </c>
      <c r="H67" s="45" t="s">
        <v>350</v>
      </c>
      <c r="I67" s="45" t="s">
        <v>351</v>
      </c>
      <c r="J67" s="45" t="s">
        <v>49</v>
      </c>
      <c r="K67" s="47" t="s">
        <v>37</v>
      </c>
      <c r="L67" s="46"/>
      <c r="M67" s="47" t="s">
        <v>352</v>
      </c>
      <c r="N67" s="48" t="s">
        <v>51</v>
      </c>
      <c r="O67" s="49">
        <v>36.237000000000002</v>
      </c>
      <c r="P67" s="50">
        <v>39</v>
      </c>
      <c r="Q67" s="51">
        <v>215600</v>
      </c>
      <c r="R67" s="51">
        <f>Tabla2[[#This Row],[Unitario]]*Tabla2[[#This Row],[Postes]]</f>
        <v>8408400</v>
      </c>
      <c r="S67" s="51">
        <f>Tabla2[[#This Row],[Valor Total]]*1.19</f>
        <v>10005996</v>
      </c>
      <c r="T67" s="52" t="s">
        <v>39</v>
      </c>
      <c r="U67" s="52" t="s">
        <v>39</v>
      </c>
      <c r="V67" s="53">
        <v>45905</v>
      </c>
      <c r="W67" s="43"/>
      <c r="X67" s="43" t="s">
        <v>41</v>
      </c>
      <c r="AA67" s="43"/>
      <c r="AB67" s="43"/>
      <c r="AC67" s="54"/>
      <c r="AD67" s="55"/>
    </row>
    <row r="68" spans="1:30" hidden="1">
      <c r="A68" s="44" t="s">
        <v>64</v>
      </c>
      <c r="B68" s="45">
        <v>10008607</v>
      </c>
      <c r="C68" s="45" t="s">
        <v>353</v>
      </c>
      <c r="D68" s="45" t="s">
        <v>354</v>
      </c>
      <c r="E68" s="46">
        <v>1300012782</v>
      </c>
      <c r="F68" s="45" t="s">
        <v>45</v>
      </c>
      <c r="G68" s="45" t="s">
        <v>67</v>
      </c>
      <c r="H68" s="45" t="s">
        <v>355</v>
      </c>
      <c r="I68" s="45" t="s">
        <v>356</v>
      </c>
      <c r="J68" s="45" t="s">
        <v>49</v>
      </c>
      <c r="K68" s="47" t="s">
        <v>37</v>
      </c>
      <c r="L68" s="46"/>
      <c r="M68" s="48" t="s">
        <v>357</v>
      </c>
      <c r="N68" s="48" t="s">
        <v>51</v>
      </c>
      <c r="O68" s="49">
        <v>9.2669999999999995</v>
      </c>
      <c r="P68" s="50">
        <v>10</v>
      </c>
      <c r="Q68" s="51">
        <v>215600</v>
      </c>
      <c r="R68" s="51">
        <f>Tabla2[[#This Row],[Unitario]]*Tabla2[[#This Row],[Postes]]</f>
        <v>2156000</v>
      </c>
      <c r="S68" s="51">
        <f>Tabla2[[#This Row],[Valor Total]]*1.19</f>
        <v>2565640</v>
      </c>
      <c r="T68" s="52" t="s">
        <v>39</v>
      </c>
      <c r="U68" s="52" t="s">
        <v>39</v>
      </c>
      <c r="V68" s="53">
        <v>45843</v>
      </c>
      <c r="W68" s="43"/>
      <c r="X68" s="43" t="s">
        <v>41</v>
      </c>
      <c r="AA68" s="43"/>
      <c r="AB68" s="43"/>
      <c r="AC68" s="54"/>
      <c r="AD68" s="55"/>
    </row>
    <row r="69" spans="1:30" hidden="1">
      <c r="A69" s="44" t="s">
        <v>358</v>
      </c>
      <c r="B69" s="45">
        <v>10009262</v>
      </c>
      <c r="C69" s="45" t="s">
        <v>359</v>
      </c>
      <c r="D69" s="45" t="s">
        <v>359</v>
      </c>
      <c r="E69" s="46">
        <v>1300012992</v>
      </c>
      <c r="F69" s="45" t="s">
        <v>217</v>
      </c>
      <c r="G69" s="45" t="s">
        <v>360</v>
      </c>
      <c r="H69" s="45" t="s">
        <v>361</v>
      </c>
      <c r="I69" s="45" t="s">
        <v>362</v>
      </c>
      <c r="J69" s="45" t="s">
        <v>220</v>
      </c>
      <c r="K69" s="47" t="s">
        <v>37</v>
      </c>
      <c r="L69" s="46"/>
      <c r="M69" s="47" t="s">
        <v>363</v>
      </c>
      <c r="N69" s="48" t="s">
        <v>51</v>
      </c>
      <c r="O69" s="49">
        <v>0.4</v>
      </c>
      <c r="P69" s="50">
        <v>1</v>
      </c>
      <c r="Q69" s="51">
        <v>840000</v>
      </c>
      <c r="R69" s="51">
        <f>Tabla2[[#This Row],[Unitario]]*Tabla2[[#This Row],[Unidad '[Km']]]</f>
        <v>336000</v>
      </c>
      <c r="S69" s="51">
        <f>Tabla2[[#This Row],[Valor Total]]*1.19</f>
        <v>399840</v>
      </c>
      <c r="T69" s="52" t="s">
        <v>39</v>
      </c>
      <c r="U69" s="52" t="s">
        <v>364</v>
      </c>
      <c r="V69" s="53">
        <v>45843</v>
      </c>
      <c r="W69" s="43"/>
      <c r="X69" s="43" t="s">
        <v>41</v>
      </c>
      <c r="AA69" s="43" t="s">
        <v>223</v>
      </c>
      <c r="AB69" s="43"/>
      <c r="AC69" s="54"/>
      <c r="AD69" s="55"/>
    </row>
    <row r="70" spans="1:30" hidden="1">
      <c r="A70" s="44" t="s">
        <v>42</v>
      </c>
      <c r="B70" s="45">
        <v>10008323</v>
      </c>
      <c r="C70" s="45" t="s">
        <v>365</v>
      </c>
      <c r="D70" s="45" t="s">
        <v>366</v>
      </c>
      <c r="E70" s="46">
        <v>1300012857</v>
      </c>
      <c r="F70" s="45" t="s">
        <v>45</v>
      </c>
      <c r="G70" s="45" t="s">
        <v>46</v>
      </c>
      <c r="H70" s="45" t="s">
        <v>367</v>
      </c>
      <c r="I70" s="45" t="s">
        <v>368</v>
      </c>
      <c r="J70" s="45" t="s">
        <v>49</v>
      </c>
      <c r="K70" s="47" t="s">
        <v>37</v>
      </c>
      <c r="L70" s="46"/>
      <c r="M70" s="47" t="s">
        <v>369</v>
      </c>
      <c r="N70" s="48" t="s">
        <v>51</v>
      </c>
      <c r="O70" s="49">
        <v>0.02</v>
      </c>
      <c r="P70" s="50">
        <v>1</v>
      </c>
      <c r="Q70" s="51">
        <v>215600</v>
      </c>
      <c r="R70" s="51">
        <f>Tabla2[[#This Row],[Unitario]]*Tabla2[[#This Row],[Postes]]</f>
        <v>215600</v>
      </c>
      <c r="S70" s="51">
        <f>Tabla2[[#This Row],[Valor Total]]*1.19</f>
        <v>256564</v>
      </c>
      <c r="T70" s="52" t="s">
        <v>39</v>
      </c>
      <c r="U70" s="52" t="s">
        <v>39</v>
      </c>
      <c r="V70" s="53">
        <v>45905</v>
      </c>
      <c r="W70" s="43"/>
      <c r="X70" s="43" t="s">
        <v>41</v>
      </c>
      <c r="AA70" s="43"/>
      <c r="AB70" s="43"/>
      <c r="AC70" s="54"/>
      <c r="AD70" s="55"/>
    </row>
    <row r="71" spans="1:30" hidden="1">
      <c r="A71" s="44" t="s">
        <v>30</v>
      </c>
      <c r="B71" s="45">
        <v>10015409</v>
      </c>
      <c r="C71" s="45" t="s">
        <v>370</v>
      </c>
      <c r="D71" s="45" t="s">
        <v>370</v>
      </c>
      <c r="E71" s="46">
        <v>1300013002</v>
      </c>
      <c r="F71" s="45" t="s">
        <v>32</v>
      </c>
      <c r="G71" s="45" t="s">
        <v>33</v>
      </c>
      <c r="H71" s="45" t="s">
        <v>371</v>
      </c>
      <c r="I71" s="45" t="s">
        <v>372</v>
      </c>
      <c r="J71" s="45" t="s">
        <v>36</v>
      </c>
      <c r="K71" s="47" t="s">
        <v>37</v>
      </c>
      <c r="L71" s="46"/>
      <c r="M71" s="47" t="s">
        <v>373</v>
      </c>
      <c r="N71" s="48"/>
      <c r="O71" s="49">
        <v>1</v>
      </c>
      <c r="P71" s="50"/>
      <c r="Q71" s="51">
        <v>1400000</v>
      </c>
      <c r="R71" s="51">
        <f>Tabla2[[#This Row],[Unitario]]*Tabla2[[#This Row],[Unidad '[Km']]]</f>
        <v>1400000</v>
      </c>
      <c r="S71" s="51">
        <f>Tabla2[[#This Row],[Valor Total]]*1.19</f>
        <v>1666000</v>
      </c>
      <c r="T71" s="52" t="s">
        <v>39</v>
      </c>
      <c r="U71" s="52" t="s">
        <v>40</v>
      </c>
      <c r="V71" s="53">
        <v>45872</v>
      </c>
      <c r="W71" s="43"/>
      <c r="X71" s="43" t="s">
        <v>41</v>
      </c>
      <c r="AA71" s="43"/>
      <c r="AB71" s="43"/>
      <c r="AC71" s="54"/>
      <c r="AD71" s="55"/>
    </row>
    <row r="72" spans="1:30" s="86" customFormat="1">
      <c r="A72" s="80" t="s">
        <v>57</v>
      </c>
      <c r="B72" s="45">
        <v>10008216</v>
      </c>
      <c r="C72" s="45" t="s">
        <v>374</v>
      </c>
      <c r="D72" s="45" t="s">
        <v>375</v>
      </c>
      <c r="E72" s="81">
        <v>1300012655</v>
      </c>
      <c r="F72" s="45" t="s">
        <v>45</v>
      </c>
      <c r="G72" s="45" t="s">
        <v>60</v>
      </c>
      <c r="H72" s="45" t="s">
        <v>376</v>
      </c>
      <c r="I72" s="45" t="s">
        <v>377</v>
      </c>
      <c r="J72" s="82" t="s">
        <v>49</v>
      </c>
      <c r="K72" s="47" t="s">
        <v>37</v>
      </c>
      <c r="L72" s="63">
        <v>10008216</v>
      </c>
      <c r="M72" s="83" t="s">
        <v>378</v>
      </c>
      <c r="N72" s="83" t="s">
        <v>222</v>
      </c>
      <c r="O72" s="84"/>
      <c r="P72" s="76"/>
      <c r="Q72" s="77"/>
      <c r="R72" s="77"/>
      <c r="S72" s="85">
        <v>0</v>
      </c>
      <c r="T72" s="65" t="s">
        <v>39</v>
      </c>
      <c r="U72" s="52" t="s">
        <v>39</v>
      </c>
      <c r="V72" s="69">
        <v>45843</v>
      </c>
      <c r="W72" s="69">
        <v>45962</v>
      </c>
      <c r="X72" s="86" t="s">
        <v>71</v>
      </c>
      <c r="Y72" s="87">
        <v>45988</v>
      </c>
      <c r="Z72" s="86" t="s">
        <v>72</v>
      </c>
      <c r="AA72" s="79" t="s">
        <v>379</v>
      </c>
      <c r="AB72" s="79" t="s">
        <v>379</v>
      </c>
      <c r="AC72" s="79" t="s">
        <v>379</v>
      </c>
      <c r="AD72" s="88"/>
    </row>
    <row r="73" spans="1:30">
      <c r="A73" s="44" t="s">
        <v>57</v>
      </c>
      <c r="B73" s="45">
        <v>10008216</v>
      </c>
      <c r="C73" s="45" t="s">
        <v>374</v>
      </c>
      <c r="D73" s="45" t="s">
        <v>380</v>
      </c>
      <c r="E73" s="46">
        <v>1300010882</v>
      </c>
      <c r="F73" s="45" t="s">
        <v>144</v>
      </c>
      <c r="G73" s="45" t="s">
        <v>60</v>
      </c>
      <c r="H73" s="45" t="s">
        <v>376</v>
      </c>
      <c r="I73" s="45" t="s">
        <v>377</v>
      </c>
      <c r="J73" s="45" t="s">
        <v>147</v>
      </c>
      <c r="K73" s="47" t="s">
        <v>37</v>
      </c>
      <c r="L73" s="63"/>
      <c r="M73" s="48" t="s">
        <v>378</v>
      </c>
      <c r="N73" s="48" t="s">
        <v>222</v>
      </c>
      <c r="O73" s="49">
        <v>69.168999999999983</v>
      </c>
      <c r="P73" s="50"/>
      <c r="Q73" s="51">
        <v>833000</v>
      </c>
      <c r="R73" s="51">
        <f>Tabla2[[#This Row],[Unitario]]*Tabla2[[#This Row],[Unidad '[Km']]]</f>
        <v>57617776.999999985</v>
      </c>
      <c r="S73" s="51">
        <f>Tabla2[[#This Row],[Valor Total]]*1.19</f>
        <v>68565154.62999998</v>
      </c>
      <c r="T73" s="52" t="s">
        <v>39</v>
      </c>
      <c r="U73" s="48">
        <v>0</v>
      </c>
      <c r="V73" s="53">
        <v>45843</v>
      </c>
      <c r="W73" s="53">
        <v>45962</v>
      </c>
      <c r="X73" s="56" t="s">
        <v>71</v>
      </c>
      <c r="Y73" s="57">
        <v>45988</v>
      </c>
      <c r="Z73" s="43" t="s">
        <v>72</v>
      </c>
      <c r="AA73" s="58" t="s">
        <v>73</v>
      </c>
      <c r="AB73" s="58" t="s">
        <v>74</v>
      </c>
      <c r="AC73" s="59" t="s">
        <v>75</v>
      </c>
      <c r="AD73" s="55"/>
    </row>
    <row r="74" spans="1:30" hidden="1">
      <c r="A74" s="44" t="s">
        <v>42</v>
      </c>
      <c r="B74" s="45">
        <v>10008339</v>
      </c>
      <c r="C74" s="45" t="s">
        <v>381</v>
      </c>
      <c r="D74" s="45" t="s">
        <v>382</v>
      </c>
      <c r="E74" s="46">
        <v>1300012869</v>
      </c>
      <c r="F74" s="45" t="s">
        <v>45</v>
      </c>
      <c r="G74" s="45" t="s">
        <v>46</v>
      </c>
      <c r="H74" s="45" t="s">
        <v>383</v>
      </c>
      <c r="I74" s="45" t="s">
        <v>384</v>
      </c>
      <c r="J74" s="45" t="s">
        <v>49</v>
      </c>
      <c r="K74" s="47" t="s">
        <v>37</v>
      </c>
      <c r="L74" s="46"/>
      <c r="M74" s="47" t="s">
        <v>385</v>
      </c>
      <c r="N74" s="48" t="s">
        <v>51</v>
      </c>
      <c r="O74" s="49">
        <v>8.65</v>
      </c>
      <c r="P74" s="50">
        <v>10</v>
      </c>
      <c r="Q74" s="51">
        <v>215600</v>
      </c>
      <c r="R74" s="51">
        <f>Tabla2[[#This Row],[Unitario]]*Tabla2[[#This Row],[Postes]]</f>
        <v>2156000</v>
      </c>
      <c r="S74" s="51">
        <f>Tabla2[[#This Row],[Valor Total]]*1.19</f>
        <v>2565640</v>
      </c>
      <c r="T74" s="52" t="s">
        <v>39</v>
      </c>
      <c r="U74" s="52" t="s">
        <v>39</v>
      </c>
      <c r="V74" s="53">
        <v>45905</v>
      </c>
      <c r="W74" s="43"/>
      <c r="X74" s="43" t="s">
        <v>41</v>
      </c>
      <c r="AA74" s="43"/>
      <c r="AB74" s="43"/>
      <c r="AC74" s="54"/>
      <c r="AD74" s="55"/>
    </row>
    <row r="75" spans="1:30" s="70" customFormat="1" hidden="1">
      <c r="A75" s="60" t="s">
        <v>57</v>
      </c>
      <c r="B75" s="45">
        <v>10008217</v>
      </c>
      <c r="C75" s="45" t="s">
        <v>386</v>
      </c>
      <c r="D75" s="45" t="s">
        <v>387</v>
      </c>
      <c r="E75" s="61">
        <v>1300012843</v>
      </c>
      <c r="F75" s="45" t="s">
        <v>45</v>
      </c>
      <c r="G75" s="45" t="s">
        <v>60</v>
      </c>
      <c r="H75" s="45" t="s">
        <v>388</v>
      </c>
      <c r="I75" s="45" t="s">
        <v>389</v>
      </c>
      <c r="J75" s="62" t="s">
        <v>49</v>
      </c>
      <c r="K75" s="47" t="s">
        <v>37</v>
      </c>
      <c r="L75" s="63">
        <v>10008217</v>
      </c>
      <c r="M75" s="74" t="s">
        <v>390</v>
      </c>
      <c r="N75" s="74" t="s">
        <v>51</v>
      </c>
      <c r="O75" s="75"/>
      <c r="P75" s="76"/>
      <c r="Q75" s="77"/>
      <c r="R75" s="77"/>
      <c r="S75" s="77">
        <v>0</v>
      </c>
      <c r="T75" s="65" t="s">
        <v>39</v>
      </c>
      <c r="U75" s="52" t="s">
        <v>39</v>
      </c>
      <c r="V75" s="69">
        <v>45874</v>
      </c>
      <c r="X75" s="70" t="s">
        <v>41</v>
      </c>
      <c r="AC75" s="54"/>
      <c r="AD75" s="55"/>
    </row>
    <row r="76" spans="1:30" hidden="1">
      <c r="A76" s="44" t="s">
        <v>57</v>
      </c>
      <c r="B76" s="45">
        <v>10008217</v>
      </c>
      <c r="C76" s="45" t="s">
        <v>391</v>
      </c>
      <c r="D76" s="45" t="s">
        <v>391</v>
      </c>
      <c r="E76" s="46">
        <v>1300010884</v>
      </c>
      <c r="F76" s="45" t="s">
        <v>144</v>
      </c>
      <c r="G76" s="45" t="s">
        <v>60</v>
      </c>
      <c r="H76" s="45" t="s">
        <v>388</v>
      </c>
      <c r="I76" s="45" t="s">
        <v>389</v>
      </c>
      <c r="J76" s="45" t="s">
        <v>147</v>
      </c>
      <c r="K76" s="47" t="s">
        <v>37</v>
      </c>
      <c r="L76" s="63"/>
      <c r="M76" s="48" t="s">
        <v>390</v>
      </c>
      <c r="N76" s="48" t="s">
        <v>51</v>
      </c>
      <c r="O76" s="49">
        <v>37.421999999999997</v>
      </c>
      <c r="P76" s="50"/>
      <c r="Q76" s="51">
        <v>833000</v>
      </c>
      <c r="R76" s="51">
        <f>Tabla2[[#This Row],[Unitario]]*Tabla2[[#This Row],[Unidad '[Km']]]</f>
        <v>31172525.999999996</v>
      </c>
      <c r="S76" s="51">
        <f>Tabla2[[#This Row],[Valor Total]]*1.19</f>
        <v>37095305.939999998</v>
      </c>
      <c r="T76" s="52" t="s">
        <v>39</v>
      </c>
      <c r="U76" s="48">
        <v>0</v>
      </c>
      <c r="V76" s="53">
        <v>45874</v>
      </c>
      <c r="W76" s="43"/>
      <c r="X76" s="43" t="s">
        <v>41</v>
      </c>
      <c r="AA76" s="43" t="s">
        <v>149</v>
      </c>
      <c r="AB76" s="43"/>
      <c r="AC76" s="54"/>
      <c r="AD76" s="55"/>
    </row>
    <row r="77" spans="1:30" hidden="1">
      <c r="A77" s="44" t="s">
        <v>42</v>
      </c>
      <c r="B77" s="45">
        <v>10008195</v>
      </c>
      <c r="C77" s="45" t="s">
        <v>392</v>
      </c>
      <c r="D77" s="45" t="s">
        <v>393</v>
      </c>
      <c r="E77" s="46">
        <v>1300011994</v>
      </c>
      <c r="F77" s="45" t="s">
        <v>45</v>
      </c>
      <c r="G77" s="45" t="s">
        <v>46</v>
      </c>
      <c r="H77" s="45" t="s">
        <v>394</v>
      </c>
      <c r="I77" s="45" t="s">
        <v>395</v>
      </c>
      <c r="J77" s="45" t="s">
        <v>49</v>
      </c>
      <c r="K77" s="47" t="s">
        <v>37</v>
      </c>
      <c r="L77" s="46"/>
      <c r="M77" s="47" t="s">
        <v>396</v>
      </c>
      <c r="N77" s="48" t="s">
        <v>222</v>
      </c>
      <c r="O77" s="49">
        <v>46.900000000000034</v>
      </c>
      <c r="P77" s="50">
        <v>58</v>
      </c>
      <c r="Q77" s="51">
        <v>215600</v>
      </c>
      <c r="R77" s="51">
        <f>Tabla2[[#This Row],[Unitario]]*Tabla2[[#This Row],[Postes]]</f>
        <v>12504800</v>
      </c>
      <c r="S77" s="51">
        <f>Tabla2[[#This Row],[Valor Total]]*1.19</f>
        <v>14880712</v>
      </c>
      <c r="T77" s="52" t="s">
        <v>39</v>
      </c>
      <c r="U77" s="52" t="s">
        <v>39</v>
      </c>
      <c r="V77" s="53">
        <v>45874</v>
      </c>
      <c r="W77" s="43"/>
      <c r="X77" s="43" t="s">
        <v>41</v>
      </c>
      <c r="AA77" s="43"/>
      <c r="AB77" s="43"/>
      <c r="AC77" s="54"/>
      <c r="AD77" s="55"/>
    </row>
    <row r="78" spans="1:30" hidden="1">
      <c r="A78" s="44" t="s">
        <v>42</v>
      </c>
      <c r="B78" s="45">
        <v>10008320</v>
      </c>
      <c r="C78" s="45" t="s">
        <v>397</v>
      </c>
      <c r="D78" s="45" t="s">
        <v>398</v>
      </c>
      <c r="E78" s="46">
        <v>1300012855</v>
      </c>
      <c r="F78" s="45" t="s">
        <v>45</v>
      </c>
      <c r="G78" s="45" t="s">
        <v>46</v>
      </c>
      <c r="H78" s="45" t="s">
        <v>399</v>
      </c>
      <c r="I78" s="45" t="s">
        <v>400</v>
      </c>
      <c r="J78" s="45" t="s">
        <v>49</v>
      </c>
      <c r="K78" s="47" t="s">
        <v>37</v>
      </c>
      <c r="L78" s="46"/>
      <c r="M78" s="47" t="s">
        <v>401</v>
      </c>
      <c r="N78" s="48" t="s">
        <v>51</v>
      </c>
      <c r="O78" s="49">
        <v>2.5</v>
      </c>
      <c r="P78" s="50">
        <v>3</v>
      </c>
      <c r="Q78" s="51">
        <v>215600</v>
      </c>
      <c r="R78" s="51">
        <f>Tabla2[[#This Row],[Unitario]]*Tabla2[[#This Row],[Postes]]</f>
        <v>646800</v>
      </c>
      <c r="S78" s="51">
        <f>Tabla2[[#This Row],[Valor Total]]*1.19</f>
        <v>769692</v>
      </c>
      <c r="T78" s="52" t="s">
        <v>39</v>
      </c>
      <c r="U78" s="52" t="s">
        <v>39</v>
      </c>
      <c r="V78" s="53">
        <v>45905</v>
      </c>
      <c r="W78" s="43"/>
      <c r="X78" s="43" t="s">
        <v>41</v>
      </c>
      <c r="AA78" s="43"/>
      <c r="AB78" s="43"/>
      <c r="AC78" s="54"/>
      <c r="AD78" s="55"/>
    </row>
    <row r="79" spans="1:30" hidden="1">
      <c r="A79" s="44" t="s">
        <v>64</v>
      </c>
      <c r="B79" s="45">
        <v>10008608</v>
      </c>
      <c r="C79" s="45" t="s">
        <v>402</v>
      </c>
      <c r="D79" s="45" t="s">
        <v>403</v>
      </c>
      <c r="E79" s="46">
        <v>1300012783</v>
      </c>
      <c r="F79" s="45" t="s">
        <v>45</v>
      </c>
      <c r="G79" s="45" t="s">
        <v>67</v>
      </c>
      <c r="H79" s="45" t="s">
        <v>404</v>
      </c>
      <c r="I79" s="45" t="s">
        <v>405</v>
      </c>
      <c r="J79" s="45" t="s">
        <v>49</v>
      </c>
      <c r="K79" s="47" t="s">
        <v>37</v>
      </c>
      <c r="L79" s="46"/>
      <c r="M79" s="48" t="s">
        <v>406</v>
      </c>
      <c r="N79" s="48" t="s">
        <v>51</v>
      </c>
      <c r="O79" s="49">
        <v>3.0209999999999999</v>
      </c>
      <c r="P79" s="50">
        <v>4</v>
      </c>
      <c r="Q79" s="51">
        <v>215600</v>
      </c>
      <c r="R79" s="51">
        <f>Tabla2[[#This Row],[Unitario]]*Tabla2[[#This Row],[Postes]]</f>
        <v>862400</v>
      </c>
      <c r="S79" s="51">
        <f>Tabla2[[#This Row],[Valor Total]]*1.19</f>
        <v>1026256</v>
      </c>
      <c r="T79" s="52" t="s">
        <v>39</v>
      </c>
      <c r="U79" s="52" t="s">
        <v>39</v>
      </c>
      <c r="V79" s="53">
        <v>45843</v>
      </c>
      <c r="W79" s="43"/>
      <c r="X79" s="43" t="s">
        <v>41</v>
      </c>
      <c r="AA79" s="43"/>
      <c r="AB79" s="43"/>
      <c r="AC79" s="54"/>
      <c r="AD79" s="55"/>
    </row>
    <row r="80" spans="1:30" hidden="1">
      <c r="A80" s="44" t="s">
        <v>57</v>
      </c>
      <c r="B80" s="45">
        <v>10008617</v>
      </c>
      <c r="C80" s="45" t="s">
        <v>407</v>
      </c>
      <c r="D80" s="45" t="s">
        <v>408</v>
      </c>
      <c r="E80" s="46">
        <v>1300012662</v>
      </c>
      <c r="F80" s="45" t="s">
        <v>45</v>
      </c>
      <c r="G80" s="45" t="s">
        <v>60</v>
      </c>
      <c r="H80" s="45" t="s">
        <v>409</v>
      </c>
      <c r="I80" s="45" t="s">
        <v>410</v>
      </c>
      <c r="J80" s="45" t="s">
        <v>49</v>
      </c>
      <c r="K80" s="47" t="s">
        <v>37</v>
      </c>
      <c r="L80" s="46"/>
      <c r="M80" s="48" t="s">
        <v>411</v>
      </c>
      <c r="N80" s="48" t="s">
        <v>51</v>
      </c>
      <c r="O80" s="49">
        <v>23.927</v>
      </c>
      <c r="P80" s="50">
        <v>24</v>
      </c>
      <c r="Q80" s="51">
        <v>215600</v>
      </c>
      <c r="R80" s="51">
        <f>Tabla2[[#This Row],[Unitario]]*Tabla2[[#This Row],[Postes]]</f>
        <v>5174400</v>
      </c>
      <c r="S80" s="51">
        <f>Tabla2[[#This Row],[Valor Total]]*1.19</f>
        <v>6157536</v>
      </c>
      <c r="T80" s="52" t="s">
        <v>39</v>
      </c>
      <c r="U80" s="52" t="s">
        <v>39</v>
      </c>
      <c r="V80" s="53">
        <v>45843</v>
      </c>
      <c r="W80" s="43"/>
      <c r="X80" s="43" t="s">
        <v>41</v>
      </c>
      <c r="AA80" s="43"/>
      <c r="AB80" s="43"/>
      <c r="AC80" s="54"/>
      <c r="AD80" s="55"/>
    </row>
    <row r="81" spans="1:30" hidden="1">
      <c r="A81" s="44" t="s">
        <v>42</v>
      </c>
      <c r="B81" s="45">
        <v>10008318</v>
      </c>
      <c r="C81" s="45" t="s">
        <v>412</v>
      </c>
      <c r="D81" s="45" t="s">
        <v>413</v>
      </c>
      <c r="E81" s="46">
        <v>1300012853</v>
      </c>
      <c r="F81" s="45" t="s">
        <v>45</v>
      </c>
      <c r="G81" s="45" t="s">
        <v>46</v>
      </c>
      <c r="H81" s="45" t="s">
        <v>414</v>
      </c>
      <c r="I81" s="45" t="s">
        <v>415</v>
      </c>
      <c r="J81" s="45" t="s">
        <v>49</v>
      </c>
      <c r="K81" s="47" t="s">
        <v>37</v>
      </c>
      <c r="L81" s="46"/>
      <c r="M81" s="47" t="s">
        <v>416</v>
      </c>
      <c r="N81" s="48" t="s">
        <v>51</v>
      </c>
      <c r="O81" s="49">
        <v>0.02</v>
      </c>
      <c r="P81" s="50">
        <v>1</v>
      </c>
      <c r="Q81" s="51">
        <v>215600</v>
      </c>
      <c r="R81" s="51">
        <f>Tabla2[[#This Row],[Unitario]]*Tabla2[[#This Row],[Postes]]</f>
        <v>215600</v>
      </c>
      <c r="S81" s="51">
        <f>Tabla2[[#This Row],[Valor Total]]*1.19</f>
        <v>256564</v>
      </c>
      <c r="T81" s="52" t="s">
        <v>39</v>
      </c>
      <c r="U81" s="52" t="s">
        <v>39</v>
      </c>
      <c r="V81" s="53">
        <v>45905</v>
      </c>
      <c r="W81" s="43"/>
      <c r="X81" s="43" t="s">
        <v>41</v>
      </c>
      <c r="AA81" s="43"/>
      <c r="AB81" s="43"/>
      <c r="AC81" s="54"/>
      <c r="AD81" s="55"/>
    </row>
    <row r="82" spans="1:30" hidden="1">
      <c r="A82" s="44" t="s">
        <v>42</v>
      </c>
      <c r="B82" s="45">
        <v>10008319</v>
      </c>
      <c r="C82" s="45" t="s">
        <v>417</v>
      </c>
      <c r="D82" s="45" t="s">
        <v>418</v>
      </c>
      <c r="E82" s="46">
        <v>1300012854</v>
      </c>
      <c r="F82" s="45" t="s">
        <v>45</v>
      </c>
      <c r="G82" s="45" t="s">
        <v>46</v>
      </c>
      <c r="H82" s="45" t="s">
        <v>419</v>
      </c>
      <c r="I82" s="45" t="s">
        <v>420</v>
      </c>
      <c r="J82" s="45" t="s">
        <v>49</v>
      </c>
      <c r="K82" s="47" t="s">
        <v>37</v>
      </c>
      <c r="L82" s="46"/>
      <c r="M82" s="47" t="s">
        <v>421</v>
      </c>
      <c r="N82" s="48" t="s">
        <v>51</v>
      </c>
      <c r="O82" s="49">
        <v>0.02</v>
      </c>
      <c r="P82" s="50">
        <v>1</v>
      </c>
      <c r="Q82" s="51">
        <v>215600</v>
      </c>
      <c r="R82" s="51">
        <f>Tabla2[[#This Row],[Unitario]]*Tabla2[[#This Row],[Postes]]</f>
        <v>215600</v>
      </c>
      <c r="S82" s="51">
        <f>Tabla2[[#This Row],[Valor Total]]*1.19</f>
        <v>256564</v>
      </c>
      <c r="T82" s="52" t="s">
        <v>39</v>
      </c>
      <c r="U82" s="52" t="s">
        <v>39</v>
      </c>
      <c r="V82" s="53">
        <v>45905</v>
      </c>
      <c r="W82" s="43"/>
      <c r="X82" s="43" t="s">
        <v>41</v>
      </c>
      <c r="AA82" s="43"/>
      <c r="AB82" s="43"/>
      <c r="AC82" s="54"/>
      <c r="AD82" s="55"/>
    </row>
    <row r="83" spans="1:30" hidden="1">
      <c r="A83" s="44" t="s">
        <v>64</v>
      </c>
      <c r="B83" s="45">
        <v>10008614</v>
      </c>
      <c r="C83" s="45" t="s">
        <v>422</v>
      </c>
      <c r="D83" s="45" t="s">
        <v>423</v>
      </c>
      <c r="E83" s="46">
        <v>1300012786</v>
      </c>
      <c r="F83" s="45" t="s">
        <v>45</v>
      </c>
      <c r="G83" s="45" t="s">
        <v>67</v>
      </c>
      <c r="H83" s="45" t="s">
        <v>424</v>
      </c>
      <c r="I83" s="45" t="s">
        <v>425</v>
      </c>
      <c r="J83" s="45" t="s">
        <v>49</v>
      </c>
      <c r="K83" s="47" t="s">
        <v>37</v>
      </c>
      <c r="L83" s="46"/>
      <c r="M83" s="48" t="s">
        <v>426</v>
      </c>
      <c r="N83" s="48" t="s">
        <v>51</v>
      </c>
      <c r="O83" s="49">
        <v>15.773999999999999</v>
      </c>
      <c r="P83" s="50">
        <v>17</v>
      </c>
      <c r="Q83" s="51">
        <v>215600</v>
      </c>
      <c r="R83" s="51">
        <f>Tabla2[[#This Row],[Unitario]]*Tabla2[[#This Row],[Postes]]</f>
        <v>3665200</v>
      </c>
      <c r="S83" s="51">
        <f>Tabla2[[#This Row],[Valor Total]]*1.19</f>
        <v>4361588</v>
      </c>
      <c r="T83" s="52" t="s">
        <v>39</v>
      </c>
      <c r="U83" s="52" t="s">
        <v>39</v>
      </c>
      <c r="V83" s="53">
        <v>45843</v>
      </c>
      <c r="W83" s="43"/>
      <c r="X83" s="43" t="s">
        <v>41</v>
      </c>
      <c r="AA83" s="43"/>
      <c r="AB83" s="43"/>
      <c r="AC83" s="54"/>
      <c r="AD83" s="55"/>
    </row>
    <row r="84" spans="1:30" hidden="1">
      <c r="A84" s="44" t="s">
        <v>42</v>
      </c>
      <c r="B84" s="45">
        <v>10008315</v>
      </c>
      <c r="C84" s="45" t="s">
        <v>427</v>
      </c>
      <c r="D84" s="45" t="s">
        <v>428</v>
      </c>
      <c r="E84" s="46">
        <v>1300012850</v>
      </c>
      <c r="F84" s="45" t="s">
        <v>45</v>
      </c>
      <c r="G84" s="45" t="s">
        <v>46</v>
      </c>
      <c r="H84" s="45" t="s">
        <v>429</v>
      </c>
      <c r="I84" s="45" t="s">
        <v>430</v>
      </c>
      <c r="J84" s="45" t="s">
        <v>49</v>
      </c>
      <c r="K84" s="47" t="s">
        <v>37</v>
      </c>
      <c r="L84" s="46"/>
      <c r="M84" s="47" t="s">
        <v>431</v>
      </c>
      <c r="N84" s="48" t="s">
        <v>51</v>
      </c>
      <c r="O84" s="49">
        <v>0.78300000000000003</v>
      </c>
      <c r="P84" s="50">
        <v>3</v>
      </c>
      <c r="Q84" s="51">
        <v>215600</v>
      </c>
      <c r="R84" s="51">
        <f>Tabla2[[#This Row],[Unitario]]*Tabla2[[#This Row],[Postes]]</f>
        <v>646800</v>
      </c>
      <c r="S84" s="51">
        <f>Tabla2[[#This Row],[Valor Total]]*1.19</f>
        <v>769692</v>
      </c>
      <c r="T84" s="52" t="s">
        <v>39</v>
      </c>
      <c r="U84" s="52" t="s">
        <v>39</v>
      </c>
      <c r="V84" s="53">
        <v>45905</v>
      </c>
      <c r="W84" s="43"/>
      <c r="X84" s="43" t="s">
        <v>41</v>
      </c>
      <c r="AA84" s="43"/>
      <c r="AB84" s="43"/>
      <c r="AC84" s="54"/>
      <c r="AD84" s="55"/>
    </row>
    <row r="85" spans="1:30" hidden="1">
      <c r="A85" s="44" t="s">
        <v>57</v>
      </c>
      <c r="B85" s="45">
        <v>10008623</v>
      </c>
      <c r="C85" s="45" t="s">
        <v>432</v>
      </c>
      <c r="D85" s="45" t="s">
        <v>433</v>
      </c>
      <c r="E85" s="46">
        <v>1300012975</v>
      </c>
      <c r="F85" s="45" t="s">
        <v>45</v>
      </c>
      <c r="G85" s="45" t="s">
        <v>60</v>
      </c>
      <c r="H85" s="45" t="s">
        <v>434</v>
      </c>
      <c r="I85" s="45" t="s">
        <v>435</v>
      </c>
      <c r="J85" s="45" t="s">
        <v>49</v>
      </c>
      <c r="K85" s="47" t="s">
        <v>37</v>
      </c>
      <c r="L85" s="46"/>
      <c r="M85" s="48" t="s">
        <v>436</v>
      </c>
      <c r="N85" s="48" t="s">
        <v>51</v>
      </c>
      <c r="O85" s="49">
        <v>1.113</v>
      </c>
      <c r="P85" s="50">
        <v>3</v>
      </c>
      <c r="Q85" s="51">
        <v>215600</v>
      </c>
      <c r="R85" s="51">
        <f>Tabla2[[#This Row],[Unitario]]*Tabla2[[#This Row],[Postes]]</f>
        <v>646800</v>
      </c>
      <c r="S85" s="51">
        <f>Tabla2[[#This Row],[Valor Total]]*1.19</f>
        <v>769692</v>
      </c>
      <c r="T85" s="52" t="s">
        <v>39</v>
      </c>
      <c r="U85" s="52" t="s">
        <v>39</v>
      </c>
      <c r="V85" s="53">
        <v>45874</v>
      </c>
      <c r="W85" s="43"/>
      <c r="X85" s="43" t="s">
        <v>41</v>
      </c>
      <c r="AA85" s="43"/>
      <c r="AB85" s="43"/>
      <c r="AC85" s="54"/>
      <c r="AD85" s="55"/>
    </row>
    <row r="86" spans="1:30" hidden="1">
      <c r="A86" s="44" t="s">
        <v>358</v>
      </c>
      <c r="B86" s="45">
        <v>10008287</v>
      </c>
      <c r="C86" s="45" t="s">
        <v>437</v>
      </c>
      <c r="D86" s="45" t="s">
        <v>438</v>
      </c>
      <c r="E86" s="46">
        <v>1300011874</v>
      </c>
      <c r="F86" s="45" t="s">
        <v>45</v>
      </c>
      <c r="G86" s="45" t="s">
        <v>360</v>
      </c>
      <c r="H86" s="45" t="s">
        <v>439</v>
      </c>
      <c r="I86" s="45" t="s">
        <v>440</v>
      </c>
      <c r="J86" s="45" t="s">
        <v>49</v>
      </c>
      <c r="K86" s="47" t="s">
        <v>37</v>
      </c>
      <c r="L86" s="46"/>
      <c r="M86" s="47" t="s">
        <v>441</v>
      </c>
      <c r="N86" s="48" t="s">
        <v>222</v>
      </c>
      <c r="O86" s="49">
        <v>59.8</v>
      </c>
      <c r="P86" s="50">
        <v>66</v>
      </c>
      <c r="Q86" s="51">
        <v>215600</v>
      </c>
      <c r="R86" s="51">
        <f>Tabla2[[#This Row],[Unitario]]*Tabla2[[#This Row],[Postes]]</f>
        <v>14229600</v>
      </c>
      <c r="S86" s="51">
        <f>Tabla2[[#This Row],[Valor Total]]*1.19</f>
        <v>16933224</v>
      </c>
      <c r="T86" s="52" t="s">
        <v>39</v>
      </c>
      <c r="U86" s="52" t="s">
        <v>364</v>
      </c>
      <c r="V86" s="53">
        <v>45874</v>
      </c>
      <c r="W86" s="43"/>
      <c r="X86" s="43" t="s">
        <v>41</v>
      </c>
      <c r="AA86" s="43"/>
      <c r="AB86" s="43"/>
      <c r="AC86" s="54"/>
      <c r="AD86" s="55"/>
    </row>
    <row r="87" spans="1:30" s="70" customFormat="1" hidden="1">
      <c r="A87" s="60" t="s">
        <v>30</v>
      </c>
      <c r="B87" s="45">
        <v>10008366</v>
      </c>
      <c r="C87" s="45" t="s">
        <v>442</v>
      </c>
      <c r="D87" s="45" t="s">
        <v>443</v>
      </c>
      <c r="E87" s="61">
        <v>1300009590</v>
      </c>
      <c r="F87" s="45" t="s">
        <v>45</v>
      </c>
      <c r="G87" s="45" t="s">
        <v>33</v>
      </c>
      <c r="H87" s="45" t="s">
        <v>444</v>
      </c>
      <c r="I87" s="45" t="s">
        <v>445</v>
      </c>
      <c r="J87" s="62" t="s">
        <v>49</v>
      </c>
      <c r="K87" s="47" t="s">
        <v>37</v>
      </c>
      <c r="L87" s="63">
        <v>10008366</v>
      </c>
      <c r="M87" s="89" t="s">
        <v>446</v>
      </c>
      <c r="N87" s="65" t="s">
        <v>51</v>
      </c>
      <c r="O87" s="66"/>
      <c r="P87" s="65"/>
      <c r="Q87" s="67"/>
      <c r="R87" s="68"/>
      <c r="S87" s="68">
        <v>0</v>
      </c>
      <c r="T87" s="65" t="s">
        <v>39</v>
      </c>
      <c r="U87" s="48" t="s">
        <v>40</v>
      </c>
      <c r="V87" s="69">
        <v>45874</v>
      </c>
      <c r="X87" s="70" t="s">
        <v>41</v>
      </c>
      <c r="AC87" s="54"/>
      <c r="AD87" s="55"/>
    </row>
    <row r="88" spans="1:30" hidden="1">
      <c r="A88" s="44" t="s">
        <v>57</v>
      </c>
      <c r="B88" s="45">
        <v>10008602</v>
      </c>
      <c r="C88" s="45" t="s">
        <v>447</v>
      </c>
      <c r="D88" s="45" t="s">
        <v>448</v>
      </c>
      <c r="E88" s="46">
        <v>1300012660</v>
      </c>
      <c r="F88" s="45" t="s">
        <v>45</v>
      </c>
      <c r="G88" s="45" t="s">
        <v>67</v>
      </c>
      <c r="H88" s="45" t="s">
        <v>449</v>
      </c>
      <c r="I88" s="45" t="s">
        <v>450</v>
      </c>
      <c r="J88" s="45" t="s">
        <v>49</v>
      </c>
      <c r="K88" s="47" t="s">
        <v>37</v>
      </c>
      <c r="L88" s="46"/>
      <c r="M88" s="48" t="s">
        <v>451</v>
      </c>
      <c r="N88" s="48" t="s">
        <v>51</v>
      </c>
      <c r="O88" s="49">
        <v>13.920999999999999</v>
      </c>
      <c r="P88" s="50">
        <v>16</v>
      </c>
      <c r="Q88" s="51">
        <v>215600</v>
      </c>
      <c r="R88" s="51">
        <f>Tabla2[[#This Row],[Unitario]]*Tabla2[[#This Row],[Postes]]</f>
        <v>3449600</v>
      </c>
      <c r="S88" s="51">
        <f>Tabla2[[#This Row],[Valor Total]]*1.19</f>
        <v>4105024</v>
      </c>
      <c r="T88" s="52" t="s">
        <v>39</v>
      </c>
      <c r="U88" s="52" t="s">
        <v>39</v>
      </c>
      <c r="V88" s="53">
        <v>45843</v>
      </c>
      <c r="W88" s="43"/>
      <c r="X88" s="43" t="s">
        <v>41</v>
      </c>
      <c r="AA88" s="43"/>
      <c r="AB88" s="43"/>
      <c r="AC88" s="54"/>
      <c r="AD88" s="55"/>
    </row>
    <row r="89" spans="1:30" hidden="1">
      <c r="A89" s="44" t="s">
        <v>30</v>
      </c>
      <c r="B89" s="45">
        <v>10015404</v>
      </c>
      <c r="C89" s="45" t="s">
        <v>452</v>
      </c>
      <c r="D89" s="45" t="s">
        <v>452</v>
      </c>
      <c r="E89" s="46">
        <v>1300012998</v>
      </c>
      <c r="F89" s="45" t="s">
        <v>32</v>
      </c>
      <c r="G89" s="45" t="s">
        <v>33</v>
      </c>
      <c r="H89" s="45" t="s">
        <v>453</v>
      </c>
      <c r="I89" s="45" t="s">
        <v>454</v>
      </c>
      <c r="J89" s="45" t="s">
        <v>36</v>
      </c>
      <c r="K89" s="47" t="s">
        <v>37</v>
      </c>
      <c r="L89" s="46"/>
      <c r="M89" s="47" t="s">
        <v>455</v>
      </c>
      <c r="N89" s="48"/>
      <c r="O89" s="49">
        <v>1</v>
      </c>
      <c r="P89" s="50"/>
      <c r="Q89" s="51">
        <v>1400000</v>
      </c>
      <c r="R89" s="51">
        <f>Tabla2[[#This Row],[Unitario]]*Tabla2[[#This Row],[Unidad '[Km']]]</f>
        <v>1400000</v>
      </c>
      <c r="S89" s="51">
        <f>Tabla2[[#This Row],[Valor Total]]*1.19</f>
        <v>1666000</v>
      </c>
      <c r="T89" s="52" t="s">
        <v>39</v>
      </c>
      <c r="U89" s="52" t="s">
        <v>40</v>
      </c>
      <c r="V89" s="53">
        <v>45903</v>
      </c>
      <c r="W89" s="43"/>
      <c r="X89" s="43" t="s">
        <v>41</v>
      </c>
      <c r="AA89" s="43"/>
      <c r="AB89" s="43"/>
      <c r="AC89" s="54"/>
      <c r="AD89" s="55"/>
    </row>
    <row r="90" spans="1:30" hidden="1">
      <c r="A90" s="44" t="s">
        <v>30</v>
      </c>
      <c r="B90" s="45">
        <v>10015405</v>
      </c>
      <c r="C90" s="45" t="s">
        <v>456</v>
      </c>
      <c r="D90" s="45" t="s">
        <v>456</v>
      </c>
      <c r="E90" s="46">
        <v>1300012999</v>
      </c>
      <c r="F90" s="45" t="s">
        <v>32</v>
      </c>
      <c r="G90" s="45" t="s">
        <v>33</v>
      </c>
      <c r="H90" s="45" t="s">
        <v>457</v>
      </c>
      <c r="I90" s="45" t="s">
        <v>458</v>
      </c>
      <c r="J90" s="45" t="s">
        <v>36</v>
      </c>
      <c r="K90" s="47" t="s">
        <v>37</v>
      </c>
      <c r="L90" s="46"/>
      <c r="M90" s="47" t="s">
        <v>459</v>
      </c>
      <c r="N90" s="48"/>
      <c r="O90" s="49">
        <v>1</v>
      </c>
      <c r="P90" s="50"/>
      <c r="Q90" s="51">
        <v>1400000</v>
      </c>
      <c r="R90" s="51">
        <f>Tabla2[[#This Row],[Unitario]]*Tabla2[[#This Row],[Unidad '[Km']]]</f>
        <v>1400000</v>
      </c>
      <c r="S90" s="51">
        <f>Tabla2[[#This Row],[Valor Total]]*1.19</f>
        <v>1666000</v>
      </c>
      <c r="T90" s="52" t="s">
        <v>39</v>
      </c>
      <c r="U90" s="52" t="s">
        <v>40</v>
      </c>
      <c r="V90" s="53">
        <v>45903</v>
      </c>
      <c r="W90" s="43"/>
      <c r="X90" s="43" t="s">
        <v>41</v>
      </c>
      <c r="AA90" s="43"/>
      <c r="AB90" s="43"/>
      <c r="AC90" s="54"/>
      <c r="AD90" s="55"/>
    </row>
    <row r="91" spans="1:30" hidden="1">
      <c r="A91" s="44" t="s">
        <v>30</v>
      </c>
      <c r="B91" s="45">
        <v>10015408</v>
      </c>
      <c r="C91" s="45" t="s">
        <v>460</v>
      </c>
      <c r="D91" s="45" t="s">
        <v>460</v>
      </c>
      <c r="E91" s="46">
        <v>1300013001</v>
      </c>
      <c r="F91" s="45" t="s">
        <v>32</v>
      </c>
      <c r="G91" s="45" t="s">
        <v>33</v>
      </c>
      <c r="H91" s="45" t="s">
        <v>461</v>
      </c>
      <c r="I91" s="45" t="s">
        <v>462</v>
      </c>
      <c r="J91" s="45" t="s">
        <v>36</v>
      </c>
      <c r="K91" s="47" t="s">
        <v>37</v>
      </c>
      <c r="L91" s="46"/>
      <c r="M91" s="47" t="s">
        <v>463</v>
      </c>
      <c r="N91" s="48"/>
      <c r="O91" s="49">
        <v>1</v>
      </c>
      <c r="P91" s="50"/>
      <c r="Q91" s="51">
        <v>1400000</v>
      </c>
      <c r="R91" s="51">
        <f>Tabla2[[#This Row],[Unitario]]*Tabla2[[#This Row],[Unidad '[Km']]]</f>
        <v>1400000</v>
      </c>
      <c r="S91" s="51">
        <f>Tabla2[[#This Row],[Valor Total]]*1.19</f>
        <v>1666000</v>
      </c>
      <c r="T91" s="52" t="s">
        <v>39</v>
      </c>
      <c r="U91" s="52" t="s">
        <v>40</v>
      </c>
      <c r="V91" s="53">
        <v>45872</v>
      </c>
      <c r="W91" s="43"/>
      <c r="X91" s="43" t="s">
        <v>41</v>
      </c>
      <c r="AA91" s="43"/>
      <c r="AB91" s="43"/>
      <c r="AC91" s="54"/>
      <c r="AD91" s="55"/>
    </row>
    <row r="92" spans="1:30" hidden="1">
      <c r="A92" s="44" t="s">
        <v>64</v>
      </c>
      <c r="B92" s="45">
        <v>10008605</v>
      </c>
      <c r="C92" s="45" t="s">
        <v>464</v>
      </c>
      <c r="D92" s="45" t="s">
        <v>465</v>
      </c>
      <c r="E92" s="46">
        <v>1300012780</v>
      </c>
      <c r="F92" s="45" t="s">
        <v>45</v>
      </c>
      <c r="G92" s="45" t="s">
        <v>67</v>
      </c>
      <c r="H92" s="45" t="s">
        <v>466</v>
      </c>
      <c r="I92" s="45" t="s">
        <v>467</v>
      </c>
      <c r="J92" s="45" t="s">
        <v>49</v>
      </c>
      <c r="K92" s="47" t="s">
        <v>37</v>
      </c>
      <c r="L92" s="46"/>
      <c r="M92" s="48" t="s">
        <v>468</v>
      </c>
      <c r="N92" s="48" t="s">
        <v>51</v>
      </c>
      <c r="O92" s="49">
        <v>2.2029999999999998</v>
      </c>
      <c r="P92" s="50">
        <v>3</v>
      </c>
      <c r="Q92" s="51">
        <v>215600</v>
      </c>
      <c r="R92" s="51">
        <f>Tabla2[[#This Row],[Unitario]]*Tabla2[[#This Row],[Postes]]</f>
        <v>646800</v>
      </c>
      <c r="S92" s="51">
        <f>Tabla2[[#This Row],[Valor Total]]*1.19</f>
        <v>769692</v>
      </c>
      <c r="T92" s="52" t="s">
        <v>39</v>
      </c>
      <c r="U92" s="52" t="s">
        <v>39</v>
      </c>
      <c r="V92" s="53">
        <v>45843</v>
      </c>
      <c r="W92" s="43"/>
      <c r="X92" s="43" t="s">
        <v>41</v>
      </c>
      <c r="AA92" s="43"/>
      <c r="AB92" s="43"/>
      <c r="AC92" s="54"/>
      <c r="AD92" s="55"/>
    </row>
    <row r="93" spans="1:30" hidden="1">
      <c r="A93" s="44" t="s">
        <v>358</v>
      </c>
      <c r="B93" s="45">
        <v>10008995</v>
      </c>
      <c r="C93" s="45" t="s">
        <v>469</v>
      </c>
      <c r="D93" s="45" t="s">
        <v>469</v>
      </c>
      <c r="E93" s="46">
        <v>1300012989</v>
      </c>
      <c r="F93" s="45" t="s">
        <v>217</v>
      </c>
      <c r="G93" s="45" t="s">
        <v>360</v>
      </c>
      <c r="H93" s="45" t="s">
        <v>470</v>
      </c>
      <c r="I93" s="45" t="s">
        <v>471</v>
      </c>
      <c r="J93" s="45" t="s">
        <v>220</v>
      </c>
      <c r="K93" s="47" t="s">
        <v>37</v>
      </c>
      <c r="L93" s="46"/>
      <c r="M93" s="47" t="s">
        <v>472</v>
      </c>
      <c r="N93" s="48" t="s">
        <v>51</v>
      </c>
      <c r="O93" s="49">
        <v>0.2</v>
      </c>
      <c r="P93" s="50">
        <v>2</v>
      </c>
      <c r="Q93" s="51">
        <v>840000</v>
      </c>
      <c r="R93" s="51">
        <f>Tabla2[[#This Row],[Unitario]]*Tabla2[[#This Row],[Unidad '[Km']]]</f>
        <v>168000</v>
      </c>
      <c r="S93" s="51">
        <f>Tabla2[[#This Row],[Valor Total]]*1.19</f>
        <v>199920</v>
      </c>
      <c r="T93" s="52" t="s">
        <v>39</v>
      </c>
      <c r="U93" s="52" t="s">
        <v>364</v>
      </c>
      <c r="V93" s="53">
        <v>45843</v>
      </c>
      <c r="W93" s="43"/>
      <c r="X93" s="43" t="s">
        <v>41</v>
      </c>
      <c r="AA93" s="43" t="s">
        <v>223</v>
      </c>
      <c r="AB93" s="43"/>
      <c r="AC93" s="54"/>
      <c r="AD93" s="55"/>
    </row>
    <row r="94" spans="1:30" hidden="1">
      <c r="A94" s="44" t="s">
        <v>358</v>
      </c>
      <c r="B94" s="45">
        <v>10008288</v>
      </c>
      <c r="C94" s="45" t="s">
        <v>473</v>
      </c>
      <c r="D94" s="45" t="s">
        <v>474</v>
      </c>
      <c r="E94" s="46">
        <v>1300011875</v>
      </c>
      <c r="F94" s="45" t="s">
        <v>45</v>
      </c>
      <c r="G94" s="45" t="s">
        <v>360</v>
      </c>
      <c r="H94" s="45" t="s">
        <v>470</v>
      </c>
      <c r="I94" s="45" t="s">
        <v>471</v>
      </c>
      <c r="J94" s="45" t="s">
        <v>49</v>
      </c>
      <c r="K94" s="47" t="s">
        <v>37</v>
      </c>
      <c r="L94" s="46"/>
      <c r="M94" s="72" t="s">
        <v>472</v>
      </c>
      <c r="N94" s="48" t="s">
        <v>51</v>
      </c>
      <c r="O94" s="49">
        <v>0.2</v>
      </c>
      <c r="P94" s="50">
        <v>2</v>
      </c>
      <c r="Q94" s="51">
        <v>215600</v>
      </c>
      <c r="R94" s="51">
        <f>Tabla2[[#This Row],[Unitario]]*Tabla2[[#This Row],[Postes]]</f>
        <v>431200</v>
      </c>
      <c r="S94" s="51">
        <f>Tabla2[[#This Row],[Valor Total]]*1.19</f>
        <v>513128</v>
      </c>
      <c r="T94" s="52" t="s">
        <v>39</v>
      </c>
      <c r="U94" s="52" t="s">
        <v>364</v>
      </c>
      <c r="V94" s="53">
        <v>45874</v>
      </c>
      <c r="W94" s="43"/>
      <c r="X94" s="43" t="s">
        <v>41</v>
      </c>
      <c r="AA94" s="43"/>
      <c r="AB94" s="43"/>
      <c r="AC94" s="54"/>
      <c r="AD94" s="55"/>
    </row>
    <row r="95" spans="1:30" hidden="1">
      <c r="A95" s="44" t="s">
        <v>57</v>
      </c>
      <c r="B95" s="45">
        <v>10008649</v>
      </c>
      <c r="C95" s="45" t="s">
        <v>475</v>
      </c>
      <c r="D95" s="45" t="s">
        <v>476</v>
      </c>
      <c r="E95" s="46">
        <v>1300012987</v>
      </c>
      <c r="F95" s="45" t="s">
        <v>45</v>
      </c>
      <c r="G95" s="45" t="s">
        <v>60</v>
      </c>
      <c r="H95" s="45" t="s">
        <v>477</v>
      </c>
      <c r="I95" s="45" t="s">
        <v>478</v>
      </c>
      <c r="J95" s="45" t="s">
        <v>49</v>
      </c>
      <c r="K95" s="47" t="s">
        <v>37</v>
      </c>
      <c r="L95" s="46"/>
      <c r="M95" s="48" t="s">
        <v>479</v>
      </c>
      <c r="N95" s="48" t="s">
        <v>51</v>
      </c>
      <c r="O95" s="49">
        <v>0.35599999999999998</v>
      </c>
      <c r="P95" s="50">
        <v>2</v>
      </c>
      <c r="Q95" s="51">
        <v>215600</v>
      </c>
      <c r="R95" s="51">
        <f>Tabla2[[#This Row],[Unitario]]*Tabla2[[#This Row],[Postes]]</f>
        <v>431200</v>
      </c>
      <c r="S95" s="51">
        <f>Tabla2[[#This Row],[Valor Total]]*1.19</f>
        <v>513128</v>
      </c>
      <c r="T95" s="52" t="s">
        <v>39</v>
      </c>
      <c r="U95" s="52" t="s">
        <v>39</v>
      </c>
      <c r="V95" s="53">
        <v>45874</v>
      </c>
      <c r="W95" s="43"/>
      <c r="X95" s="43" t="s">
        <v>41</v>
      </c>
      <c r="AA95" s="43"/>
      <c r="AB95" s="43"/>
      <c r="AC95" s="54"/>
      <c r="AD95" s="55"/>
    </row>
    <row r="96" spans="1:30" hidden="1">
      <c r="A96" s="44" t="s">
        <v>57</v>
      </c>
      <c r="B96" s="45">
        <v>10008646</v>
      </c>
      <c r="C96" s="45" t="s">
        <v>480</v>
      </c>
      <c r="D96" s="45" t="s">
        <v>481</v>
      </c>
      <c r="E96" s="46">
        <v>1300012986</v>
      </c>
      <c r="F96" s="45" t="s">
        <v>45</v>
      </c>
      <c r="G96" s="45" t="s">
        <v>60</v>
      </c>
      <c r="H96" s="45" t="s">
        <v>482</v>
      </c>
      <c r="I96" s="45" t="s">
        <v>483</v>
      </c>
      <c r="J96" s="45" t="s">
        <v>49</v>
      </c>
      <c r="K96" s="47" t="s">
        <v>37</v>
      </c>
      <c r="L96" s="46"/>
      <c r="M96" s="48" t="s">
        <v>484</v>
      </c>
      <c r="N96" s="48" t="s">
        <v>51</v>
      </c>
      <c r="O96" s="49">
        <v>0.16600000000000001</v>
      </c>
      <c r="P96" s="50">
        <v>2</v>
      </c>
      <c r="Q96" s="51">
        <v>215600</v>
      </c>
      <c r="R96" s="51">
        <f>Tabla2[[#This Row],[Unitario]]*Tabla2[[#This Row],[Postes]]</f>
        <v>431200</v>
      </c>
      <c r="S96" s="51">
        <f>Tabla2[[#This Row],[Valor Total]]*1.19</f>
        <v>513128</v>
      </c>
      <c r="T96" s="52" t="s">
        <v>39</v>
      </c>
      <c r="U96" s="52" t="s">
        <v>39</v>
      </c>
      <c r="V96" s="53">
        <v>45874</v>
      </c>
      <c r="W96" s="43"/>
      <c r="X96" s="43" t="s">
        <v>41</v>
      </c>
      <c r="AA96" s="43"/>
      <c r="AB96" s="43"/>
      <c r="AC96" s="54"/>
      <c r="AD96" s="55"/>
    </row>
    <row r="97" spans="1:30" hidden="1">
      <c r="A97" s="44" t="s">
        <v>42</v>
      </c>
      <c r="B97" s="45">
        <v>10008334</v>
      </c>
      <c r="C97" s="45" t="s">
        <v>485</v>
      </c>
      <c r="D97" s="45" t="s">
        <v>486</v>
      </c>
      <c r="E97" s="46">
        <v>1300012864</v>
      </c>
      <c r="F97" s="45" t="s">
        <v>45</v>
      </c>
      <c r="G97" s="45" t="s">
        <v>46</v>
      </c>
      <c r="H97" s="45" t="s">
        <v>487</v>
      </c>
      <c r="I97" s="45" t="s">
        <v>488</v>
      </c>
      <c r="J97" s="45" t="s">
        <v>49</v>
      </c>
      <c r="K97" s="47" t="s">
        <v>37</v>
      </c>
      <c r="L97" s="46"/>
      <c r="M97" s="47" t="s">
        <v>489</v>
      </c>
      <c r="N97" s="48" t="s">
        <v>51</v>
      </c>
      <c r="O97" s="49">
        <v>1</v>
      </c>
      <c r="P97" s="50">
        <v>2</v>
      </c>
      <c r="Q97" s="51">
        <v>215600</v>
      </c>
      <c r="R97" s="51">
        <f>Tabla2[[#This Row],[Unitario]]*Tabla2[[#This Row],[Postes]]</f>
        <v>431200</v>
      </c>
      <c r="S97" s="51">
        <f>Tabla2[[#This Row],[Valor Total]]*1.19</f>
        <v>513128</v>
      </c>
      <c r="T97" s="52" t="s">
        <v>39</v>
      </c>
      <c r="U97" s="52" t="s">
        <v>39</v>
      </c>
      <c r="V97" s="53">
        <v>45905</v>
      </c>
      <c r="W97" s="43"/>
      <c r="X97" s="43" t="s">
        <v>41</v>
      </c>
      <c r="AA97" s="43"/>
      <c r="AB97" s="43"/>
      <c r="AC97" s="54"/>
      <c r="AD97" s="55"/>
    </row>
    <row r="98" spans="1:30" s="70" customFormat="1" hidden="1">
      <c r="A98" s="60" t="s">
        <v>57</v>
      </c>
      <c r="B98" s="62">
        <v>10008622</v>
      </c>
      <c r="C98" s="62" t="s">
        <v>490</v>
      </c>
      <c r="D98" s="62" t="s">
        <v>491</v>
      </c>
      <c r="E98" s="61">
        <v>1300012974</v>
      </c>
      <c r="F98" s="62" t="s">
        <v>45</v>
      </c>
      <c r="G98" s="62" t="s">
        <v>60</v>
      </c>
      <c r="H98" s="62" t="s">
        <v>492</v>
      </c>
      <c r="I98" s="62" t="s">
        <v>493</v>
      </c>
      <c r="J98" s="62" t="s">
        <v>49</v>
      </c>
      <c r="K98" s="72" t="s">
        <v>37</v>
      </c>
      <c r="L98" s="73">
        <v>10008622</v>
      </c>
      <c r="M98" s="74" t="s">
        <v>494</v>
      </c>
      <c r="N98" s="74" t="s">
        <v>222</v>
      </c>
      <c r="O98" s="75"/>
      <c r="P98" s="76"/>
      <c r="Q98" s="77"/>
      <c r="R98" s="77"/>
      <c r="S98" s="77">
        <v>0</v>
      </c>
      <c r="T98" s="65" t="s">
        <v>39</v>
      </c>
      <c r="U98" s="65" t="s">
        <v>39</v>
      </c>
      <c r="V98" s="69">
        <v>45874</v>
      </c>
      <c r="W98" s="69"/>
      <c r="X98" s="70" t="s">
        <v>41</v>
      </c>
      <c r="AC98" s="54"/>
      <c r="AD98" s="55"/>
    </row>
    <row r="99" spans="1:30" hidden="1">
      <c r="A99" s="44" t="s">
        <v>57</v>
      </c>
      <c r="B99" s="45">
        <v>10008622</v>
      </c>
      <c r="C99" s="45" t="s">
        <v>490</v>
      </c>
      <c r="D99" s="45" t="s">
        <v>495</v>
      </c>
      <c r="E99" s="46">
        <v>1300010984</v>
      </c>
      <c r="F99" s="45" t="s">
        <v>144</v>
      </c>
      <c r="G99" s="45" t="s">
        <v>60</v>
      </c>
      <c r="H99" s="45" t="s">
        <v>492</v>
      </c>
      <c r="I99" s="45" t="s">
        <v>493</v>
      </c>
      <c r="J99" s="45" t="s">
        <v>147</v>
      </c>
      <c r="K99" s="47" t="s">
        <v>37</v>
      </c>
      <c r="L99" s="63"/>
      <c r="M99" s="48" t="s">
        <v>494</v>
      </c>
      <c r="N99" s="48" t="s">
        <v>222</v>
      </c>
      <c r="O99" s="49">
        <v>75.649000000000001</v>
      </c>
      <c r="P99" s="50"/>
      <c r="Q99" s="51">
        <v>833000</v>
      </c>
      <c r="R99" s="51">
        <f>Tabla2[[#This Row],[Unitario]]*Tabla2[[#This Row],[Unidad '[Km']]]</f>
        <v>63015617</v>
      </c>
      <c r="S99" s="51">
        <f>Tabla2[[#This Row],[Valor Total]]*1.19</f>
        <v>74988584.229999989</v>
      </c>
      <c r="T99" s="52" t="s">
        <v>39</v>
      </c>
      <c r="U99" s="52" t="s">
        <v>39</v>
      </c>
      <c r="V99" s="53">
        <v>45874</v>
      </c>
      <c r="W99" s="43"/>
      <c r="X99" s="43" t="s">
        <v>41</v>
      </c>
      <c r="AA99" s="43" t="s">
        <v>149</v>
      </c>
      <c r="AB99" s="43"/>
      <c r="AC99" s="54"/>
      <c r="AD99" s="55"/>
    </row>
    <row r="100" spans="1:30" hidden="1">
      <c r="A100" s="44" t="s">
        <v>57</v>
      </c>
      <c r="B100" s="45">
        <v>10008597</v>
      </c>
      <c r="C100" s="45" t="s">
        <v>496</v>
      </c>
      <c r="D100" s="90" t="s">
        <v>497</v>
      </c>
      <c r="E100" s="46">
        <v>1300012973</v>
      </c>
      <c r="F100" s="45" t="s">
        <v>45</v>
      </c>
      <c r="G100" s="45" t="s">
        <v>60</v>
      </c>
      <c r="H100" s="45" t="s">
        <v>498</v>
      </c>
      <c r="I100" s="45" t="s">
        <v>499</v>
      </c>
      <c r="J100" s="45" t="s">
        <v>49</v>
      </c>
      <c r="K100" s="47" t="s">
        <v>37</v>
      </c>
      <c r="L100" s="46"/>
      <c r="M100" s="48" t="s">
        <v>500</v>
      </c>
      <c r="N100" s="48" t="s">
        <v>51</v>
      </c>
      <c r="O100" s="49">
        <v>0.01</v>
      </c>
      <c r="P100" s="50">
        <v>1</v>
      </c>
      <c r="Q100" s="51">
        <v>215600</v>
      </c>
      <c r="R100" s="51">
        <f>Tabla2[[#This Row],[Unitario]]*Tabla2[[#This Row],[Postes]]</f>
        <v>215600</v>
      </c>
      <c r="S100" s="51">
        <f>Tabla2[[#This Row],[Valor Total]]*1.19</f>
        <v>256564</v>
      </c>
      <c r="T100" s="52" t="s">
        <v>39</v>
      </c>
      <c r="U100" s="52" t="s">
        <v>39</v>
      </c>
      <c r="V100" s="53">
        <v>45874</v>
      </c>
      <c r="W100" s="43"/>
      <c r="X100" s="43" t="s">
        <v>41</v>
      </c>
      <c r="AA100" s="43"/>
      <c r="AB100" s="43"/>
      <c r="AC100" s="54"/>
      <c r="AD100" s="55"/>
    </row>
    <row r="101" spans="1:30" hidden="1">
      <c r="A101" s="44" t="s">
        <v>30</v>
      </c>
      <c r="B101" s="45">
        <v>10015407</v>
      </c>
      <c r="C101" s="45" t="s">
        <v>501</v>
      </c>
      <c r="D101" s="45" t="s">
        <v>501</v>
      </c>
      <c r="E101" s="46">
        <v>1300012815</v>
      </c>
      <c r="F101" s="45" t="s">
        <v>32</v>
      </c>
      <c r="G101" s="45" t="s">
        <v>33</v>
      </c>
      <c r="H101" s="45" t="s">
        <v>502</v>
      </c>
      <c r="I101" s="45" t="s">
        <v>503</v>
      </c>
      <c r="J101" s="45" t="s">
        <v>36</v>
      </c>
      <c r="K101" s="47" t="s">
        <v>37</v>
      </c>
      <c r="L101" s="46"/>
      <c r="M101" s="47" t="s">
        <v>504</v>
      </c>
      <c r="N101" s="48"/>
      <c r="O101" s="49">
        <v>1</v>
      </c>
      <c r="P101" s="50"/>
      <c r="Q101" s="51">
        <v>1400000</v>
      </c>
      <c r="R101" s="51">
        <f>Tabla2[[#This Row],[Unitario]]*Tabla2[[#This Row],[Unidad '[Km']]]</f>
        <v>1400000</v>
      </c>
      <c r="S101" s="51">
        <f>Tabla2[[#This Row],[Valor Total]]*1.19</f>
        <v>1666000</v>
      </c>
      <c r="T101" s="52" t="s">
        <v>39</v>
      </c>
      <c r="U101" s="52" t="s">
        <v>40</v>
      </c>
      <c r="V101" s="53">
        <v>45841</v>
      </c>
      <c r="W101" s="43"/>
      <c r="X101" s="43" t="s">
        <v>41</v>
      </c>
      <c r="AA101" s="43"/>
      <c r="AB101" s="43"/>
      <c r="AC101" s="54"/>
      <c r="AD101" s="55"/>
    </row>
    <row r="102" spans="1:30" hidden="1">
      <c r="A102" s="44" t="s">
        <v>358</v>
      </c>
      <c r="B102" s="45">
        <v>10008307</v>
      </c>
      <c r="C102" s="45" t="s">
        <v>505</v>
      </c>
      <c r="D102" s="45" t="s">
        <v>506</v>
      </c>
      <c r="E102" s="46">
        <v>1300012032</v>
      </c>
      <c r="F102" s="45" t="s">
        <v>45</v>
      </c>
      <c r="G102" s="45" t="s">
        <v>360</v>
      </c>
      <c r="H102" s="45" t="s">
        <v>507</v>
      </c>
      <c r="I102" s="45" t="s">
        <v>508</v>
      </c>
      <c r="J102" s="45" t="s">
        <v>49</v>
      </c>
      <c r="K102" s="47" t="s">
        <v>37</v>
      </c>
      <c r="L102" s="46"/>
      <c r="M102" s="47" t="s">
        <v>509</v>
      </c>
      <c r="N102" s="48" t="s">
        <v>222</v>
      </c>
      <c r="O102" s="49">
        <v>76.015000000000001</v>
      </c>
      <c r="P102" s="50">
        <v>90</v>
      </c>
      <c r="Q102" s="51">
        <v>215600</v>
      </c>
      <c r="R102" s="51">
        <f>Tabla2[[#This Row],[Unitario]]*Tabla2[[#This Row],[Postes]]</f>
        <v>19404000</v>
      </c>
      <c r="S102" s="51">
        <f>Tabla2[[#This Row],[Valor Total]]*1.19</f>
        <v>23090760</v>
      </c>
      <c r="T102" s="52" t="s">
        <v>39</v>
      </c>
      <c r="U102" s="52" t="s">
        <v>364</v>
      </c>
      <c r="V102" s="53">
        <v>45874</v>
      </c>
      <c r="W102" s="43"/>
      <c r="X102" s="43" t="s">
        <v>41</v>
      </c>
      <c r="AA102" s="43"/>
      <c r="AB102" s="43"/>
      <c r="AC102" s="54"/>
      <c r="AD102" s="55"/>
    </row>
    <row r="103" spans="1:30" hidden="1">
      <c r="A103" s="44" t="s">
        <v>42</v>
      </c>
      <c r="B103" s="45">
        <v>10008337</v>
      </c>
      <c r="C103" s="45" t="s">
        <v>510</v>
      </c>
      <c r="D103" s="45" t="s">
        <v>511</v>
      </c>
      <c r="E103" s="46">
        <v>1300012867</v>
      </c>
      <c r="F103" s="45" t="s">
        <v>45</v>
      </c>
      <c r="G103" s="45" t="s">
        <v>46</v>
      </c>
      <c r="H103" s="45" t="s">
        <v>512</v>
      </c>
      <c r="I103" s="45" t="s">
        <v>513</v>
      </c>
      <c r="J103" s="45" t="s">
        <v>49</v>
      </c>
      <c r="K103" s="47" t="s">
        <v>37</v>
      </c>
      <c r="L103" s="46"/>
      <c r="M103" s="47" t="s">
        <v>514</v>
      </c>
      <c r="N103" s="48" t="s">
        <v>51</v>
      </c>
      <c r="O103" s="49">
        <v>0.02</v>
      </c>
      <c r="P103" s="50">
        <v>2</v>
      </c>
      <c r="Q103" s="51">
        <v>215600</v>
      </c>
      <c r="R103" s="51">
        <f>Tabla2[[#This Row],[Unitario]]*Tabla2[[#This Row],[Postes]]</f>
        <v>431200</v>
      </c>
      <c r="S103" s="51">
        <f>Tabla2[[#This Row],[Valor Total]]*1.19</f>
        <v>513128</v>
      </c>
      <c r="T103" s="52" t="s">
        <v>39</v>
      </c>
      <c r="U103" s="52" t="s">
        <v>39</v>
      </c>
      <c r="V103" s="53">
        <v>45905</v>
      </c>
      <c r="W103" s="43"/>
      <c r="X103" s="43" t="s">
        <v>41</v>
      </c>
      <c r="AA103" s="43"/>
      <c r="AB103" s="43"/>
      <c r="AC103" s="54"/>
      <c r="AD103" s="55"/>
    </row>
    <row r="104" spans="1:30" hidden="1">
      <c r="A104" s="44" t="s">
        <v>64</v>
      </c>
      <c r="B104" s="45">
        <v>10009235</v>
      </c>
      <c r="C104" s="45" t="s">
        <v>515</v>
      </c>
      <c r="D104" s="45" t="s">
        <v>515</v>
      </c>
      <c r="E104" s="46">
        <v>1300012990</v>
      </c>
      <c r="F104" s="45" t="s">
        <v>217</v>
      </c>
      <c r="G104" s="45" t="s">
        <v>67</v>
      </c>
      <c r="H104" s="45" t="s">
        <v>516</v>
      </c>
      <c r="I104" s="45" t="s">
        <v>199</v>
      </c>
      <c r="J104" s="45" t="s">
        <v>220</v>
      </c>
      <c r="K104" s="47" t="s">
        <v>37</v>
      </c>
      <c r="L104" s="46"/>
      <c r="M104" s="48" t="s">
        <v>517</v>
      </c>
      <c r="N104" s="48" t="s">
        <v>51</v>
      </c>
      <c r="O104" s="49">
        <v>3.6469999999999998</v>
      </c>
      <c r="P104" s="50">
        <v>12</v>
      </c>
      <c r="Q104" s="51">
        <v>840000</v>
      </c>
      <c r="R104" s="51">
        <f>Tabla2[[#This Row],[Unitario]]*Tabla2[[#This Row],[Unidad '[Km']]]</f>
        <v>3063480</v>
      </c>
      <c r="S104" s="51">
        <f>Tabla2[[#This Row],[Valor Total]]*1.19</f>
        <v>3645541.1999999997</v>
      </c>
      <c r="T104" s="52" t="s">
        <v>39</v>
      </c>
      <c r="U104" s="52" t="s">
        <v>39</v>
      </c>
      <c r="V104" s="53">
        <v>45905</v>
      </c>
      <c r="W104" s="53"/>
      <c r="X104" s="43" t="s">
        <v>41</v>
      </c>
      <c r="AA104" s="43" t="s">
        <v>223</v>
      </c>
      <c r="AB104" s="43"/>
      <c r="AC104" s="54"/>
      <c r="AD104" s="55"/>
    </row>
    <row r="105" spans="1:30" hidden="1">
      <c r="A105" s="44" t="s">
        <v>57</v>
      </c>
      <c r="B105" s="45">
        <v>10008620</v>
      </c>
      <c r="C105" s="45" t="s">
        <v>518</v>
      </c>
      <c r="D105" s="45" t="s">
        <v>519</v>
      </c>
      <c r="E105" s="46">
        <v>1300012805</v>
      </c>
      <c r="F105" s="45" t="s">
        <v>45</v>
      </c>
      <c r="G105" s="45" t="s">
        <v>60</v>
      </c>
      <c r="H105" s="45" t="s">
        <v>520</v>
      </c>
      <c r="I105" s="45" t="s">
        <v>521</v>
      </c>
      <c r="J105" s="45" t="s">
        <v>49</v>
      </c>
      <c r="K105" s="47" t="s">
        <v>37</v>
      </c>
      <c r="L105" s="46"/>
      <c r="M105" s="48" t="s">
        <v>522</v>
      </c>
      <c r="N105" s="48" t="s">
        <v>51</v>
      </c>
      <c r="O105" s="49">
        <v>0.63900000000000001</v>
      </c>
      <c r="P105" s="50">
        <v>2</v>
      </c>
      <c r="Q105" s="51">
        <v>215600</v>
      </c>
      <c r="R105" s="51">
        <f>Tabla2[[#This Row],[Unitario]]*Tabla2[[#This Row],[Postes]]</f>
        <v>431200</v>
      </c>
      <c r="S105" s="51">
        <f>Tabla2[[#This Row],[Valor Total]]*1.19</f>
        <v>513128</v>
      </c>
      <c r="T105" s="52" t="s">
        <v>39</v>
      </c>
      <c r="U105" s="52" t="s">
        <v>39</v>
      </c>
      <c r="V105" s="53">
        <v>45843</v>
      </c>
      <c r="W105" s="43"/>
      <c r="X105" s="43" t="s">
        <v>41</v>
      </c>
      <c r="AA105" s="43"/>
      <c r="AB105" s="43"/>
      <c r="AC105" s="54"/>
      <c r="AD105" s="55"/>
    </row>
    <row r="106" spans="1:30" hidden="1">
      <c r="A106" s="44" t="s">
        <v>126</v>
      </c>
      <c r="B106" s="45"/>
      <c r="C106" s="45"/>
      <c r="D106" s="45"/>
      <c r="E106" s="46" t="s">
        <v>523</v>
      </c>
      <c r="F106" s="45"/>
      <c r="G106" s="45"/>
      <c r="H106" s="45"/>
      <c r="I106" s="45"/>
      <c r="J106" s="45" t="s">
        <v>49</v>
      </c>
      <c r="K106" s="47"/>
      <c r="L106" s="46"/>
      <c r="M106" s="47" t="s">
        <v>524</v>
      </c>
      <c r="N106" s="48" t="s">
        <v>222</v>
      </c>
      <c r="O106" s="49">
        <v>83.870999999999995</v>
      </c>
      <c r="P106" s="50">
        <v>87</v>
      </c>
      <c r="Q106" s="51">
        <v>215600</v>
      </c>
      <c r="R106" s="51">
        <v>18757200</v>
      </c>
      <c r="S106" s="51">
        <f>Tabla2[[#This Row],[Valor Total]]*1.19</f>
        <v>22321068</v>
      </c>
      <c r="T106" s="52" t="s">
        <v>39</v>
      </c>
      <c r="U106" s="52"/>
      <c r="V106" s="53">
        <v>45995</v>
      </c>
      <c r="W106" s="43"/>
      <c r="X106" s="43" t="s">
        <v>41</v>
      </c>
      <c r="AA106" s="43"/>
      <c r="AB106" s="43"/>
      <c r="AC106" s="54"/>
      <c r="AD106" s="55"/>
    </row>
    <row r="107" spans="1:30" hidden="1">
      <c r="A107" s="44" t="s">
        <v>126</v>
      </c>
      <c r="B107" s="45"/>
      <c r="C107" s="45"/>
      <c r="D107" s="45"/>
      <c r="E107" s="46" t="s">
        <v>525</v>
      </c>
      <c r="F107" s="45"/>
      <c r="G107" s="45"/>
      <c r="H107" s="45"/>
      <c r="I107" s="45"/>
      <c r="J107" s="45" t="s">
        <v>49</v>
      </c>
      <c r="K107" s="47"/>
      <c r="L107" s="46"/>
      <c r="M107" s="47" t="s">
        <v>526</v>
      </c>
      <c r="N107" s="48" t="s">
        <v>51</v>
      </c>
      <c r="O107" s="49">
        <v>14.7</v>
      </c>
      <c r="P107" s="50">
        <v>15</v>
      </c>
      <c r="Q107" s="51">
        <v>215600</v>
      </c>
      <c r="R107" s="51">
        <v>3234000</v>
      </c>
      <c r="S107" s="51">
        <f>Tabla2[[#This Row],[Valor Total]]*1.19</f>
        <v>3848460</v>
      </c>
      <c r="T107" s="52" t="s">
        <v>39</v>
      </c>
      <c r="U107" s="52"/>
      <c r="V107" s="53">
        <v>45995</v>
      </c>
      <c r="W107" s="43"/>
      <c r="X107" s="43" t="s">
        <v>41</v>
      </c>
      <c r="AA107" s="43"/>
      <c r="AB107" s="43"/>
      <c r="AC107" s="54"/>
      <c r="AD107" s="55"/>
    </row>
    <row r="108" spans="1:30" hidden="1">
      <c r="A108" s="44" t="s">
        <v>42</v>
      </c>
      <c r="B108" s="45"/>
      <c r="C108" s="45"/>
      <c r="D108" s="45"/>
      <c r="E108" s="46" t="s">
        <v>527</v>
      </c>
      <c r="F108" s="45"/>
      <c r="G108" s="45"/>
      <c r="H108" s="45"/>
      <c r="I108" s="45"/>
      <c r="J108" s="45" t="s">
        <v>49</v>
      </c>
      <c r="K108" s="47"/>
      <c r="L108" s="46"/>
      <c r="M108" s="47" t="s">
        <v>528</v>
      </c>
      <c r="N108" s="48" t="s">
        <v>51</v>
      </c>
      <c r="O108" s="49">
        <v>0.02</v>
      </c>
      <c r="P108" s="50">
        <v>1</v>
      </c>
      <c r="Q108" s="51">
        <v>215600</v>
      </c>
      <c r="R108" s="51">
        <v>215600</v>
      </c>
      <c r="S108" s="51">
        <f>Tabla2[[#This Row],[Valor Total]]*1.19</f>
        <v>256564</v>
      </c>
      <c r="T108" s="52" t="s">
        <v>39</v>
      </c>
      <c r="U108" s="52"/>
      <c r="V108" s="53">
        <v>45936</v>
      </c>
      <c r="W108" s="43"/>
      <c r="X108" s="43" t="s">
        <v>41</v>
      </c>
      <c r="AA108" s="43"/>
      <c r="AB108" s="43"/>
      <c r="AC108" s="54"/>
      <c r="AD108" s="55"/>
    </row>
    <row r="109" spans="1:30" hidden="1">
      <c r="A109" s="44" t="s">
        <v>30</v>
      </c>
      <c r="B109" s="45"/>
      <c r="C109" s="45"/>
      <c r="D109" s="45"/>
      <c r="E109" s="46" t="s">
        <v>529</v>
      </c>
      <c r="F109" s="45"/>
      <c r="G109" s="45"/>
      <c r="H109" s="45"/>
      <c r="I109" s="45"/>
      <c r="J109" s="45" t="s">
        <v>49</v>
      </c>
      <c r="K109" s="47"/>
      <c r="L109" s="46"/>
      <c r="M109" s="47" t="s">
        <v>38</v>
      </c>
      <c r="N109" s="48" t="s">
        <v>51</v>
      </c>
      <c r="O109" s="49">
        <v>4.0419999999999998</v>
      </c>
      <c r="P109" s="50">
        <v>5</v>
      </c>
      <c r="Q109" s="51">
        <v>215600</v>
      </c>
      <c r="R109" s="51">
        <v>1078000</v>
      </c>
      <c r="S109" s="51">
        <f>Tabla2[[#This Row],[Valor Total]]*1.19</f>
        <v>1282820</v>
      </c>
      <c r="T109" s="52" t="s">
        <v>39</v>
      </c>
      <c r="U109" s="52"/>
      <c r="V109" s="53">
        <v>45965</v>
      </c>
      <c r="W109" s="43"/>
      <c r="X109" s="43" t="s">
        <v>41</v>
      </c>
      <c r="AA109" s="43"/>
      <c r="AB109" s="43"/>
      <c r="AC109" s="54"/>
      <c r="AD109" s="55"/>
    </row>
    <row r="110" spans="1:30" hidden="1">
      <c r="A110" s="44" t="s">
        <v>126</v>
      </c>
      <c r="B110" s="45"/>
      <c r="C110" s="45"/>
      <c r="D110" s="45"/>
      <c r="E110" s="46" t="s">
        <v>530</v>
      </c>
      <c r="F110" s="45"/>
      <c r="G110" s="45"/>
      <c r="H110" s="45"/>
      <c r="I110" s="45"/>
      <c r="J110" s="45" t="s">
        <v>49</v>
      </c>
      <c r="K110" s="47"/>
      <c r="L110" s="46"/>
      <c r="M110" s="47" t="s">
        <v>531</v>
      </c>
      <c r="N110" s="48" t="s">
        <v>222</v>
      </c>
      <c r="O110" s="49">
        <v>36.97</v>
      </c>
      <c r="P110" s="50">
        <v>37</v>
      </c>
      <c r="Q110" s="51">
        <v>215600</v>
      </c>
      <c r="R110" s="51">
        <v>7977200</v>
      </c>
      <c r="S110" s="51">
        <f>Tabla2[[#This Row],[Valor Total]]*1.19</f>
        <v>9492868</v>
      </c>
      <c r="T110" s="52" t="s">
        <v>39</v>
      </c>
      <c r="U110" s="52"/>
      <c r="V110" s="53">
        <v>45995</v>
      </c>
      <c r="W110" s="43"/>
      <c r="X110" s="43" t="s">
        <v>41</v>
      </c>
      <c r="AA110" s="43"/>
      <c r="AB110" s="43"/>
      <c r="AC110" s="54"/>
      <c r="AD110" s="55"/>
    </row>
    <row r="111" spans="1:30" hidden="1">
      <c r="A111" s="44" t="s">
        <v>126</v>
      </c>
      <c r="B111" s="45"/>
      <c r="C111" s="45"/>
      <c r="D111" s="45"/>
      <c r="E111" s="46" t="s">
        <v>532</v>
      </c>
      <c r="F111" s="45"/>
      <c r="G111" s="45"/>
      <c r="H111" s="45"/>
      <c r="I111" s="45"/>
      <c r="J111" s="45" t="s">
        <v>49</v>
      </c>
      <c r="K111" s="47"/>
      <c r="L111" s="46"/>
      <c r="M111" s="47" t="s">
        <v>533</v>
      </c>
      <c r="N111" s="48" t="s">
        <v>222</v>
      </c>
      <c r="O111" s="49">
        <v>31.885000000000002</v>
      </c>
      <c r="P111" s="50">
        <v>34</v>
      </c>
      <c r="Q111" s="51">
        <v>215600</v>
      </c>
      <c r="R111" s="51">
        <v>7330400</v>
      </c>
      <c r="S111" s="51">
        <f>Tabla2[[#This Row],[Valor Total]]*1.19</f>
        <v>8723176</v>
      </c>
      <c r="T111" s="52" t="s">
        <v>39</v>
      </c>
      <c r="U111" s="52"/>
      <c r="V111" s="53">
        <v>45995</v>
      </c>
      <c r="W111" s="43"/>
      <c r="X111" s="43" t="s">
        <v>41</v>
      </c>
      <c r="AA111" s="43"/>
      <c r="AB111" s="43"/>
      <c r="AC111" s="54"/>
      <c r="AD111" s="55"/>
    </row>
    <row r="112" spans="1:30" hidden="1">
      <c r="A112" s="44" t="s">
        <v>126</v>
      </c>
      <c r="B112" s="45"/>
      <c r="C112" s="45"/>
      <c r="D112" s="45"/>
      <c r="E112" s="46" t="s">
        <v>534</v>
      </c>
      <c r="F112" s="45"/>
      <c r="G112" s="45"/>
      <c r="H112" s="45"/>
      <c r="I112" s="45"/>
      <c r="J112" s="45" t="s">
        <v>49</v>
      </c>
      <c r="K112" s="47"/>
      <c r="L112" s="46"/>
      <c r="M112" s="47" t="s">
        <v>281</v>
      </c>
      <c r="N112" s="48" t="s">
        <v>51</v>
      </c>
      <c r="O112" s="49">
        <v>0.01</v>
      </c>
      <c r="P112" s="50">
        <v>1</v>
      </c>
      <c r="Q112" s="51">
        <v>215600</v>
      </c>
      <c r="R112" s="51">
        <v>215600</v>
      </c>
      <c r="S112" s="51">
        <f>Tabla2[[#This Row],[Valor Total]]*1.19</f>
        <v>256564</v>
      </c>
      <c r="T112" s="52" t="s">
        <v>39</v>
      </c>
      <c r="U112" s="52"/>
      <c r="V112" s="53">
        <v>45995</v>
      </c>
      <c r="W112" s="43"/>
      <c r="X112" s="43" t="s">
        <v>41</v>
      </c>
      <c r="AA112" s="43"/>
      <c r="AB112" s="43"/>
      <c r="AC112" s="54"/>
      <c r="AD112" s="55"/>
    </row>
    <row r="113" spans="1:30" hidden="1">
      <c r="A113" s="44" t="s">
        <v>30</v>
      </c>
      <c r="B113" s="45"/>
      <c r="C113" s="45"/>
      <c r="D113" s="45"/>
      <c r="E113" s="46" t="s">
        <v>535</v>
      </c>
      <c r="F113" s="45"/>
      <c r="G113" s="45"/>
      <c r="H113" s="45"/>
      <c r="I113" s="45"/>
      <c r="J113" s="45" t="s">
        <v>49</v>
      </c>
      <c r="K113" s="47"/>
      <c r="L113" s="46"/>
      <c r="M113" s="47" t="s">
        <v>536</v>
      </c>
      <c r="N113" s="48" t="s">
        <v>51</v>
      </c>
      <c r="O113" s="49">
        <v>0.1</v>
      </c>
      <c r="P113" s="50">
        <v>2</v>
      </c>
      <c r="Q113" s="51">
        <v>215600</v>
      </c>
      <c r="R113" s="51">
        <v>431200</v>
      </c>
      <c r="S113" s="51">
        <f>Tabla2[[#This Row],[Valor Total]]*1.19</f>
        <v>513128</v>
      </c>
      <c r="T113" s="52" t="s">
        <v>39</v>
      </c>
      <c r="U113" s="52"/>
      <c r="V113" s="53">
        <v>45965</v>
      </c>
      <c r="W113" s="43"/>
      <c r="X113" s="43" t="s">
        <v>41</v>
      </c>
      <c r="AA113" s="43"/>
      <c r="AB113" s="43"/>
      <c r="AC113" s="54"/>
      <c r="AD113" s="55"/>
    </row>
    <row r="114" spans="1:30" hidden="1">
      <c r="A114" s="44" t="s">
        <v>30</v>
      </c>
      <c r="B114" s="45"/>
      <c r="C114" s="45"/>
      <c r="D114" s="45"/>
      <c r="E114" s="46" t="s">
        <v>537</v>
      </c>
      <c r="F114" s="45"/>
      <c r="G114" s="45"/>
      <c r="H114" s="45"/>
      <c r="I114" s="45"/>
      <c r="J114" s="45" t="s">
        <v>49</v>
      </c>
      <c r="K114" s="47"/>
      <c r="L114" s="46"/>
      <c r="M114" s="47" t="s">
        <v>99</v>
      </c>
      <c r="N114" s="48" t="s">
        <v>51</v>
      </c>
      <c r="O114" s="49">
        <v>4.7</v>
      </c>
      <c r="P114" s="50">
        <v>6</v>
      </c>
      <c r="Q114" s="51">
        <v>215600</v>
      </c>
      <c r="R114" s="51">
        <v>1293600</v>
      </c>
      <c r="S114" s="51">
        <f>Tabla2[[#This Row],[Valor Total]]*1.19</f>
        <v>1539384</v>
      </c>
      <c r="T114" s="52" t="s">
        <v>39</v>
      </c>
      <c r="U114" s="52"/>
      <c r="V114" s="53">
        <v>45965</v>
      </c>
      <c r="W114" s="43"/>
      <c r="X114" s="43" t="s">
        <v>41</v>
      </c>
      <c r="AA114" s="43"/>
      <c r="AB114" s="43"/>
      <c r="AC114" s="54"/>
      <c r="AD114" s="55"/>
    </row>
    <row r="115" spans="1:30" hidden="1">
      <c r="A115" s="44" t="s">
        <v>30</v>
      </c>
      <c r="B115" s="45"/>
      <c r="C115" s="45"/>
      <c r="D115" s="45"/>
      <c r="E115" s="46" t="s">
        <v>538</v>
      </c>
      <c r="F115" s="45"/>
      <c r="G115" s="45"/>
      <c r="H115" s="45"/>
      <c r="I115" s="45"/>
      <c r="J115" s="45" t="s">
        <v>49</v>
      </c>
      <c r="K115" s="47"/>
      <c r="L115" s="46"/>
      <c r="M115" s="47" t="s">
        <v>539</v>
      </c>
      <c r="N115" s="48" t="s">
        <v>51</v>
      </c>
      <c r="O115" s="49">
        <v>0.3</v>
      </c>
      <c r="P115" s="50">
        <v>4</v>
      </c>
      <c r="Q115" s="51">
        <v>215600</v>
      </c>
      <c r="R115" s="51">
        <v>862400</v>
      </c>
      <c r="S115" s="51">
        <f>Tabla2[[#This Row],[Valor Total]]*1.19</f>
        <v>1026256</v>
      </c>
      <c r="T115" s="52" t="s">
        <v>39</v>
      </c>
      <c r="U115" s="52"/>
      <c r="V115" s="53">
        <v>45965</v>
      </c>
      <c r="W115" s="43"/>
      <c r="X115" s="43" t="s">
        <v>41</v>
      </c>
      <c r="AA115" s="43"/>
      <c r="AB115" s="43"/>
      <c r="AC115" s="54"/>
      <c r="AD115" s="55"/>
    </row>
    <row r="116" spans="1:30" hidden="1">
      <c r="A116" s="44" t="s">
        <v>126</v>
      </c>
      <c r="B116" s="45"/>
      <c r="C116" s="45"/>
      <c r="D116" s="45"/>
      <c r="E116" s="46" t="s">
        <v>540</v>
      </c>
      <c r="F116" s="45"/>
      <c r="G116" s="45"/>
      <c r="H116" s="45"/>
      <c r="I116" s="45"/>
      <c r="J116" s="45" t="s">
        <v>49</v>
      </c>
      <c r="K116" s="47"/>
      <c r="L116" s="46"/>
      <c r="M116" s="47" t="s">
        <v>541</v>
      </c>
      <c r="N116" s="48" t="s">
        <v>51</v>
      </c>
      <c r="O116" s="49">
        <v>4.2670000000000003</v>
      </c>
      <c r="P116" s="50">
        <v>17</v>
      </c>
      <c r="Q116" s="51">
        <v>215600</v>
      </c>
      <c r="R116" s="51">
        <v>3665200</v>
      </c>
      <c r="S116" s="51">
        <f>Tabla2[[#This Row],[Valor Total]]*1.19</f>
        <v>4361588</v>
      </c>
      <c r="T116" s="52" t="s">
        <v>39</v>
      </c>
      <c r="U116" s="52"/>
      <c r="V116" s="53">
        <v>45995</v>
      </c>
      <c r="W116" s="43"/>
      <c r="X116" s="43" t="s">
        <v>41</v>
      </c>
      <c r="AA116" s="43"/>
      <c r="AB116" s="43"/>
      <c r="AC116" s="54"/>
      <c r="AD116" s="55"/>
    </row>
    <row r="117" spans="1:30" hidden="1">
      <c r="A117" s="44" t="s">
        <v>126</v>
      </c>
      <c r="B117" s="45"/>
      <c r="C117" s="45"/>
      <c r="D117" s="45"/>
      <c r="E117" s="46" t="s">
        <v>542</v>
      </c>
      <c r="F117" s="45"/>
      <c r="G117" s="45"/>
      <c r="H117" s="45"/>
      <c r="I117" s="45"/>
      <c r="J117" s="45" t="s">
        <v>49</v>
      </c>
      <c r="K117" s="47"/>
      <c r="L117" s="46"/>
      <c r="M117" s="47" t="s">
        <v>543</v>
      </c>
      <c r="N117" s="48" t="s">
        <v>51</v>
      </c>
      <c r="O117" s="49">
        <v>2.9820000000000002</v>
      </c>
      <c r="P117" s="50">
        <v>14</v>
      </c>
      <c r="Q117" s="51">
        <v>215600</v>
      </c>
      <c r="R117" s="51">
        <v>3018400</v>
      </c>
      <c r="S117" s="51">
        <f>Tabla2[[#This Row],[Valor Total]]*1.19</f>
        <v>3591896</v>
      </c>
      <c r="T117" s="52" t="s">
        <v>39</v>
      </c>
      <c r="U117" s="52"/>
      <c r="V117" s="53">
        <v>45995</v>
      </c>
      <c r="W117" s="43"/>
      <c r="X117" s="43" t="s">
        <v>41</v>
      </c>
      <c r="AA117" s="43"/>
      <c r="AB117" s="43"/>
      <c r="AC117" s="54"/>
      <c r="AD117" s="55"/>
    </row>
    <row r="118" spans="1:30" hidden="1">
      <c r="A118" s="44" t="s">
        <v>30</v>
      </c>
      <c r="B118" s="45"/>
      <c r="C118" s="45"/>
      <c r="D118" s="45"/>
      <c r="E118" s="46" t="s">
        <v>544</v>
      </c>
      <c r="F118" s="45"/>
      <c r="G118" s="45"/>
      <c r="H118" s="45"/>
      <c r="I118" s="45"/>
      <c r="J118" s="45" t="s">
        <v>49</v>
      </c>
      <c r="K118" s="47"/>
      <c r="L118" s="46"/>
      <c r="M118" s="47" t="s">
        <v>545</v>
      </c>
      <c r="N118" s="48" t="s">
        <v>51</v>
      </c>
      <c r="O118" s="49">
        <v>2.39</v>
      </c>
      <c r="P118" s="50">
        <v>4</v>
      </c>
      <c r="Q118" s="51">
        <v>215600</v>
      </c>
      <c r="R118" s="51">
        <v>862400</v>
      </c>
      <c r="S118" s="51">
        <f>Tabla2[[#This Row],[Valor Total]]*1.19</f>
        <v>1026256</v>
      </c>
      <c r="T118" s="52" t="s">
        <v>39</v>
      </c>
      <c r="U118" s="52"/>
      <c r="V118" s="53">
        <v>45965</v>
      </c>
      <c r="W118" s="43"/>
      <c r="X118" s="43" t="s">
        <v>41</v>
      </c>
      <c r="AA118" s="43"/>
      <c r="AB118" s="43"/>
      <c r="AC118" s="54"/>
      <c r="AD118" s="55"/>
    </row>
    <row r="119" spans="1:30" hidden="1">
      <c r="A119" s="44" t="s">
        <v>126</v>
      </c>
      <c r="B119" s="45"/>
      <c r="C119" s="45"/>
      <c r="D119" s="45"/>
      <c r="E119" s="46" t="s">
        <v>546</v>
      </c>
      <c r="F119" s="45"/>
      <c r="G119" s="45"/>
      <c r="H119" s="45"/>
      <c r="I119" s="45"/>
      <c r="J119" s="45" t="s">
        <v>49</v>
      </c>
      <c r="K119" s="47"/>
      <c r="L119" s="46"/>
      <c r="M119" s="47" t="s">
        <v>148</v>
      </c>
      <c r="N119" s="48" t="s">
        <v>51</v>
      </c>
      <c r="O119" s="49">
        <v>0.01</v>
      </c>
      <c r="P119" s="50">
        <v>1</v>
      </c>
      <c r="Q119" s="51">
        <v>215600</v>
      </c>
      <c r="R119" s="51">
        <v>215600</v>
      </c>
      <c r="S119" s="51">
        <f>Tabla2[[#This Row],[Valor Total]]*1.19</f>
        <v>256564</v>
      </c>
      <c r="T119" s="52" t="s">
        <v>39</v>
      </c>
      <c r="U119" s="52"/>
      <c r="V119" s="53">
        <v>45995</v>
      </c>
      <c r="W119" s="43"/>
      <c r="X119" s="43" t="s">
        <v>41</v>
      </c>
      <c r="AA119" s="43"/>
      <c r="AB119" s="43"/>
      <c r="AC119" s="54"/>
      <c r="AD119" s="55"/>
    </row>
    <row r="120" spans="1:30" hidden="1">
      <c r="A120" s="44" t="s">
        <v>30</v>
      </c>
      <c r="B120" s="45"/>
      <c r="C120" s="45"/>
      <c r="D120" s="45"/>
      <c r="E120" s="46" t="s">
        <v>547</v>
      </c>
      <c r="F120" s="45"/>
      <c r="G120" s="45"/>
      <c r="H120" s="45"/>
      <c r="I120" s="45"/>
      <c r="J120" s="45" t="s">
        <v>49</v>
      </c>
      <c r="K120" s="47"/>
      <c r="L120" s="46"/>
      <c r="M120" s="47" t="s">
        <v>548</v>
      </c>
      <c r="N120" s="48" t="s">
        <v>51</v>
      </c>
      <c r="O120" s="49">
        <v>6.6000000000000003E-2</v>
      </c>
      <c r="P120" s="50">
        <v>1</v>
      </c>
      <c r="Q120" s="51">
        <v>215600</v>
      </c>
      <c r="R120" s="51">
        <v>215600</v>
      </c>
      <c r="S120" s="51">
        <f>Tabla2[[#This Row],[Valor Total]]*1.19</f>
        <v>256564</v>
      </c>
      <c r="T120" s="52" t="s">
        <v>39</v>
      </c>
      <c r="U120" s="52"/>
      <c r="V120" s="53">
        <v>45965</v>
      </c>
      <c r="W120" s="43"/>
      <c r="X120" s="43" t="s">
        <v>41</v>
      </c>
      <c r="AA120" s="43"/>
      <c r="AB120" s="43"/>
      <c r="AC120" s="54"/>
      <c r="AD120" s="55"/>
    </row>
    <row r="121" spans="1:30" hidden="1">
      <c r="A121" s="44" t="s">
        <v>30</v>
      </c>
      <c r="B121" s="45"/>
      <c r="C121" s="45"/>
      <c r="D121" s="45"/>
      <c r="E121" s="46" t="s">
        <v>549</v>
      </c>
      <c r="F121" s="45"/>
      <c r="G121" s="45"/>
      <c r="H121" s="45"/>
      <c r="I121" s="45"/>
      <c r="J121" s="45" t="s">
        <v>49</v>
      </c>
      <c r="K121" s="47"/>
      <c r="L121" s="46"/>
      <c r="M121" s="47" t="s">
        <v>155</v>
      </c>
      <c r="N121" s="48" t="s">
        <v>51</v>
      </c>
      <c r="O121" s="49">
        <v>1.29</v>
      </c>
      <c r="P121" s="50">
        <v>4</v>
      </c>
      <c r="Q121" s="51">
        <v>215600</v>
      </c>
      <c r="R121" s="51">
        <v>862400</v>
      </c>
      <c r="S121" s="51">
        <f>Tabla2[[#This Row],[Valor Total]]*1.19</f>
        <v>1026256</v>
      </c>
      <c r="T121" s="52" t="s">
        <v>39</v>
      </c>
      <c r="U121" s="52"/>
      <c r="V121" s="53">
        <v>45965</v>
      </c>
      <c r="W121" s="43"/>
      <c r="X121" s="43" t="s">
        <v>41</v>
      </c>
      <c r="AA121" s="43"/>
      <c r="AB121" s="43"/>
      <c r="AC121" s="54"/>
      <c r="AD121" s="55"/>
    </row>
    <row r="122" spans="1:30" hidden="1">
      <c r="A122" s="44" t="s">
        <v>126</v>
      </c>
      <c r="B122" s="45"/>
      <c r="C122" s="45"/>
      <c r="D122" s="45"/>
      <c r="E122" s="46" t="s">
        <v>550</v>
      </c>
      <c r="F122" s="45"/>
      <c r="G122" s="45"/>
      <c r="H122" s="45"/>
      <c r="I122" s="45"/>
      <c r="J122" s="45" t="s">
        <v>49</v>
      </c>
      <c r="K122" s="47"/>
      <c r="L122" s="46"/>
      <c r="M122" s="47" t="s">
        <v>551</v>
      </c>
      <c r="N122" s="48" t="s">
        <v>51</v>
      </c>
      <c r="O122" s="49">
        <v>3.6999999999999998E-2</v>
      </c>
      <c r="P122" s="50">
        <v>1</v>
      </c>
      <c r="Q122" s="51">
        <v>215600</v>
      </c>
      <c r="R122" s="51">
        <v>215600</v>
      </c>
      <c r="S122" s="51">
        <f>Tabla2[[#This Row],[Valor Total]]*1.19</f>
        <v>256564</v>
      </c>
      <c r="T122" s="52" t="s">
        <v>39</v>
      </c>
      <c r="U122" s="52"/>
      <c r="V122" s="53">
        <v>45995</v>
      </c>
      <c r="W122" s="43"/>
      <c r="X122" s="43" t="s">
        <v>41</v>
      </c>
      <c r="AA122" s="43"/>
      <c r="AB122" s="43"/>
      <c r="AC122" s="54"/>
      <c r="AD122" s="55"/>
    </row>
    <row r="123" spans="1:30" hidden="1">
      <c r="A123" s="44" t="s">
        <v>42</v>
      </c>
      <c r="B123" s="45"/>
      <c r="C123" s="45"/>
      <c r="D123" s="45"/>
      <c r="E123" s="46" t="s">
        <v>552</v>
      </c>
      <c r="F123" s="45"/>
      <c r="G123" s="45"/>
      <c r="H123" s="45"/>
      <c r="I123" s="45"/>
      <c r="J123" s="45" t="s">
        <v>49</v>
      </c>
      <c r="K123" s="47"/>
      <c r="L123" s="46"/>
      <c r="M123" s="47" t="s">
        <v>553</v>
      </c>
      <c r="N123" s="48" t="s">
        <v>222</v>
      </c>
      <c r="O123" s="49">
        <v>15.64</v>
      </c>
      <c r="P123" s="50">
        <v>15</v>
      </c>
      <c r="Q123" s="51">
        <v>215600</v>
      </c>
      <c r="R123" s="51">
        <v>3234000</v>
      </c>
      <c r="S123" s="51">
        <f>Tabla2[[#This Row],[Valor Total]]*1.19</f>
        <v>3848460</v>
      </c>
      <c r="T123" s="52" t="s">
        <v>39</v>
      </c>
      <c r="U123" s="52"/>
      <c r="V123" s="53">
        <v>45936</v>
      </c>
      <c r="W123" s="43"/>
      <c r="X123" s="43" t="s">
        <v>41</v>
      </c>
      <c r="AA123" s="43"/>
      <c r="AB123" s="43"/>
      <c r="AC123" s="54"/>
      <c r="AD123" s="55"/>
    </row>
    <row r="124" spans="1:30" hidden="1">
      <c r="A124" s="44" t="s">
        <v>30</v>
      </c>
      <c r="B124" s="45"/>
      <c r="C124" s="45"/>
      <c r="D124" s="45"/>
      <c r="E124" s="46" t="s">
        <v>554</v>
      </c>
      <c r="F124" s="45"/>
      <c r="G124" s="45"/>
      <c r="H124" s="45"/>
      <c r="I124" s="45"/>
      <c r="J124" s="45" t="s">
        <v>49</v>
      </c>
      <c r="K124" s="47"/>
      <c r="L124" s="46"/>
      <c r="M124" s="47" t="s">
        <v>555</v>
      </c>
      <c r="N124" s="48" t="s">
        <v>51</v>
      </c>
      <c r="O124" s="49">
        <v>0.01</v>
      </c>
      <c r="P124" s="50">
        <v>1</v>
      </c>
      <c r="Q124" s="51">
        <v>215600</v>
      </c>
      <c r="R124" s="51">
        <v>215600</v>
      </c>
      <c r="S124" s="51">
        <f>Tabla2[[#This Row],[Valor Total]]*1.19</f>
        <v>256564</v>
      </c>
      <c r="T124" s="52" t="s">
        <v>39</v>
      </c>
      <c r="U124" s="52"/>
      <c r="V124" s="53">
        <v>45965</v>
      </c>
      <c r="W124" s="43"/>
      <c r="X124" s="43" t="s">
        <v>41</v>
      </c>
      <c r="AA124" s="43"/>
      <c r="AB124" s="43"/>
      <c r="AC124" s="54"/>
      <c r="AD124" s="55"/>
    </row>
    <row r="125" spans="1:30" hidden="1">
      <c r="A125" s="44" t="s">
        <v>42</v>
      </c>
      <c r="B125" s="45"/>
      <c r="C125" s="45"/>
      <c r="D125" s="45"/>
      <c r="E125" s="46" t="s">
        <v>556</v>
      </c>
      <c r="F125" s="45"/>
      <c r="G125" s="45"/>
      <c r="H125" s="45"/>
      <c r="I125" s="45"/>
      <c r="J125" s="45" t="s">
        <v>49</v>
      </c>
      <c r="K125" s="47"/>
      <c r="L125" s="46"/>
      <c r="M125" s="47" t="s">
        <v>557</v>
      </c>
      <c r="N125" s="48" t="s">
        <v>51</v>
      </c>
      <c r="O125" s="49">
        <v>0.02</v>
      </c>
      <c r="P125" s="50">
        <v>1</v>
      </c>
      <c r="Q125" s="51">
        <v>215600</v>
      </c>
      <c r="R125" s="51">
        <v>215600</v>
      </c>
      <c r="S125" s="51">
        <f>Tabla2[[#This Row],[Valor Total]]*1.19</f>
        <v>256564</v>
      </c>
      <c r="T125" s="52" t="s">
        <v>39</v>
      </c>
      <c r="U125" s="52"/>
      <c r="V125" s="53">
        <v>45936</v>
      </c>
      <c r="W125" s="43"/>
      <c r="X125" s="43" t="s">
        <v>41</v>
      </c>
      <c r="AA125" s="43"/>
      <c r="AB125" s="43"/>
      <c r="AC125" s="54"/>
      <c r="AD125" s="55"/>
    </row>
    <row r="126" spans="1:30" hidden="1">
      <c r="A126" s="44" t="s">
        <v>126</v>
      </c>
      <c r="B126" s="45"/>
      <c r="C126" s="45"/>
      <c r="D126" s="45"/>
      <c r="E126" s="46" t="s">
        <v>558</v>
      </c>
      <c r="F126" s="45"/>
      <c r="G126" s="45"/>
      <c r="H126" s="45"/>
      <c r="I126" s="45"/>
      <c r="J126" s="45" t="s">
        <v>49</v>
      </c>
      <c r="K126" s="47"/>
      <c r="L126" s="46"/>
      <c r="M126" s="47" t="s">
        <v>559</v>
      </c>
      <c r="N126" s="48" t="s">
        <v>51</v>
      </c>
      <c r="O126" s="49">
        <v>3</v>
      </c>
      <c r="P126" s="50">
        <v>14</v>
      </c>
      <c r="Q126" s="51">
        <v>215600</v>
      </c>
      <c r="R126" s="51">
        <v>3018400</v>
      </c>
      <c r="S126" s="51">
        <f>Tabla2[[#This Row],[Valor Total]]*1.19</f>
        <v>3591896</v>
      </c>
      <c r="T126" s="52" t="s">
        <v>39</v>
      </c>
      <c r="U126" s="52"/>
      <c r="V126" s="53">
        <v>45995</v>
      </c>
      <c r="W126" s="43"/>
      <c r="X126" s="43" t="s">
        <v>41</v>
      </c>
      <c r="AA126" s="43"/>
      <c r="AB126" s="43"/>
      <c r="AC126" s="54"/>
      <c r="AD126" s="55"/>
    </row>
    <row r="127" spans="1:30" hidden="1">
      <c r="A127" s="44" t="s">
        <v>30</v>
      </c>
      <c r="B127" s="45"/>
      <c r="C127" s="45"/>
      <c r="D127" s="45"/>
      <c r="E127" s="46" t="s">
        <v>560</v>
      </c>
      <c r="F127" s="45"/>
      <c r="G127" s="45"/>
      <c r="H127" s="45"/>
      <c r="I127" s="45"/>
      <c r="J127" s="45" t="s">
        <v>49</v>
      </c>
      <c r="K127" s="47"/>
      <c r="L127" s="46"/>
      <c r="M127" s="47" t="s">
        <v>215</v>
      </c>
      <c r="N127" s="48" t="s">
        <v>51</v>
      </c>
      <c r="O127" s="49">
        <v>3.3</v>
      </c>
      <c r="P127" s="50">
        <v>11</v>
      </c>
      <c r="Q127" s="51">
        <v>215600</v>
      </c>
      <c r="R127" s="51">
        <v>2371600</v>
      </c>
      <c r="S127" s="51">
        <f>Tabla2[[#This Row],[Valor Total]]*1.19</f>
        <v>2822204</v>
      </c>
      <c r="T127" s="52" t="s">
        <v>39</v>
      </c>
      <c r="U127" s="52"/>
      <c r="V127" s="53">
        <v>45965</v>
      </c>
      <c r="W127" s="43"/>
      <c r="X127" s="43" t="s">
        <v>41</v>
      </c>
      <c r="AA127" s="43"/>
      <c r="AB127" s="43"/>
      <c r="AC127" s="54"/>
      <c r="AD127" s="55"/>
    </row>
    <row r="128" spans="1:30" hidden="1">
      <c r="A128" s="44" t="s">
        <v>126</v>
      </c>
      <c r="B128" s="45"/>
      <c r="C128" s="45"/>
      <c r="D128" s="45"/>
      <c r="E128" s="46" t="s">
        <v>561</v>
      </c>
      <c r="F128" s="45"/>
      <c r="G128" s="45"/>
      <c r="H128" s="45"/>
      <c r="I128" s="45"/>
      <c r="J128" s="45" t="s">
        <v>49</v>
      </c>
      <c r="K128" s="47"/>
      <c r="L128" s="46"/>
      <c r="M128" s="47" t="s">
        <v>221</v>
      </c>
      <c r="N128" s="48" t="s">
        <v>222</v>
      </c>
      <c r="O128" s="49">
        <v>60.289000000000001</v>
      </c>
      <c r="P128" s="50">
        <v>70</v>
      </c>
      <c r="Q128" s="51">
        <v>215600</v>
      </c>
      <c r="R128" s="51">
        <v>15092000</v>
      </c>
      <c r="S128" s="51">
        <f>Tabla2[[#This Row],[Valor Total]]*1.19</f>
        <v>17959480</v>
      </c>
      <c r="T128" s="52" t="s">
        <v>39</v>
      </c>
      <c r="U128" s="52"/>
      <c r="V128" s="53">
        <v>45995</v>
      </c>
      <c r="W128" s="43"/>
      <c r="X128" s="43" t="s">
        <v>41</v>
      </c>
      <c r="AA128" s="43"/>
      <c r="AB128" s="43"/>
      <c r="AC128" s="54"/>
      <c r="AD128" s="55"/>
    </row>
    <row r="129" spans="1:30" hidden="1">
      <c r="A129" s="44" t="s">
        <v>30</v>
      </c>
      <c r="B129" s="45"/>
      <c r="C129" s="45"/>
      <c r="D129" s="45"/>
      <c r="E129" s="46" t="s">
        <v>562</v>
      </c>
      <c r="F129" s="45"/>
      <c r="G129" s="45"/>
      <c r="H129" s="45"/>
      <c r="I129" s="45"/>
      <c r="J129" s="45" t="s">
        <v>49</v>
      </c>
      <c r="K129" s="47"/>
      <c r="L129" s="46"/>
      <c r="M129" s="47" t="s">
        <v>256</v>
      </c>
      <c r="N129" s="48" t="s">
        <v>51</v>
      </c>
      <c r="O129" s="49">
        <v>1.45</v>
      </c>
      <c r="P129" s="50">
        <v>7</v>
      </c>
      <c r="Q129" s="51">
        <v>215600</v>
      </c>
      <c r="R129" s="51">
        <v>1509200</v>
      </c>
      <c r="S129" s="51">
        <f>Tabla2[[#This Row],[Valor Total]]*1.19</f>
        <v>1795948</v>
      </c>
      <c r="T129" s="52" t="s">
        <v>39</v>
      </c>
      <c r="U129" s="52"/>
      <c r="V129" s="53">
        <v>45965</v>
      </c>
      <c r="W129" s="43"/>
      <c r="X129" s="43" t="s">
        <v>41</v>
      </c>
      <c r="AA129" s="43"/>
      <c r="AB129" s="43"/>
      <c r="AC129" s="54"/>
      <c r="AD129" s="55"/>
    </row>
    <row r="130" spans="1:30" hidden="1">
      <c r="A130" s="44" t="s">
        <v>126</v>
      </c>
      <c r="B130" s="45"/>
      <c r="C130" s="45"/>
      <c r="D130" s="45"/>
      <c r="E130" s="46" t="s">
        <v>563</v>
      </c>
      <c r="F130" s="45"/>
      <c r="G130" s="45"/>
      <c r="H130" s="45"/>
      <c r="I130" s="45"/>
      <c r="J130" s="45" t="s">
        <v>49</v>
      </c>
      <c r="K130" s="47"/>
      <c r="L130" s="46"/>
      <c r="M130" s="47" t="s">
        <v>564</v>
      </c>
      <c r="N130" s="48" t="s">
        <v>51</v>
      </c>
      <c r="O130" s="49">
        <v>0.46</v>
      </c>
      <c r="P130" s="50">
        <v>3</v>
      </c>
      <c r="Q130" s="51">
        <v>215600</v>
      </c>
      <c r="R130" s="51">
        <v>646800</v>
      </c>
      <c r="S130" s="51">
        <f>Tabla2[[#This Row],[Valor Total]]*1.19</f>
        <v>769692</v>
      </c>
      <c r="T130" s="52" t="s">
        <v>39</v>
      </c>
      <c r="U130" s="52"/>
      <c r="V130" s="53">
        <v>45995</v>
      </c>
      <c r="W130" s="43"/>
      <c r="X130" s="43" t="s">
        <v>41</v>
      </c>
      <c r="AA130" s="43"/>
      <c r="AB130" s="43"/>
      <c r="AC130" s="54"/>
      <c r="AD130" s="55"/>
    </row>
    <row r="131" spans="1:30" hidden="1">
      <c r="A131" s="44" t="s">
        <v>30</v>
      </c>
      <c r="B131" s="45"/>
      <c r="C131" s="45"/>
      <c r="D131" s="45"/>
      <c r="E131" s="46" t="s">
        <v>565</v>
      </c>
      <c r="F131" s="45"/>
      <c r="G131" s="45"/>
      <c r="H131" s="45"/>
      <c r="I131" s="45"/>
      <c r="J131" s="45" t="s">
        <v>49</v>
      </c>
      <c r="K131" s="47"/>
      <c r="L131" s="46"/>
      <c r="M131" s="47" t="s">
        <v>566</v>
      </c>
      <c r="N131" s="48" t="s">
        <v>51</v>
      </c>
      <c r="O131" s="49">
        <v>1.2E-2</v>
      </c>
      <c r="P131" s="50">
        <v>1</v>
      </c>
      <c r="Q131" s="51">
        <v>215600</v>
      </c>
      <c r="R131" s="51">
        <v>215600</v>
      </c>
      <c r="S131" s="51">
        <f>Tabla2[[#This Row],[Valor Total]]*1.19</f>
        <v>256564</v>
      </c>
      <c r="T131" s="52" t="s">
        <v>39</v>
      </c>
      <c r="U131" s="52"/>
      <c r="V131" s="53">
        <v>45965</v>
      </c>
      <c r="W131" s="43"/>
      <c r="X131" s="43" t="s">
        <v>41</v>
      </c>
      <c r="AA131" s="43"/>
      <c r="AB131" s="43"/>
      <c r="AC131" s="54"/>
      <c r="AD131" s="55"/>
    </row>
    <row r="132" spans="1:30" hidden="1">
      <c r="A132" s="44" t="s">
        <v>126</v>
      </c>
      <c r="B132" s="45"/>
      <c r="C132" s="45"/>
      <c r="D132" s="45"/>
      <c r="E132" s="46" t="s">
        <v>567</v>
      </c>
      <c r="F132" s="45"/>
      <c r="G132" s="45"/>
      <c r="H132" s="45"/>
      <c r="I132" s="45"/>
      <c r="J132" s="45" t="s">
        <v>49</v>
      </c>
      <c r="K132" s="47"/>
      <c r="L132" s="46"/>
      <c r="M132" s="47" t="s">
        <v>568</v>
      </c>
      <c r="N132" s="48" t="s">
        <v>51</v>
      </c>
      <c r="O132" s="49">
        <v>0.02</v>
      </c>
      <c r="P132" s="50">
        <v>1</v>
      </c>
      <c r="Q132" s="51">
        <v>215600</v>
      </c>
      <c r="R132" s="51">
        <v>215600</v>
      </c>
      <c r="S132" s="51">
        <f>Tabla2[[#This Row],[Valor Total]]*1.19</f>
        <v>256564</v>
      </c>
      <c r="T132" s="52" t="s">
        <v>39</v>
      </c>
      <c r="U132" s="52"/>
      <c r="V132" s="53">
        <v>45995</v>
      </c>
      <c r="W132" s="43"/>
      <c r="X132" s="43" t="s">
        <v>41</v>
      </c>
      <c r="AA132" s="43"/>
      <c r="AB132" s="43"/>
      <c r="AC132" s="54"/>
      <c r="AD132" s="55"/>
    </row>
    <row r="133" spans="1:30" hidden="1">
      <c r="A133" s="44" t="s">
        <v>30</v>
      </c>
      <c r="B133" s="45"/>
      <c r="C133" s="45"/>
      <c r="D133" s="45"/>
      <c r="E133" s="46" t="s">
        <v>569</v>
      </c>
      <c r="F133" s="45"/>
      <c r="G133" s="45"/>
      <c r="H133" s="45"/>
      <c r="I133" s="45"/>
      <c r="J133" s="45" t="s">
        <v>49</v>
      </c>
      <c r="K133" s="47"/>
      <c r="L133" s="46"/>
      <c r="M133" s="47" t="s">
        <v>373</v>
      </c>
      <c r="N133" s="48" t="s">
        <v>51</v>
      </c>
      <c r="O133" s="49">
        <v>4.4400000000000004</v>
      </c>
      <c r="P133" s="50">
        <v>7</v>
      </c>
      <c r="Q133" s="51">
        <v>215600</v>
      </c>
      <c r="R133" s="51">
        <v>1509200</v>
      </c>
      <c r="S133" s="51">
        <f>Tabla2[[#This Row],[Valor Total]]*1.19</f>
        <v>1795948</v>
      </c>
      <c r="T133" s="52" t="s">
        <v>39</v>
      </c>
      <c r="U133" s="52"/>
      <c r="V133" s="53">
        <v>45965</v>
      </c>
      <c r="W133" s="43"/>
      <c r="X133" s="43" t="s">
        <v>41</v>
      </c>
      <c r="AA133" s="43"/>
      <c r="AB133" s="43"/>
      <c r="AC133" s="54"/>
      <c r="AD133" s="55"/>
    </row>
    <row r="134" spans="1:30" hidden="1">
      <c r="A134" s="44" t="s">
        <v>126</v>
      </c>
      <c r="B134" s="45"/>
      <c r="C134" s="45"/>
      <c r="D134" s="45"/>
      <c r="E134" s="46" t="s">
        <v>570</v>
      </c>
      <c r="F134" s="45"/>
      <c r="G134" s="45"/>
      <c r="H134" s="45"/>
      <c r="I134" s="45"/>
      <c r="J134" s="45" t="s">
        <v>49</v>
      </c>
      <c r="K134" s="47"/>
      <c r="L134" s="46"/>
      <c r="M134" s="47" t="s">
        <v>571</v>
      </c>
      <c r="N134" s="48" t="s">
        <v>51</v>
      </c>
      <c r="O134" s="49">
        <v>3.02</v>
      </c>
      <c r="P134" s="50">
        <v>4</v>
      </c>
      <c r="Q134" s="51">
        <v>215600</v>
      </c>
      <c r="R134" s="51">
        <v>862400</v>
      </c>
      <c r="S134" s="51">
        <f>Tabla2[[#This Row],[Valor Total]]*1.19</f>
        <v>1026256</v>
      </c>
      <c r="T134" s="52" t="s">
        <v>39</v>
      </c>
      <c r="U134" s="52"/>
      <c r="V134" s="53">
        <v>45995</v>
      </c>
      <c r="W134" s="43"/>
      <c r="X134" s="43" t="s">
        <v>41</v>
      </c>
      <c r="AA134" s="43"/>
      <c r="AB134" s="43"/>
      <c r="AC134" s="54"/>
      <c r="AD134" s="55"/>
    </row>
    <row r="135" spans="1:30" hidden="1">
      <c r="A135" s="44" t="s">
        <v>30</v>
      </c>
      <c r="B135" s="45"/>
      <c r="C135" s="45"/>
      <c r="D135" s="45"/>
      <c r="E135" s="46" t="s">
        <v>572</v>
      </c>
      <c r="F135" s="45"/>
      <c r="G135" s="45"/>
      <c r="H135" s="45"/>
      <c r="I135" s="45"/>
      <c r="J135" s="45" t="s">
        <v>49</v>
      </c>
      <c r="K135" s="47"/>
      <c r="L135" s="46"/>
      <c r="M135" s="47" t="s">
        <v>573</v>
      </c>
      <c r="N135" s="48" t="s">
        <v>222</v>
      </c>
      <c r="O135" s="49">
        <v>24.5</v>
      </c>
      <c r="P135" s="50">
        <v>37</v>
      </c>
      <c r="Q135" s="51">
        <v>215600</v>
      </c>
      <c r="R135" s="51">
        <v>7977200</v>
      </c>
      <c r="S135" s="51">
        <f>Tabla2[[#This Row],[Valor Total]]*1.19</f>
        <v>9492868</v>
      </c>
      <c r="T135" s="52" t="s">
        <v>39</v>
      </c>
      <c r="U135" s="52"/>
      <c r="V135" s="53">
        <v>45965</v>
      </c>
      <c r="W135" s="43"/>
      <c r="X135" s="43" t="s">
        <v>41</v>
      </c>
      <c r="AA135" s="43"/>
      <c r="AB135" s="43"/>
      <c r="AC135" s="54"/>
      <c r="AD135" s="55"/>
    </row>
    <row r="136" spans="1:30" hidden="1">
      <c r="A136" s="44" t="s">
        <v>30</v>
      </c>
      <c r="B136" s="45"/>
      <c r="C136" s="45"/>
      <c r="D136" s="45"/>
      <c r="E136" s="46" t="s">
        <v>574</v>
      </c>
      <c r="F136" s="45"/>
      <c r="G136" s="45"/>
      <c r="H136" s="45"/>
      <c r="I136" s="45"/>
      <c r="J136" s="45" t="s">
        <v>49</v>
      </c>
      <c r="K136" s="47"/>
      <c r="L136" s="46"/>
      <c r="M136" s="47" t="s">
        <v>575</v>
      </c>
      <c r="N136" s="48" t="s">
        <v>222</v>
      </c>
      <c r="O136" s="49">
        <v>36.073999999999998</v>
      </c>
      <c r="P136" s="50">
        <v>43</v>
      </c>
      <c r="Q136" s="51">
        <v>215600</v>
      </c>
      <c r="R136" s="51">
        <v>9270800</v>
      </c>
      <c r="S136" s="51">
        <f>Tabla2[[#This Row],[Valor Total]]*1.19</f>
        <v>11032252</v>
      </c>
      <c r="T136" s="52" t="s">
        <v>39</v>
      </c>
      <c r="U136" s="52"/>
      <c r="V136" s="53">
        <v>45965</v>
      </c>
      <c r="W136" s="43"/>
      <c r="X136" s="43" t="s">
        <v>41</v>
      </c>
      <c r="AA136" s="43"/>
      <c r="AB136" s="43"/>
      <c r="AC136" s="54"/>
      <c r="AD136" s="55"/>
    </row>
    <row r="137" spans="1:30" hidden="1">
      <c r="A137" s="44" t="s">
        <v>126</v>
      </c>
      <c r="B137" s="45"/>
      <c r="C137" s="45"/>
      <c r="D137" s="45"/>
      <c r="E137" s="46" t="s">
        <v>576</v>
      </c>
      <c r="F137" s="45"/>
      <c r="G137" s="45"/>
      <c r="H137" s="45"/>
      <c r="I137" s="45"/>
      <c r="J137" s="45" t="s">
        <v>49</v>
      </c>
      <c r="K137" s="47"/>
      <c r="L137" s="46"/>
      <c r="M137" s="47" t="s">
        <v>577</v>
      </c>
      <c r="N137" s="48" t="s">
        <v>51</v>
      </c>
      <c r="O137" s="49">
        <v>3.1059999999999999</v>
      </c>
      <c r="P137" s="50">
        <v>15</v>
      </c>
      <c r="Q137" s="51">
        <v>215600</v>
      </c>
      <c r="R137" s="51">
        <v>3234000</v>
      </c>
      <c r="S137" s="51">
        <f>Tabla2[[#This Row],[Valor Total]]*1.19</f>
        <v>3848460</v>
      </c>
      <c r="T137" s="52" t="s">
        <v>39</v>
      </c>
      <c r="U137" s="52"/>
      <c r="V137" s="53">
        <v>45995</v>
      </c>
      <c r="W137" s="43"/>
      <c r="X137" s="43" t="s">
        <v>41</v>
      </c>
      <c r="AA137" s="43"/>
      <c r="AB137" s="43"/>
      <c r="AC137" s="54"/>
      <c r="AD137" s="55"/>
    </row>
    <row r="138" spans="1:30" hidden="1">
      <c r="A138" s="44" t="s">
        <v>126</v>
      </c>
      <c r="B138" s="45"/>
      <c r="C138" s="45"/>
      <c r="D138" s="45"/>
      <c r="E138" s="46" t="s">
        <v>578</v>
      </c>
      <c r="F138" s="45"/>
      <c r="G138" s="45"/>
      <c r="H138" s="45"/>
      <c r="I138" s="45"/>
      <c r="J138" s="45" t="s">
        <v>49</v>
      </c>
      <c r="K138" s="47"/>
      <c r="L138" s="46"/>
      <c r="M138" s="47" t="s">
        <v>579</v>
      </c>
      <c r="N138" s="48" t="s">
        <v>51</v>
      </c>
      <c r="O138" s="49">
        <v>17</v>
      </c>
      <c r="P138" s="50">
        <v>19</v>
      </c>
      <c r="Q138" s="51">
        <v>215600</v>
      </c>
      <c r="R138" s="51">
        <v>4096400</v>
      </c>
      <c r="S138" s="51">
        <f>Tabla2[[#This Row],[Valor Total]]*1.19</f>
        <v>4874716</v>
      </c>
      <c r="T138" s="52" t="s">
        <v>39</v>
      </c>
      <c r="U138" s="52"/>
      <c r="V138" s="53">
        <v>45995</v>
      </c>
      <c r="W138" s="43"/>
      <c r="X138" s="43" t="s">
        <v>41</v>
      </c>
      <c r="AA138" s="43"/>
      <c r="AB138" s="43"/>
      <c r="AC138" s="54"/>
      <c r="AD138" s="55"/>
    </row>
    <row r="139" spans="1:30" hidden="1">
      <c r="A139" s="44" t="s">
        <v>30</v>
      </c>
      <c r="B139" s="45"/>
      <c r="C139" s="45"/>
      <c r="D139" s="45"/>
      <c r="E139" s="46" t="s">
        <v>580</v>
      </c>
      <c r="F139" s="45"/>
      <c r="G139" s="45"/>
      <c r="H139" s="45"/>
      <c r="I139" s="45"/>
      <c r="J139" s="45" t="s">
        <v>49</v>
      </c>
      <c r="K139" s="47"/>
      <c r="L139" s="46"/>
      <c r="M139" s="47" t="s">
        <v>446</v>
      </c>
      <c r="N139" s="48" t="s">
        <v>51</v>
      </c>
      <c r="O139" s="49">
        <v>4.1000000000000002E-2</v>
      </c>
      <c r="P139" s="50">
        <v>1</v>
      </c>
      <c r="Q139" s="51">
        <v>215600</v>
      </c>
      <c r="R139" s="51">
        <v>215600</v>
      </c>
      <c r="S139" s="51">
        <f>Tabla2[[#This Row],[Valor Total]]*1.19</f>
        <v>256564</v>
      </c>
      <c r="T139" s="52" t="s">
        <v>39</v>
      </c>
      <c r="U139" s="52"/>
      <c r="V139" s="53">
        <v>45965</v>
      </c>
      <c r="W139" s="43"/>
      <c r="X139" s="43" t="s">
        <v>41</v>
      </c>
      <c r="AA139" s="43"/>
      <c r="AB139" s="43"/>
      <c r="AC139" s="54"/>
      <c r="AD139" s="55"/>
    </row>
    <row r="140" spans="1:30" hidden="1">
      <c r="A140" s="44" t="s">
        <v>30</v>
      </c>
      <c r="B140" s="45"/>
      <c r="C140" s="45"/>
      <c r="D140" s="45"/>
      <c r="E140" s="46" t="s">
        <v>581</v>
      </c>
      <c r="F140" s="45"/>
      <c r="G140" s="45"/>
      <c r="H140" s="45"/>
      <c r="I140" s="45"/>
      <c r="J140" s="45" t="s">
        <v>49</v>
      </c>
      <c r="K140" s="47"/>
      <c r="L140" s="46"/>
      <c r="M140" s="47" t="s">
        <v>455</v>
      </c>
      <c r="N140" s="48" t="s">
        <v>51</v>
      </c>
      <c r="O140" s="49">
        <v>4.45</v>
      </c>
      <c r="P140" s="50">
        <v>5</v>
      </c>
      <c r="Q140" s="51">
        <v>215600</v>
      </c>
      <c r="R140" s="51">
        <v>1078000</v>
      </c>
      <c r="S140" s="51">
        <f>Tabla2[[#This Row],[Valor Total]]*1.19</f>
        <v>1282820</v>
      </c>
      <c r="T140" s="52" t="s">
        <v>39</v>
      </c>
      <c r="U140" s="52"/>
      <c r="V140" s="53">
        <v>45965</v>
      </c>
      <c r="W140" s="43"/>
      <c r="X140" s="43" t="s">
        <v>41</v>
      </c>
      <c r="AA140" s="43"/>
      <c r="AB140" s="43"/>
      <c r="AC140" s="54"/>
      <c r="AD140" s="55"/>
    </row>
    <row r="141" spans="1:30" hidden="1">
      <c r="A141" s="44" t="s">
        <v>30</v>
      </c>
      <c r="B141" s="45"/>
      <c r="C141" s="45"/>
      <c r="D141" s="45"/>
      <c r="E141" s="46" t="s">
        <v>582</v>
      </c>
      <c r="F141" s="45"/>
      <c r="G141" s="45"/>
      <c r="H141" s="45"/>
      <c r="I141" s="45"/>
      <c r="J141" s="45" t="s">
        <v>49</v>
      </c>
      <c r="K141" s="47"/>
      <c r="L141" s="46"/>
      <c r="M141" s="47" t="s">
        <v>583</v>
      </c>
      <c r="N141" s="48" t="s">
        <v>222</v>
      </c>
      <c r="O141" s="49">
        <v>72.387</v>
      </c>
      <c r="P141" s="50">
        <v>82</v>
      </c>
      <c r="Q141" s="51">
        <v>215600</v>
      </c>
      <c r="R141" s="51">
        <v>17679200</v>
      </c>
      <c r="S141" s="51">
        <f>Tabla2[[#This Row],[Valor Total]]*1.19</f>
        <v>21038248</v>
      </c>
      <c r="T141" s="52" t="s">
        <v>39</v>
      </c>
      <c r="U141" s="52"/>
      <c r="V141" s="53">
        <v>45965</v>
      </c>
      <c r="W141" s="43"/>
      <c r="X141" s="43" t="s">
        <v>41</v>
      </c>
      <c r="AA141" s="43"/>
      <c r="AB141" s="43"/>
      <c r="AC141" s="54"/>
      <c r="AD141" s="55"/>
    </row>
    <row r="142" spans="1:30" hidden="1">
      <c r="A142" s="44" t="s">
        <v>30</v>
      </c>
      <c r="B142" s="45"/>
      <c r="C142" s="45"/>
      <c r="D142" s="45"/>
      <c r="E142" s="46" t="s">
        <v>584</v>
      </c>
      <c r="F142" s="45"/>
      <c r="G142" s="45"/>
      <c r="H142" s="45"/>
      <c r="I142" s="45"/>
      <c r="J142" s="45" t="s">
        <v>49</v>
      </c>
      <c r="K142" s="47"/>
      <c r="L142" s="46"/>
      <c r="M142" s="47" t="s">
        <v>459</v>
      </c>
      <c r="N142" s="48" t="s">
        <v>51</v>
      </c>
      <c r="O142" s="49">
        <v>4.01</v>
      </c>
      <c r="P142" s="50">
        <v>5</v>
      </c>
      <c r="Q142" s="51">
        <v>215600</v>
      </c>
      <c r="R142" s="51">
        <v>1078000</v>
      </c>
      <c r="S142" s="51">
        <f>Tabla2[[#This Row],[Valor Total]]*1.19</f>
        <v>1282820</v>
      </c>
      <c r="T142" s="52" t="s">
        <v>39</v>
      </c>
      <c r="U142" s="52"/>
      <c r="V142" s="53">
        <v>45965</v>
      </c>
      <c r="W142" s="43"/>
      <c r="X142" s="43" t="s">
        <v>41</v>
      </c>
      <c r="AA142" s="43"/>
      <c r="AB142" s="43"/>
      <c r="AC142" s="54"/>
      <c r="AD142" s="55"/>
    </row>
    <row r="143" spans="1:30" hidden="1">
      <c r="A143" s="44" t="s">
        <v>30</v>
      </c>
      <c r="B143" s="45"/>
      <c r="C143" s="45"/>
      <c r="D143" s="45"/>
      <c r="E143" s="46" t="s">
        <v>585</v>
      </c>
      <c r="F143" s="45"/>
      <c r="G143" s="45"/>
      <c r="H143" s="45"/>
      <c r="I143" s="45"/>
      <c r="J143" s="45" t="s">
        <v>49</v>
      </c>
      <c r="K143" s="47"/>
      <c r="L143" s="46"/>
      <c r="M143" s="47" t="s">
        <v>463</v>
      </c>
      <c r="N143" s="48" t="s">
        <v>51</v>
      </c>
      <c r="O143" s="49">
        <v>9.2669999999999995</v>
      </c>
      <c r="P143" s="50">
        <v>10</v>
      </c>
      <c r="Q143" s="51">
        <v>215600</v>
      </c>
      <c r="R143" s="51">
        <v>2156000</v>
      </c>
      <c r="S143" s="51">
        <f>Tabla2[[#This Row],[Valor Total]]*1.19</f>
        <v>2565640</v>
      </c>
      <c r="T143" s="52" t="s">
        <v>39</v>
      </c>
      <c r="U143" s="52"/>
      <c r="V143" s="53">
        <v>45965</v>
      </c>
      <c r="W143" s="43"/>
      <c r="X143" s="43" t="s">
        <v>41</v>
      </c>
      <c r="AA143" s="43"/>
      <c r="AB143" s="43"/>
      <c r="AC143" s="54"/>
      <c r="AD143" s="55"/>
    </row>
    <row r="144" spans="1:30" hidden="1">
      <c r="A144" s="44" t="s">
        <v>30</v>
      </c>
      <c r="B144" s="45"/>
      <c r="C144" s="45"/>
      <c r="D144" s="45"/>
      <c r="E144" s="46" t="s">
        <v>586</v>
      </c>
      <c r="F144" s="45"/>
      <c r="G144" s="45"/>
      <c r="H144" s="45"/>
      <c r="I144" s="45"/>
      <c r="J144" s="45" t="s">
        <v>49</v>
      </c>
      <c r="K144" s="47"/>
      <c r="L144" s="46"/>
      <c r="M144" s="47" t="s">
        <v>587</v>
      </c>
      <c r="N144" s="48" t="s">
        <v>51</v>
      </c>
      <c r="O144" s="49">
        <v>3.0640000000000001</v>
      </c>
      <c r="P144" s="50">
        <v>4</v>
      </c>
      <c r="Q144" s="51">
        <v>215600</v>
      </c>
      <c r="R144" s="51">
        <v>862400</v>
      </c>
      <c r="S144" s="51">
        <f>Tabla2[[#This Row],[Valor Total]]*1.19</f>
        <v>1026256</v>
      </c>
      <c r="T144" s="52" t="s">
        <v>39</v>
      </c>
      <c r="U144" s="52"/>
      <c r="V144" s="53">
        <v>45965</v>
      </c>
      <c r="W144" s="43"/>
      <c r="X144" s="43" t="s">
        <v>41</v>
      </c>
      <c r="AA144" s="43"/>
      <c r="AB144" s="43"/>
      <c r="AC144" s="54"/>
      <c r="AD144" s="55"/>
    </row>
    <row r="145" spans="1:30" hidden="1">
      <c r="A145" s="44" t="s">
        <v>42</v>
      </c>
      <c r="B145" s="45"/>
      <c r="C145" s="45"/>
      <c r="D145" s="45"/>
      <c r="E145" s="46" t="s">
        <v>588</v>
      </c>
      <c r="F145" s="45"/>
      <c r="G145" s="45"/>
      <c r="H145" s="45"/>
      <c r="I145" s="45"/>
      <c r="J145" s="45" t="s">
        <v>49</v>
      </c>
      <c r="K145" s="47"/>
      <c r="L145" s="46"/>
      <c r="M145" s="47" t="s">
        <v>589</v>
      </c>
      <c r="N145" s="48" t="s">
        <v>222</v>
      </c>
      <c r="O145" s="49">
        <v>4.1669999999999998</v>
      </c>
      <c r="P145" s="50">
        <v>3</v>
      </c>
      <c r="Q145" s="51">
        <v>215600</v>
      </c>
      <c r="R145" s="51">
        <v>646800</v>
      </c>
      <c r="S145" s="51">
        <f>Tabla2[[#This Row],[Valor Total]]*1.19</f>
        <v>769692</v>
      </c>
      <c r="T145" s="52" t="s">
        <v>39</v>
      </c>
      <c r="U145" s="52"/>
      <c r="V145" s="53">
        <v>45936</v>
      </c>
      <c r="W145" s="43"/>
      <c r="X145" s="43" t="s">
        <v>41</v>
      </c>
      <c r="AA145" s="43"/>
      <c r="AB145" s="43"/>
      <c r="AC145" s="54"/>
      <c r="AD145" s="55"/>
    </row>
    <row r="146" spans="1:30" hidden="1">
      <c r="A146" s="44" t="s">
        <v>30</v>
      </c>
      <c r="B146" s="45"/>
      <c r="C146" s="45"/>
      <c r="D146" s="45"/>
      <c r="E146" s="46" t="s">
        <v>590</v>
      </c>
      <c r="F146" s="45"/>
      <c r="G146" s="45"/>
      <c r="H146" s="45"/>
      <c r="I146" s="45"/>
      <c r="J146" s="45" t="s">
        <v>49</v>
      </c>
      <c r="K146" s="47"/>
      <c r="L146" s="46"/>
      <c r="M146" s="47" t="s">
        <v>591</v>
      </c>
      <c r="N146" s="48" t="s">
        <v>51</v>
      </c>
      <c r="O146" s="49">
        <v>1.7</v>
      </c>
      <c r="P146" s="50">
        <v>2</v>
      </c>
      <c r="Q146" s="51">
        <v>215600</v>
      </c>
      <c r="R146" s="51">
        <v>431200</v>
      </c>
      <c r="S146" s="51">
        <f>Tabla2[[#This Row],[Valor Total]]*1.19</f>
        <v>513128</v>
      </c>
      <c r="T146" s="52" t="s">
        <v>39</v>
      </c>
      <c r="U146" s="52"/>
      <c r="V146" s="53">
        <v>45965</v>
      </c>
      <c r="W146" s="43"/>
      <c r="X146" s="43" t="s">
        <v>41</v>
      </c>
      <c r="AA146" s="43"/>
      <c r="AB146" s="43"/>
      <c r="AC146" s="54"/>
      <c r="AD146" s="55"/>
    </row>
    <row r="147" spans="1:30" hidden="1">
      <c r="A147" s="44" t="s">
        <v>30</v>
      </c>
      <c r="B147" s="45"/>
      <c r="C147" s="45"/>
      <c r="D147" s="45"/>
      <c r="E147" s="46" t="s">
        <v>592</v>
      </c>
      <c r="F147" s="45"/>
      <c r="G147" s="45"/>
      <c r="H147" s="45"/>
      <c r="I147" s="45"/>
      <c r="J147" s="45" t="s">
        <v>49</v>
      </c>
      <c r="K147" s="47"/>
      <c r="L147" s="46"/>
      <c r="M147" s="47" t="s">
        <v>504</v>
      </c>
      <c r="N147" s="48" t="s">
        <v>51</v>
      </c>
      <c r="O147" s="49">
        <v>4.0010000000000003</v>
      </c>
      <c r="P147" s="50">
        <v>4</v>
      </c>
      <c r="Q147" s="51">
        <v>215600</v>
      </c>
      <c r="R147" s="51">
        <v>862400</v>
      </c>
      <c r="S147" s="51">
        <f>Tabla2[[#This Row],[Valor Total]]*1.19</f>
        <v>1026256</v>
      </c>
      <c r="T147" s="52" t="s">
        <v>39</v>
      </c>
      <c r="U147" s="52"/>
      <c r="V147" s="53">
        <v>45965</v>
      </c>
      <c r="W147" s="43"/>
      <c r="X147" s="43" t="s">
        <v>41</v>
      </c>
      <c r="AA147" s="43"/>
      <c r="AB147" s="43"/>
      <c r="AC147" s="54"/>
      <c r="AD147" s="55"/>
    </row>
    <row r="148" spans="1:30" hidden="1">
      <c r="A148" s="44" t="s">
        <v>126</v>
      </c>
      <c r="B148" s="45"/>
      <c r="C148" s="45"/>
      <c r="D148" s="45"/>
      <c r="E148" s="46" t="s">
        <v>593</v>
      </c>
      <c r="F148" s="45"/>
      <c r="G148" s="45"/>
      <c r="H148" s="45"/>
      <c r="I148" s="45"/>
      <c r="J148" s="45" t="s">
        <v>49</v>
      </c>
      <c r="K148" s="47"/>
      <c r="L148" s="46"/>
      <c r="M148" s="47" t="s">
        <v>594</v>
      </c>
      <c r="N148" s="48" t="s">
        <v>51</v>
      </c>
      <c r="O148" s="49">
        <v>6.7000000000000004E-2</v>
      </c>
      <c r="P148" s="50">
        <v>3</v>
      </c>
      <c r="Q148" s="51">
        <v>215600</v>
      </c>
      <c r="R148" s="51">
        <v>646800</v>
      </c>
      <c r="S148" s="51">
        <f>Tabla2[[#This Row],[Valor Total]]*1.19</f>
        <v>769692</v>
      </c>
      <c r="T148" s="52" t="s">
        <v>39</v>
      </c>
      <c r="U148" s="52"/>
      <c r="V148" s="53">
        <v>45995</v>
      </c>
      <c r="W148" s="43"/>
      <c r="X148" s="43" t="s">
        <v>41</v>
      </c>
      <c r="AA148" s="43"/>
      <c r="AB148" s="43"/>
      <c r="AC148" s="54"/>
      <c r="AD148" s="55"/>
    </row>
    <row r="149" spans="1:30" hidden="1">
      <c r="A149" s="44" t="s">
        <v>126</v>
      </c>
      <c r="B149" s="45"/>
      <c r="C149" s="45"/>
      <c r="D149" s="45"/>
      <c r="E149" s="46" t="s">
        <v>595</v>
      </c>
      <c r="F149" s="45"/>
      <c r="G149" s="45"/>
      <c r="H149" s="45"/>
      <c r="I149" s="45"/>
      <c r="J149" s="45" t="s">
        <v>49</v>
      </c>
      <c r="K149" s="47"/>
      <c r="L149" s="46"/>
      <c r="M149" s="47" t="s">
        <v>596</v>
      </c>
      <c r="N149" s="48" t="s">
        <v>51</v>
      </c>
      <c r="O149" s="49">
        <v>3.9</v>
      </c>
      <c r="P149" s="50">
        <v>7</v>
      </c>
      <c r="Q149" s="51">
        <v>215600</v>
      </c>
      <c r="R149" s="51">
        <v>1509200</v>
      </c>
      <c r="S149" s="51">
        <f>Tabla2[[#This Row],[Valor Total]]*1.19</f>
        <v>1795948</v>
      </c>
      <c r="T149" s="52" t="s">
        <v>39</v>
      </c>
      <c r="U149" s="52"/>
      <c r="V149" s="53">
        <v>45995</v>
      </c>
      <c r="W149" s="43"/>
      <c r="X149" s="43" t="s">
        <v>41</v>
      </c>
      <c r="AA149" s="43"/>
      <c r="AB149" s="43"/>
      <c r="AC149" s="54"/>
      <c r="AD149" s="55"/>
    </row>
    <row r="150" spans="1:30" hidden="1">
      <c r="A150" s="44" t="s">
        <v>126</v>
      </c>
      <c r="B150" s="45"/>
      <c r="C150" s="45"/>
      <c r="D150" s="45"/>
      <c r="E150" s="46" t="s">
        <v>597</v>
      </c>
      <c r="F150" s="45"/>
      <c r="G150" s="45"/>
      <c r="H150" s="45"/>
      <c r="I150" s="45"/>
      <c r="J150" s="45" t="s">
        <v>49</v>
      </c>
      <c r="K150" s="47"/>
      <c r="L150" s="46"/>
      <c r="M150" s="47" t="s">
        <v>598</v>
      </c>
      <c r="N150" s="48" t="s">
        <v>51</v>
      </c>
      <c r="O150" s="49">
        <v>0.01</v>
      </c>
      <c r="P150" s="50">
        <v>1</v>
      </c>
      <c r="Q150" s="51">
        <v>215600</v>
      </c>
      <c r="R150" s="51">
        <v>215600</v>
      </c>
      <c r="S150" s="51">
        <f>Tabla2[[#This Row],[Valor Total]]*1.19</f>
        <v>256564</v>
      </c>
      <c r="T150" s="52" t="s">
        <v>39</v>
      </c>
      <c r="U150" s="52"/>
      <c r="V150" s="53">
        <v>45995</v>
      </c>
      <c r="W150" s="43"/>
      <c r="X150" s="43" t="s">
        <v>41</v>
      </c>
      <c r="AA150" s="43"/>
      <c r="AB150" s="43"/>
      <c r="AC150" s="54"/>
      <c r="AD150" s="55"/>
    </row>
    <row r="151" spans="1:30" hidden="1">
      <c r="A151" s="44" t="s">
        <v>126</v>
      </c>
      <c r="B151" s="45"/>
      <c r="C151" s="45"/>
      <c r="D151" s="45"/>
      <c r="E151" s="46" t="s">
        <v>599</v>
      </c>
      <c r="F151" s="45"/>
      <c r="G151" s="45"/>
      <c r="H151" s="45"/>
      <c r="I151" s="45"/>
      <c r="J151" s="45" t="s">
        <v>49</v>
      </c>
      <c r="K151" s="47"/>
      <c r="L151" s="46"/>
      <c r="M151" s="47" t="s">
        <v>600</v>
      </c>
      <c r="N151" s="48" t="s">
        <v>222</v>
      </c>
      <c r="O151" s="49">
        <v>85.46</v>
      </c>
      <c r="P151" s="50">
        <v>99</v>
      </c>
      <c r="Q151" s="51">
        <v>215600</v>
      </c>
      <c r="R151" s="51">
        <v>21344400</v>
      </c>
      <c r="S151" s="51">
        <f>Tabla2[[#This Row],[Valor Total]]*1.19</f>
        <v>25399836</v>
      </c>
      <c r="T151" s="52" t="s">
        <v>39</v>
      </c>
      <c r="U151" s="52"/>
      <c r="V151" s="53">
        <v>45995</v>
      </c>
      <c r="W151" s="43"/>
      <c r="X151" s="43" t="s">
        <v>41</v>
      </c>
      <c r="AA151" s="43"/>
      <c r="AB151" s="43"/>
      <c r="AC151" s="54"/>
      <c r="AD151" s="55"/>
    </row>
    <row r="152" spans="1:30" hidden="1">
      <c r="A152" s="44" t="s">
        <v>64</v>
      </c>
      <c r="B152" s="45"/>
      <c r="C152" s="45"/>
      <c r="D152" s="45"/>
      <c r="E152" s="46" t="s">
        <v>601</v>
      </c>
      <c r="F152" s="45"/>
      <c r="G152" s="45"/>
      <c r="H152" s="45"/>
      <c r="I152" s="45"/>
      <c r="J152" s="45" t="s">
        <v>220</v>
      </c>
      <c r="K152" s="47"/>
      <c r="L152" s="46"/>
      <c r="M152" s="48" t="s">
        <v>70</v>
      </c>
      <c r="N152" s="48" t="s">
        <v>51</v>
      </c>
      <c r="O152" s="49">
        <v>45.334000000000003</v>
      </c>
      <c r="P152" s="50">
        <v>41</v>
      </c>
      <c r="Q152" s="51">
        <v>840000</v>
      </c>
      <c r="R152" s="51">
        <v>38080560</v>
      </c>
      <c r="S152" s="51">
        <f>Tabla2[[#This Row],[Valor Total]]*1.19</f>
        <v>45315866.399999999</v>
      </c>
      <c r="T152" s="52" t="s">
        <v>39</v>
      </c>
      <c r="U152" s="52"/>
      <c r="V152" s="53">
        <v>45996</v>
      </c>
      <c r="W152" s="43"/>
      <c r="X152" s="43" t="s">
        <v>41</v>
      </c>
      <c r="AA152" s="43" t="s">
        <v>223</v>
      </c>
      <c r="AB152" s="43"/>
      <c r="AC152" s="54"/>
      <c r="AD152" s="55"/>
    </row>
    <row r="153" spans="1:30">
      <c r="A153" s="44" t="s">
        <v>57</v>
      </c>
      <c r="B153" s="45"/>
      <c r="C153" s="45"/>
      <c r="D153" s="45"/>
      <c r="E153" s="46" t="s">
        <v>602</v>
      </c>
      <c r="F153" s="45"/>
      <c r="G153" s="45"/>
      <c r="H153" s="45"/>
      <c r="I153" s="45"/>
      <c r="J153" s="45" t="s">
        <v>220</v>
      </c>
      <c r="K153" s="47"/>
      <c r="L153" s="46"/>
      <c r="M153" s="91" t="s">
        <v>327</v>
      </c>
      <c r="N153" s="48" t="s">
        <v>51</v>
      </c>
      <c r="O153" s="49">
        <v>35.619</v>
      </c>
      <c r="P153" s="50"/>
      <c r="Q153" s="51">
        <v>840000</v>
      </c>
      <c r="R153" s="51">
        <v>29919960</v>
      </c>
      <c r="S153" s="51">
        <f>Tabla2[[#This Row],[Valor Total]]*1.19</f>
        <v>35604752.399999999</v>
      </c>
      <c r="T153" s="52" t="s">
        <v>39</v>
      </c>
      <c r="U153" s="52"/>
      <c r="V153" s="53">
        <v>45996</v>
      </c>
      <c r="W153" s="53">
        <v>45962</v>
      </c>
      <c r="X153" s="56" t="s">
        <v>71</v>
      </c>
      <c r="Y153" s="57">
        <v>45988</v>
      </c>
      <c r="Z153" s="43" t="s">
        <v>72</v>
      </c>
      <c r="AA153" s="58" t="s">
        <v>73</v>
      </c>
      <c r="AB153" s="58" t="s">
        <v>74</v>
      </c>
      <c r="AC153" s="59" t="s">
        <v>75</v>
      </c>
      <c r="AD153" s="55"/>
    </row>
    <row r="154" spans="1:30">
      <c r="A154" s="44" t="s">
        <v>64</v>
      </c>
      <c r="B154" s="45"/>
      <c r="C154" s="45"/>
      <c r="D154" s="45"/>
      <c r="E154" s="46" t="s">
        <v>603</v>
      </c>
      <c r="F154" s="45"/>
      <c r="G154" s="45"/>
      <c r="H154" s="45"/>
      <c r="I154" s="45"/>
      <c r="J154" s="45" t="s">
        <v>220</v>
      </c>
      <c r="K154" s="47"/>
      <c r="L154" s="46"/>
      <c r="M154" s="48" t="s">
        <v>604</v>
      </c>
      <c r="N154" s="48" t="s">
        <v>222</v>
      </c>
      <c r="O154" s="49">
        <v>59.072000000000003</v>
      </c>
      <c r="P154" s="50">
        <v>68</v>
      </c>
      <c r="Q154" s="51">
        <v>840000</v>
      </c>
      <c r="R154" s="51">
        <v>49620480</v>
      </c>
      <c r="S154" s="51">
        <f>Tabla2[[#This Row],[Valor Total]]*1.19</f>
        <v>59048371.199999996</v>
      </c>
      <c r="T154" s="52" t="s">
        <v>39</v>
      </c>
      <c r="U154" s="52"/>
      <c r="V154" s="53">
        <v>45965</v>
      </c>
      <c r="W154" s="53">
        <v>45992</v>
      </c>
      <c r="X154" s="56" t="s">
        <v>71</v>
      </c>
      <c r="Y154" s="57">
        <v>45992</v>
      </c>
      <c r="Z154" s="43" t="s">
        <v>72</v>
      </c>
      <c r="AA154" s="79" t="s">
        <v>75</v>
      </c>
      <c r="AB154" s="79" t="s">
        <v>75</v>
      </c>
      <c r="AC154" s="58" t="s">
        <v>74</v>
      </c>
      <c r="AD154" s="55"/>
    </row>
    <row r="155" spans="1:30" hidden="1">
      <c r="A155" s="44" t="s">
        <v>57</v>
      </c>
      <c r="B155" s="45"/>
      <c r="C155" s="45"/>
      <c r="D155" s="45"/>
      <c r="E155" s="46" t="s">
        <v>605</v>
      </c>
      <c r="F155" s="45"/>
      <c r="G155" s="45"/>
      <c r="H155" s="45"/>
      <c r="I155" s="45"/>
      <c r="J155" s="45" t="s">
        <v>220</v>
      </c>
      <c r="K155" s="47"/>
      <c r="L155" s="46"/>
      <c r="M155" s="48" t="s">
        <v>378</v>
      </c>
      <c r="N155" s="48" t="s">
        <v>222</v>
      </c>
      <c r="O155" s="49">
        <v>69.168999999999983</v>
      </c>
      <c r="P155" s="50"/>
      <c r="Q155" s="51">
        <v>840000</v>
      </c>
      <c r="R155" s="51">
        <v>58101959.999999985</v>
      </c>
      <c r="S155" s="51">
        <f>Tabla2[[#This Row],[Valor Total]]*1.19</f>
        <v>69141332.399999976</v>
      </c>
      <c r="T155" s="52" t="s">
        <v>39</v>
      </c>
      <c r="U155" s="52"/>
      <c r="V155" s="53">
        <v>45993</v>
      </c>
      <c r="W155" s="43"/>
      <c r="X155" s="43" t="s">
        <v>41</v>
      </c>
      <c r="AA155" s="43" t="s">
        <v>223</v>
      </c>
      <c r="AB155" s="43"/>
      <c r="AC155" s="54"/>
      <c r="AD155" s="55"/>
    </row>
    <row r="156" spans="1:30">
      <c r="A156" s="44" t="s">
        <v>606</v>
      </c>
      <c r="B156" s="45"/>
      <c r="C156" s="45"/>
      <c r="D156" s="45"/>
      <c r="E156" s="45">
        <f>SUBTOTAL(103,Tabla2[Orden])</f>
        <v>7</v>
      </c>
      <c r="F156" s="45"/>
      <c r="G156" s="45"/>
      <c r="H156" s="45"/>
      <c r="I156" s="45"/>
      <c r="J156" s="45"/>
      <c r="K156" s="47"/>
      <c r="L156" s="45"/>
      <c r="N156" s="45"/>
      <c r="O156" s="92">
        <f>SUBTOTAL(109,Tabla2[Unidad '[Km']])</f>
        <v>212.19399999999999</v>
      </c>
      <c r="P156" s="46">
        <f>SUBTOTAL(109,Tabla2[Postes])</f>
        <v>145</v>
      </c>
      <c r="Q156" s="93"/>
      <c r="R156" s="93">
        <f>SUBTOTAL(109,Tabla2[Valor Total])</f>
        <v>185259417</v>
      </c>
      <c r="S156" s="93">
        <f>SUBTOTAL(109,Tabla2[Valor Con IVA])</f>
        <v>220458706.22999996</v>
      </c>
      <c r="T156" s="94"/>
      <c r="U156" s="94"/>
      <c r="V156" s="94">
        <f>SUBTOTAL(103,Tabla2[TGI])</f>
        <v>7</v>
      </c>
      <c r="W156" s="94">
        <f>SUBTOTAL(103,Tabla2[PCC])</f>
        <v>7</v>
      </c>
      <c r="X156" s="94">
        <f>SUBTOTAL(103,Tabla2[Estado])</f>
        <v>7</v>
      </c>
      <c r="Y156" s="94">
        <f>SUBTOTAL(103,Tabla2[[mes ejecución ]])</f>
        <v>7</v>
      </c>
      <c r="Z156" s="94"/>
      <c r="AA156" s="94"/>
      <c r="AB156" s="94">
        <f>SUBTOTAL(103,Tabla2[Acta Facturación
40%])</f>
        <v>7</v>
      </c>
      <c r="AC156" s="94"/>
      <c r="AD156" s="94"/>
    </row>
    <row r="158" spans="1:30">
      <c r="D158" s="141" t="s">
        <v>607</v>
      </c>
      <c r="F158" s="90"/>
      <c r="G158" s="95"/>
    </row>
    <row r="159" spans="1:30">
      <c r="D159" s="141"/>
      <c r="F159" s="90"/>
      <c r="G159" s="95"/>
      <c r="M159" s="96"/>
    </row>
    <row r="160" spans="1:30">
      <c r="D160" s="141" t="s">
        <v>608</v>
      </c>
      <c r="F160" s="90"/>
      <c r="G160" s="95"/>
      <c r="M160" s="96"/>
    </row>
    <row r="161" spans="4:13">
      <c r="D161" s="141"/>
      <c r="F161" s="90"/>
      <c r="G161" s="95"/>
      <c r="M161" s="96"/>
    </row>
    <row r="162" spans="4:13">
      <c r="D162" s="141" t="s">
        <v>609</v>
      </c>
      <c r="F162" s="90"/>
      <c r="G162" s="95"/>
      <c r="M162" s="96"/>
    </row>
    <row r="163" spans="4:13">
      <c r="D163" s="141"/>
      <c r="F163" s="90"/>
      <c r="G163" s="95"/>
      <c r="M163" s="96"/>
    </row>
    <row r="164" spans="4:13">
      <c r="D164" s="141"/>
      <c r="F164" s="90"/>
      <c r="G164" s="95"/>
    </row>
    <row r="165" spans="4:13">
      <c r="D165" s="142" t="s">
        <v>610</v>
      </c>
      <c r="F165" s="90"/>
      <c r="G165" s="95"/>
    </row>
    <row r="166" spans="4:13">
      <c r="D166" s="142"/>
      <c r="F166" s="90"/>
      <c r="G166" s="95"/>
    </row>
    <row r="167" spans="4:13">
      <c r="D167" s="142"/>
      <c r="F167" s="90"/>
      <c r="G167" s="95"/>
    </row>
    <row r="168" spans="4:13">
      <c r="D168" s="142"/>
      <c r="F168" s="90"/>
      <c r="G168" s="95"/>
    </row>
    <row r="169" spans="4:13">
      <c r="D169" s="141" t="s">
        <v>611</v>
      </c>
      <c r="F169" s="90"/>
      <c r="G169" s="95"/>
    </row>
    <row r="170" spans="4:13">
      <c r="D170" s="141"/>
      <c r="F170" s="90"/>
      <c r="G170" s="95"/>
    </row>
    <row r="171" spans="4:13">
      <c r="D171" s="141"/>
      <c r="F171" s="90"/>
      <c r="G171" s="95"/>
    </row>
    <row r="172" spans="4:13">
      <c r="D172" s="141" t="s">
        <v>612</v>
      </c>
      <c r="F172" s="90"/>
      <c r="G172" s="95"/>
    </row>
    <row r="173" spans="4:13">
      <c r="D173" s="141"/>
      <c r="F173" s="90"/>
      <c r="G173" s="95"/>
    </row>
    <row r="174" spans="4:13">
      <c r="D174" s="43" t="s">
        <v>613</v>
      </c>
    </row>
  </sheetData>
  <mergeCells count="6">
    <mergeCell ref="D172:D173"/>
    <mergeCell ref="D158:D159"/>
    <mergeCell ref="D160:D161"/>
    <mergeCell ref="D162:D164"/>
    <mergeCell ref="D165:D168"/>
    <mergeCell ref="D169:D171"/>
  </mergeCell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56E4C-64CF-40CE-BAE4-896F39628283}">
  <dimension ref="A1:AP96"/>
  <sheetViews>
    <sheetView zoomScale="130" zoomScaleNormal="130" workbookViewId="0">
      <selection activeCell="A8" sqref="A8"/>
    </sheetView>
  </sheetViews>
  <sheetFormatPr baseColWidth="10" defaultColWidth="11.44140625" defaultRowHeight="13.2"/>
  <cols>
    <col min="1" max="1" width="6" style="1" customWidth="1"/>
    <col min="2" max="2" width="10.33203125" style="1" hidden="1" customWidth="1"/>
    <col min="3" max="3" width="34.6640625" style="1" hidden="1" customWidth="1"/>
    <col min="4" max="4" width="35.33203125" style="1" hidden="1" customWidth="1"/>
    <col min="5" max="5" width="10.44140625" style="3" customWidth="1"/>
    <col min="6" max="6" width="9.109375" style="1" hidden="1" customWidth="1"/>
    <col min="7" max="7" width="45.5546875" style="1" hidden="1" customWidth="1"/>
    <col min="8" max="8" width="19.44140625" style="1" hidden="1" customWidth="1"/>
    <col min="9" max="9" width="18.5546875" style="1" hidden="1" customWidth="1"/>
    <col min="10" max="10" width="20.44140625" style="1" hidden="1" customWidth="1"/>
    <col min="11" max="11" width="11.5546875" style="1" hidden="1" customWidth="1"/>
    <col min="12" max="12" width="30.6640625" style="1" hidden="1" customWidth="1"/>
    <col min="13" max="13" width="29" style="1" hidden="1" customWidth="1"/>
    <col min="14" max="14" width="9" style="1" customWidth="1"/>
    <col min="15" max="15" width="22.88671875" style="13" customWidth="1"/>
    <col min="16" max="16" width="9.33203125" style="3" customWidth="1"/>
    <col min="17" max="17" width="9.44140625" style="1" customWidth="1"/>
    <col min="18" max="16384" width="11.44140625" style="1"/>
  </cols>
  <sheetData>
    <row r="1" spans="1:17" s="7" customFormat="1" ht="33" customHeight="1">
      <c r="A1" s="24" t="s">
        <v>0</v>
      </c>
      <c r="B1" s="24" t="s">
        <v>1</v>
      </c>
      <c r="C1" s="24" t="s">
        <v>2</v>
      </c>
      <c r="D1" s="24" t="s">
        <v>3</v>
      </c>
      <c r="E1" s="25" t="s">
        <v>614</v>
      </c>
      <c r="F1" s="24" t="s">
        <v>615</v>
      </c>
      <c r="G1" s="24" t="s">
        <v>5</v>
      </c>
      <c r="H1" s="24" t="s">
        <v>6</v>
      </c>
      <c r="I1" s="24" t="s">
        <v>616</v>
      </c>
      <c r="J1" s="24" t="s">
        <v>617</v>
      </c>
      <c r="K1" s="24" t="s">
        <v>618</v>
      </c>
      <c r="L1" s="24" t="s">
        <v>7</v>
      </c>
      <c r="M1" s="24" t="s">
        <v>8</v>
      </c>
      <c r="N1" s="24" t="s">
        <v>9</v>
      </c>
      <c r="O1" s="24" t="s">
        <v>12</v>
      </c>
      <c r="P1" s="24" t="s">
        <v>13</v>
      </c>
      <c r="Q1" s="24" t="s">
        <v>14</v>
      </c>
    </row>
    <row r="2" spans="1:17">
      <c r="A2" s="5" t="s">
        <v>57</v>
      </c>
      <c r="B2" s="5">
        <v>10008596</v>
      </c>
      <c r="C2" s="5" t="s">
        <v>58</v>
      </c>
      <c r="D2" s="5" t="s">
        <v>59</v>
      </c>
      <c r="E2" s="6">
        <v>1300014336</v>
      </c>
      <c r="F2" s="5"/>
      <c r="G2" s="5" t="s">
        <v>45</v>
      </c>
      <c r="H2" s="5" t="s">
        <v>60</v>
      </c>
      <c r="I2" s="5">
        <v>4</v>
      </c>
      <c r="J2" s="5" t="s">
        <v>620</v>
      </c>
      <c r="K2" s="5">
        <v>4</v>
      </c>
      <c r="L2" s="5" t="s">
        <v>61</v>
      </c>
      <c r="M2" s="5" t="s">
        <v>62</v>
      </c>
      <c r="N2" s="5" t="s">
        <v>49</v>
      </c>
      <c r="O2" s="14" t="s">
        <v>621</v>
      </c>
      <c r="P2" s="6" t="s">
        <v>51</v>
      </c>
      <c r="Q2" s="5">
        <v>0.01</v>
      </c>
    </row>
    <row r="3" spans="1:17">
      <c r="A3" s="5" t="s">
        <v>57</v>
      </c>
      <c r="B3" s="5">
        <v>10008590</v>
      </c>
      <c r="C3" s="5" t="s">
        <v>622</v>
      </c>
      <c r="D3" s="5" t="s">
        <v>623</v>
      </c>
      <c r="E3" s="6">
        <v>1300014377</v>
      </c>
      <c r="F3" s="5"/>
      <c r="G3" s="5" t="s">
        <v>144</v>
      </c>
      <c r="H3" s="5" t="s">
        <v>60</v>
      </c>
      <c r="I3" s="5">
        <v>4</v>
      </c>
      <c r="J3" s="5" t="s">
        <v>624</v>
      </c>
      <c r="K3" s="5">
        <v>4</v>
      </c>
      <c r="L3" s="5" t="s">
        <v>625</v>
      </c>
      <c r="M3" s="5" t="s">
        <v>626</v>
      </c>
      <c r="N3" s="5" t="s">
        <v>147</v>
      </c>
      <c r="O3" s="14" t="s">
        <v>627</v>
      </c>
      <c r="P3" s="6" t="s">
        <v>51</v>
      </c>
      <c r="Q3" s="5">
        <v>14.59</v>
      </c>
    </row>
    <row r="4" spans="1:17">
      <c r="A4" s="9" t="s">
        <v>57</v>
      </c>
      <c r="B4" s="9">
        <v>10008590</v>
      </c>
      <c r="C4" s="9" t="s">
        <v>622</v>
      </c>
      <c r="D4" s="9" t="s">
        <v>628</v>
      </c>
      <c r="E4" s="11">
        <v>1300014378</v>
      </c>
      <c r="F4" s="9"/>
      <c r="G4" s="9" t="s">
        <v>45</v>
      </c>
      <c r="H4" s="9" t="s">
        <v>60</v>
      </c>
      <c r="I4" s="9">
        <v>4</v>
      </c>
      <c r="J4" s="9" t="s">
        <v>620</v>
      </c>
      <c r="K4" s="9">
        <v>4</v>
      </c>
      <c r="L4" s="9" t="s">
        <v>625</v>
      </c>
      <c r="M4" s="9" t="s">
        <v>626</v>
      </c>
      <c r="N4" s="9" t="s">
        <v>49</v>
      </c>
      <c r="O4" s="16" t="s">
        <v>627</v>
      </c>
      <c r="P4" s="11" t="s">
        <v>51</v>
      </c>
      <c r="Q4" s="9">
        <v>0</v>
      </c>
    </row>
    <row r="5" spans="1:17">
      <c r="A5" s="5" t="s">
        <v>64</v>
      </c>
      <c r="B5" s="5">
        <v>10008593</v>
      </c>
      <c r="C5" s="5" t="s">
        <v>629</v>
      </c>
      <c r="D5" s="5" t="s">
        <v>630</v>
      </c>
      <c r="E5" s="6">
        <v>1300014326</v>
      </c>
      <c r="F5" s="5"/>
      <c r="G5" s="5" t="s">
        <v>144</v>
      </c>
      <c r="H5" s="5" t="s">
        <v>67</v>
      </c>
      <c r="I5" s="5">
        <v>4</v>
      </c>
      <c r="J5" s="5" t="s">
        <v>624</v>
      </c>
      <c r="K5" s="5">
        <v>4</v>
      </c>
      <c r="L5" s="5" t="s">
        <v>631</v>
      </c>
      <c r="M5" s="5" t="s">
        <v>632</v>
      </c>
      <c r="N5" s="5" t="s">
        <v>147</v>
      </c>
      <c r="O5" s="14" t="s">
        <v>633</v>
      </c>
      <c r="P5" s="6" t="s">
        <v>51</v>
      </c>
      <c r="Q5" s="5">
        <v>0.01</v>
      </c>
    </row>
    <row r="6" spans="1:17" s="4" customFormat="1">
      <c r="A6" s="17" t="s">
        <v>64</v>
      </c>
      <c r="B6" s="9">
        <v>10008593</v>
      </c>
      <c r="C6" s="17" t="s">
        <v>629</v>
      </c>
      <c r="D6" s="17" t="s">
        <v>634</v>
      </c>
      <c r="E6" s="19">
        <v>1300014327</v>
      </c>
      <c r="F6" s="17"/>
      <c r="G6" s="17" t="s">
        <v>45</v>
      </c>
      <c r="H6" s="17" t="s">
        <v>67</v>
      </c>
      <c r="I6" s="17">
        <v>4</v>
      </c>
      <c r="J6" s="17" t="s">
        <v>620</v>
      </c>
      <c r="K6" s="17">
        <v>4</v>
      </c>
      <c r="L6" s="17" t="s">
        <v>631</v>
      </c>
      <c r="M6" s="17" t="s">
        <v>632</v>
      </c>
      <c r="N6" s="17" t="s">
        <v>49</v>
      </c>
      <c r="O6" s="18" t="s">
        <v>633</v>
      </c>
      <c r="P6" s="19" t="s">
        <v>51</v>
      </c>
      <c r="Q6" s="17">
        <v>0</v>
      </c>
    </row>
    <row r="7" spans="1:17" s="4" customFormat="1" ht="13.95" customHeight="1">
      <c r="A7" s="7" t="s">
        <v>57</v>
      </c>
      <c r="B7" s="5">
        <v>10008626</v>
      </c>
      <c r="C7" s="7" t="s">
        <v>76</v>
      </c>
      <c r="D7" s="7" t="s">
        <v>77</v>
      </c>
      <c r="E7" s="8">
        <v>1300014319</v>
      </c>
      <c r="F7" s="7"/>
      <c r="G7" s="7" t="s">
        <v>45</v>
      </c>
      <c r="H7" s="7" t="s">
        <v>60</v>
      </c>
      <c r="I7" s="7">
        <v>4</v>
      </c>
      <c r="J7" s="7" t="s">
        <v>620</v>
      </c>
      <c r="K7" s="7">
        <v>4</v>
      </c>
      <c r="L7" s="7" t="s">
        <v>78</v>
      </c>
      <c r="M7" s="7" t="s">
        <v>79</v>
      </c>
      <c r="N7" s="7" t="s">
        <v>49</v>
      </c>
      <c r="O7" s="124" t="s">
        <v>635</v>
      </c>
      <c r="P7" s="8" t="s">
        <v>51</v>
      </c>
      <c r="Q7" s="7">
        <v>0.65</v>
      </c>
    </row>
    <row r="8" spans="1:17">
      <c r="A8" s="5" t="s">
        <v>57</v>
      </c>
      <c r="B8" s="5">
        <v>10008627</v>
      </c>
      <c r="C8" s="5" t="s">
        <v>171</v>
      </c>
      <c r="D8" s="5" t="s">
        <v>172</v>
      </c>
      <c r="E8" s="6">
        <v>1300014320</v>
      </c>
      <c r="F8" s="5"/>
      <c r="G8" s="5" t="s">
        <v>45</v>
      </c>
      <c r="H8" s="5" t="s">
        <v>60</v>
      </c>
      <c r="I8" s="5">
        <v>4</v>
      </c>
      <c r="J8" s="5" t="s">
        <v>620</v>
      </c>
      <c r="K8" s="5">
        <v>4</v>
      </c>
      <c r="L8" s="5" t="s">
        <v>173</v>
      </c>
      <c r="M8" s="5" t="s">
        <v>174</v>
      </c>
      <c r="N8" s="5" t="s">
        <v>49</v>
      </c>
      <c r="O8" s="14" t="s">
        <v>636</v>
      </c>
      <c r="P8" s="6" t="s">
        <v>51</v>
      </c>
      <c r="Q8" s="5">
        <v>0.01</v>
      </c>
    </row>
    <row r="9" spans="1:17">
      <c r="A9" s="5" t="s">
        <v>57</v>
      </c>
      <c r="B9" s="5">
        <v>10008595</v>
      </c>
      <c r="C9" s="5" t="s">
        <v>81</v>
      </c>
      <c r="D9" s="5" t="s">
        <v>82</v>
      </c>
      <c r="E9" s="6">
        <v>1300014332</v>
      </c>
      <c r="F9" s="5"/>
      <c r="G9" s="5" t="s">
        <v>45</v>
      </c>
      <c r="H9" s="5" t="s">
        <v>60</v>
      </c>
      <c r="I9" s="5">
        <v>4</v>
      </c>
      <c r="J9" s="5" t="s">
        <v>620</v>
      </c>
      <c r="K9" s="5">
        <v>4</v>
      </c>
      <c r="L9" s="5" t="s">
        <v>83</v>
      </c>
      <c r="M9" s="5" t="s">
        <v>84</v>
      </c>
      <c r="N9" s="5" t="s">
        <v>49</v>
      </c>
      <c r="O9" s="14" t="s">
        <v>637</v>
      </c>
      <c r="P9" s="6" t="s">
        <v>51</v>
      </c>
      <c r="Q9" s="5">
        <v>3.4000000000000002E-2</v>
      </c>
    </row>
    <row r="10" spans="1:17">
      <c r="A10" s="5" t="s">
        <v>64</v>
      </c>
      <c r="B10" s="5">
        <v>10008606</v>
      </c>
      <c r="C10" s="5" t="s">
        <v>91</v>
      </c>
      <c r="D10" s="5" t="s">
        <v>638</v>
      </c>
      <c r="E10" s="6">
        <v>1300014344</v>
      </c>
      <c r="F10" s="5"/>
      <c r="G10" s="5" t="s">
        <v>144</v>
      </c>
      <c r="H10" s="5" t="s">
        <v>67</v>
      </c>
      <c r="I10" s="5">
        <v>4</v>
      </c>
      <c r="J10" s="5" t="s">
        <v>624</v>
      </c>
      <c r="K10" s="5">
        <v>4</v>
      </c>
      <c r="L10" s="5" t="s">
        <v>93</v>
      </c>
      <c r="M10" s="5" t="s">
        <v>94</v>
      </c>
      <c r="N10" s="5" t="s">
        <v>147</v>
      </c>
      <c r="O10" s="14" t="s">
        <v>639</v>
      </c>
      <c r="P10" s="6" t="s">
        <v>51</v>
      </c>
      <c r="Q10" s="5">
        <v>12.260999999999999</v>
      </c>
    </row>
    <row r="11" spans="1:17">
      <c r="A11" s="9" t="s">
        <v>64</v>
      </c>
      <c r="B11" s="9">
        <v>10008606</v>
      </c>
      <c r="C11" s="9" t="s">
        <v>91</v>
      </c>
      <c r="D11" s="9" t="s">
        <v>92</v>
      </c>
      <c r="E11" s="11">
        <v>1300014405</v>
      </c>
      <c r="F11" s="9"/>
      <c r="G11" s="9" t="s">
        <v>45</v>
      </c>
      <c r="H11" s="9" t="s">
        <v>67</v>
      </c>
      <c r="I11" s="9">
        <v>4</v>
      </c>
      <c r="J11" s="9" t="s">
        <v>620</v>
      </c>
      <c r="K11" s="9">
        <v>4</v>
      </c>
      <c r="L11" s="9" t="s">
        <v>93</v>
      </c>
      <c r="M11" s="9" t="s">
        <v>94</v>
      </c>
      <c r="N11" s="9" t="s">
        <v>49</v>
      </c>
      <c r="O11" s="16" t="s">
        <v>639</v>
      </c>
      <c r="P11" s="11" t="s">
        <v>51</v>
      </c>
      <c r="Q11" s="9">
        <v>0</v>
      </c>
    </row>
    <row r="12" spans="1:17" s="4" customFormat="1" ht="20.399999999999999">
      <c r="A12" s="7" t="s">
        <v>64</v>
      </c>
      <c r="B12" s="7">
        <v>10010985</v>
      </c>
      <c r="C12" s="7" t="s">
        <v>640</v>
      </c>
      <c r="D12" s="7" t="s">
        <v>640</v>
      </c>
      <c r="E12" s="8">
        <v>1300014222</v>
      </c>
      <c r="F12" s="7"/>
      <c r="G12" s="7" t="s">
        <v>337</v>
      </c>
      <c r="H12" s="7" t="s">
        <v>67</v>
      </c>
      <c r="I12" s="7">
        <v>7</v>
      </c>
      <c r="J12" s="7" t="s">
        <v>620</v>
      </c>
      <c r="K12" s="7">
        <v>0.5</v>
      </c>
      <c r="L12" s="7" t="s">
        <v>641</v>
      </c>
      <c r="M12" s="7" t="s">
        <v>642</v>
      </c>
      <c r="N12" s="7" t="s">
        <v>643</v>
      </c>
      <c r="O12" s="15" t="s">
        <v>644</v>
      </c>
      <c r="P12" s="8" t="s">
        <v>222</v>
      </c>
      <c r="Q12" s="7">
        <v>3</v>
      </c>
    </row>
    <row r="13" spans="1:17" s="4" customFormat="1" ht="21" customHeight="1">
      <c r="A13" s="7" t="s">
        <v>64</v>
      </c>
      <c r="B13" s="7">
        <v>10010984</v>
      </c>
      <c r="C13" s="7" t="s">
        <v>336</v>
      </c>
      <c r="D13" s="7" t="s">
        <v>336</v>
      </c>
      <c r="E13" s="8">
        <v>1300014221</v>
      </c>
      <c r="F13" s="7"/>
      <c r="G13" s="7" t="s">
        <v>337</v>
      </c>
      <c r="H13" s="7" t="s">
        <v>67</v>
      </c>
      <c r="I13" s="7">
        <v>7</v>
      </c>
      <c r="J13" s="7" t="s">
        <v>645</v>
      </c>
      <c r="K13" s="7">
        <v>0.5</v>
      </c>
      <c r="L13" s="7" t="s">
        <v>338</v>
      </c>
      <c r="M13" s="7" t="s">
        <v>339</v>
      </c>
      <c r="N13" s="7" t="s">
        <v>643</v>
      </c>
      <c r="O13" s="15" t="s">
        <v>646</v>
      </c>
      <c r="P13" s="8" t="s">
        <v>222</v>
      </c>
      <c r="Q13" s="7">
        <v>3</v>
      </c>
    </row>
    <row r="14" spans="1:17">
      <c r="A14" s="5" t="s">
        <v>57</v>
      </c>
      <c r="B14" s="5">
        <v>10008215</v>
      </c>
      <c r="C14" s="5" t="s">
        <v>647</v>
      </c>
      <c r="D14" s="5" t="s">
        <v>648</v>
      </c>
      <c r="E14" s="6">
        <v>1300014392</v>
      </c>
      <c r="F14" s="5"/>
      <c r="G14" s="5" t="s">
        <v>45</v>
      </c>
      <c r="H14" s="5" t="s">
        <v>60</v>
      </c>
      <c r="I14" s="5">
        <v>4</v>
      </c>
      <c r="J14" s="5" t="s">
        <v>620</v>
      </c>
      <c r="K14" s="5">
        <v>4</v>
      </c>
      <c r="L14" s="5" t="s">
        <v>649</v>
      </c>
      <c r="M14" s="5" t="s">
        <v>650</v>
      </c>
      <c r="N14" s="5" t="s">
        <v>49</v>
      </c>
      <c r="O14" s="14" t="s">
        <v>651</v>
      </c>
      <c r="P14" s="6" t="s">
        <v>51</v>
      </c>
      <c r="Q14" s="5">
        <v>4.0650000000000004</v>
      </c>
    </row>
    <row r="15" spans="1:17">
      <c r="A15" s="5" t="s">
        <v>64</v>
      </c>
      <c r="B15" s="5">
        <v>10008571</v>
      </c>
      <c r="C15" s="5" t="s">
        <v>652</v>
      </c>
      <c r="D15" s="5" t="s">
        <v>653</v>
      </c>
      <c r="E15" s="6">
        <v>1300014391</v>
      </c>
      <c r="F15" s="5"/>
      <c r="G15" s="5" t="s">
        <v>45</v>
      </c>
      <c r="H15" s="5" t="s">
        <v>67</v>
      </c>
      <c r="I15" s="5">
        <v>5</v>
      </c>
      <c r="J15" s="5" t="s">
        <v>620</v>
      </c>
      <c r="K15" s="5">
        <v>4</v>
      </c>
      <c r="L15" s="5" t="s">
        <v>654</v>
      </c>
      <c r="M15" s="5" t="s">
        <v>135</v>
      </c>
      <c r="N15" s="5" t="s">
        <v>49</v>
      </c>
      <c r="O15" s="14" t="s">
        <v>655</v>
      </c>
      <c r="P15" s="6" t="s">
        <v>51</v>
      </c>
      <c r="Q15" s="5">
        <v>4.1239999999999997</v>
      </c>
    </row>
    <row r="16" spans="1:17">
      <c r="A16" s="5" t="s">
        <v>42</v>
      </c>
      <c r="B16" s="5">
        <v>10015447</v>
      </c>
      <c r="C16" s="5" t="s">
        <v>656</v>
      </c>
      <c r="D16" s="5" t="s">
        <v>656</v>
      </c>
      <c r="E16" s="6">
        <v>1300014370</v>
      </c>
      <c r="F16" s="5"/>
      <c r="G16" s="5" t="s">
        <v>32</v>
      </c>
      <c r="H16" s="5" t="s">
        <v>46</v>
      </c>
      <c r="I16" s="5">
        <v>3</v>
      </c>
      <c r="J16" s="5" t="s">
        <v>620</v>
      </c>
      <c r="K16" s="5">
        <v>8</v>
      </c>
      <c r="L16" s="5" t="s">
        <v>158</v>
      </c>
      <c r="M16" s="5" t="s">
        <v>159</v>
      </c>
      <c r="N16" s="120" t="s">
        <v>36</v>
      </c>
      <c r="O16" s="101" t="s">
        <v>657</v>
      </c>
      <c r="P16" s="30" t="s">
        <v>51</v>
      </c>
      <c r="Q16" s="120">
        <v>1</v>
      </c>
    </row>
    <row r="17" spans="1:17">
      <c r="A17" s="5" t="s">
        <v>64</v>
      </c>
      <c r="B17" s="5">
        <v>10008573</v>
      </c>
      <c r="C17" s="5" t="s">
        <v>658</v>
      </c>
      <c r="D17" s="5" t="s">
        <v>659</v>
      </c>
      <c r="E17" s="6">
        <v>1300014394</v>
      </c>
      <c r="F17" s="5"/>
      <c r="G17" s="5" t="s">
        <v>45</v>
      </c>
      <c r="H17" s="5" t="s">
        <v>67</v>
      </c>
      <c r="I17" s="5">
        <v>5</v>
      </c>
      <c r="J17" s="5" t="s">
        <v>620</v>
      </c>
      <c r="K17" s="5">
        <v>4</v>
      </c>
      <c r="L17" s="5" t="s">
        <v>660</v>
      </c>
      <c r="M17" s="5" t="s">
        <v>661</v>
      </c>
      <c r="N17" s="5" t="s">
        <v>49</v>
      </c>
      <c r="O17" s="14" t="s">
        <v>662</v>
      </c>
      <c r="P17" s="6" t="s">
        <v>51</v>
      </c>
      <c r="Q17" s="5">
        <v>16.847999999999999</v>
      </c>
    </row>
    <row r="18" spans="1:17">
      <c r="A18" s="5" t="s">
        <v>57</v>
      </c>
      <c r="B18" s="5">
        <v>10008628</v>
      </c>
      <c r="C18" s="5" t="s">
        <v>161</v>
      </c>
      <c r="D18" s="5" t="s">
        <v>162</v>
      </c>
      <c r="E18" s="6">
        <v>1300014324</v>
      </c>
      <c r="F18" s="5"/>
      <c r="G18" s="5" t="s">
        <v>45</v>
      </c>
      <c r="H18" s="5" t="s">
        <v>60</v>
      </c>
      <c r="I18" s="5">
        <v>4</v>
      </c>
      <c r="J18" s="5" t="s">
        <v>620</v>
      </c>
      <c r="K18" s="5">
        <v>4</v>
      </c>
      <c r="L18" s="5" t="s">
        <v>163</v>
      </c>
      <c r="M18" s="5" t="s">
        <v>164</v>
      </c>
      <c r="N18" s="5" t="s">
        <v>49</v>
      </c>
      <c r="O18" s="14" t="s">
        <v>663</v>
      </c>
      <c r="P18" s="6" t="s">
        <v>51</v>
      </c>
      <c r="Q18" s="5">
        <v>0.01</v>
      </c>
    </row>
    <row r="19" spans="1:17">
      <c r="A19" s="5" t="s">
        <v>57</v>
      </c>
      <c r="B19" s="5">
        <v>10008630</v>
      </c>
      <c r="C19" s="5" t="s">
        <v>166</v>
      </c>
      <c r="D19" s="5" t="s">
        <v>167</v>
      </c>
      <c r="E19" s="6">
        <v>1300014390</v>
      </c>
      <c r="F19" s="5"/>
      <c r="G19" s="5" t="s">
        <v>45</v>
      </c>
      <c r="H19" s="5" t="s">
        <v>60</v>
      </c>
      <c r="I19" s="5">
        <v>4</v>
      </c>
      <c r="J19" s="5" t="s">
        <v>620</v>
      </c>
      <c r="K19" s="5">
        <v>4</v>
      </c>
      <c r="L19" s="5" t="s">
        <v>168</v>
      </c>
      <c r="M19" s="5" t="s">
        <v>169</v>
      </c>
      <c r="N19" s="5" t="s">
        <v>49</v>
      </c>
      <c r="O19" s="14" t="s">
        <v>664</v>
      </c>
      <c r="P19" s="6" t="s">
        <v>51</v>
      </c>
      <c r="Q19" s="5">
        <v>0.01</v>
      </c>
    </row>
    <row r="20" spans="1:17">
      <c r="A20" s="5" t="s">
        <v>64</v>
      </c>
      <c r="B20" s="5">
        <v>10008594</v>
      </c>
      <c r="C20" s="5" t="s">
        <v>665</v>
      </c>
      <c r="D20" s="5" t="s">
        <v>666</v>
      </c>
      <c r="E20" s="6">
        <v>1300014330</v>
      </c>
      <c r="F20" s="5"/>
      <c r="G20" s="5" t="s">
        <v>45</v>
      </c>
      <c r="H20" s="5" t="s">
        <v>67</v>
      </c>
      <c r="I20" s="5">
        <v>4</v>
      </c>
      <c r="J20" s="5" t="s">
        <v>620</v>
      </c>
      <c r="K20" s="5">
        <v>4</v>
      </c>
      <c r="L20" s="5" t="s">
        <v>667</v>
      </c>
      <c r="M20" s="5" t="s">
        <v>668</v>
      </c>
      <c r="N20" s="5" t="s">
        <v>49</v>
      </c>
      <c r="O20" s="14" t="s">
        <v>669</v>
      </c>
      <c r="P20" s="6" t="s">
        <v>51</v>
      </c>
      <c r="Q20" s="5">
        <v>0.01</v>
      </c>
    </row>
    <row r="21" spans="1:17">
      <c r="A21" s="5" t="s">
        <v>57</v>
      </c>
      <c r="B21" s="5">
        <v>10008629</v>
      </c>
      <c r="C21" s="5" t="s">
        <v>176</v>
      </c>
      <c r="D21" s="5" t="s">
        <v>177</v>
      </c>
      <c r="E21" s="6">
        <v>1300014386</v>
      </c>
      <c r="F21" s="5"/>
      <c r="G21" s="5" t="s">
        <v>45</v>
      </c>
      <c r="H21" s="5" t="s">
        <v>60</v>
      </c>
      <c r="I21" s="5">
        <v>4</v>
      </c>
      <c r="J21" s="5" t="s">
        <v>620</v>
      </c>
      <c r="K21" s="5">
        <v>4</v>
      </c>
      <c r="L21" s="5" t="s">
        <v>178</v>
      </c>
      <c r="M21" s="5" t="s">
        <v>179</v>
      </c>
      <c r="N21" s="5" t="s">
        <v>49</v>
      </c>
      <c r="O21" s="14" t="s">
        <v>670</v>
      </c>
      <c r="P21" s="6" t="s">
        <v>51</v>
      </c>
      <c r="Q21" s="5">
        <v>0.01</v>
      </c>
    </row>
    <row r="22" spans="1:17">
      <c r="A22" s="5" t="s">
        <v>64</v>
      </c>
      <c r="B22" s="5">
        <v>10008609</v>
      </c>
      <c r="C22" s="5" t="s">
        <v>201</v>
      </c>
      <c r="D22" s="5" t="s">
        <v>671</v>
      </c>
      <c r="E22" s="6">
        <v>1300014411</v>
      </c>
      <c r="F22" s="5"/>
      <c r="G22" s="5" t="s">
        <v>144</v>
      </c>
      <c r="H22" s="5" t="s">
        <v>67</v>
      </c>
      <c r="I22" s="5">
        <v>4</v>
      </c>
      <c r="J22" s="5" t="s">
        <v>624</v>
      </c>
      <c r="K22" s="5">
        <v>4</v>
      </c>
      <c r="L22" s="5" t="s">
        <v>203</v>
      </c>
      <c r="M22" s="5" t="s">
        <v>204</v>
      </c>
      <c r="N22" s="5" t="s">
        <v>147</v>
      </c>
      <c r="O22" s="14" t="s">
        <v>672</v>
      </c>
      <c r="P22" s="6" t="s">
        <v>51</v>
      </c>
      <c r="Q22" s="5">
        <v>23.31</v>
      </c>
    </row>
    <row r="23" spans="1:17">
      <c r="A23" s="9" t="s">
        <v>64</v>
      </c>
      <c r="B23" s="9">
        <v>10008609</v>
      </c>
      <c r="C23" s="9" t="s">
        <v>201</v>
      </c>
      <c r="D23" s="9" t="s">
        <v>202</v>
      </c>
      <c r="E23" s="11">
        <v>1300014412</v>
      </c>
      <c r="F23" s="9"/>
      <c r="G23" s="9" t="s">
        <v>45</v>
      </c>
      <c r="H23" s="9" t="s">
        <v>67</v>
      </c>
      <c r="I23" s="9">
        <v>4</v>
      </c>
      <c r="J23" s="9" t="s">
        <v>620</v>
      </c>
      <c r="K23" s="9">
        <v>4</v>
      </c>
      <c r="L23" s="9" t="s">
        <v>203</v>
      </c>
      <c r="M23" s="9" t="s">
        <v>204</v>
      </c>
      <c r="N23" s="9" t="s">
        <v>49</v>
      </c>
      <c r="O23" s="16" t="s">
        <v>672</v>
      </c>
      <c r="P23" s="11" t="s">
        <v>51</v>
      </c>
      <c r="Q23" s="9">
        <v>0</v>
      </c>
    </row>
    <row r="24" spans="1:17">
      <c r="A24" s="5" t="s">
        <v>64</v>
      </c>
      <c r="B24" s="5">
        <v>10008582</v>
      </c>
      <c r="C24" s="5" t="s">
        <v>673</v>
      </c>
      <c r="D24" s="5" t="s">
        <v>674</v>
      </c>
      <c r="E24" s="6">
        <v>1300014356</v>
      </c>
      <c r="F24" s="5"/>
      <c r="G24" s="5" t="s">
        <v>45</v>
      </c>
      <c r="H24" s="5" t="s">
        <v>67</v>
      </c>
      <c r="I24" s="5">
        <v>3</v>
      </c>
      <c r="J24" s="5" t="s">
        <v>620</v>
      </c>
      <c r="K24" s="5">
        <v>4</v>
      </c>
      <c r="L24" s="5" t="s">
        <v>675</v>
      </c>
      <c r="M24" s="5" t="s">
        <v>676</v>
      </c>
      <c r="N24" s="5" t="s">
        <v>49</v>
      </c>
      <c r="O24" s="5" t="s">
        <v>677</v>
      </c>
      <c r="P24" s="6" t="s">
        <v>51</v>
      </c>
      <c r="Q24" s="5">
        <v>4.2140000000000004</v>
      </c>
    </row>
    <row r="25" spans="1:17">
      <c r="A25" s="5" t="s">
        <v>57</v>
      </c>
      <c r="B25" s="5">
        <v>10008633</v>
      </c>
      <c r="C25" s="5" t="s">
        <v>230</v>
      </c>
      <c r="D25" s="5" t="s">
        <v>231</v>
      </c>
      <c r="E25" s="6">
        <v>1300014393</v>
      </c>
      <c r="F25" s="5"/>
      <c r="G25" s="5" t="s">
        <v>45</v>
      </c>
      <c r="H25" s="5" t="s">
        <v>60</v>
      </c>
      <c r="I25" s="5">
        <v>4</v>
      </c>
      <c r="J25" s="5" t="s">
        <v>620</v>
      </c>
      <c r="K25" s="5">
        <v>4</v>
      </c>
      <c r="L25" s="5" t="s">
        <v>232</v>
      </c>
      <c r="M25" s="5" t="s">
        <v>233</v>
      </c>
      <c r="N25" s="5" t="s">
        <v>49</v>
      </c>
      <c r="O25" s="5" t="s">
        <v>678</v>
      </c>
      <c r="P25" s="6" t="s">
        <v>51</v>
      </c>
      <c r="Q25" s="5">
        <v>0.17199999999999999</v>
      </c>
    </row>
    <row r="26" spans="1:17">
      <c r="A26" s="5" t="s">
        <v>64</v>
      </c>
      <c r="B26" s="5">
        <v>10008586</v>
      </c>
      <c r="C26" s="5" t="s">
        <v>679</v>
      </c>
      <c r="D26" s="5" t="s">
        <v>680</v>
      </c>
      <c r="E26" s="6">
        <v>1300014362</v>
      </c>
      <c r="F26" s="5"/>
      <c r="G26" s="5" t="s">
        <v>45</v>
      </c>
      <c r="H26" s="5" t="s">
        <v>67</v>
      </c>
      <c r="I26" s="5">
        <v>3</v>
      </c>
      <c r="J26" s="5" t="s">
        <v>620</v>
      </c>
      <c r="K26" s="5">
        <v>4</v>
      </c>
      <c r="L26" s="5" t="s">
        <v>681</v>
      </c>
      <c r="M26" s="5" t="s">
        <v>682</v>
      </c>
      <c r="N26" s="5" t="s">
        <v>49</v>
      </c>
      <c r="O26" s="14" t="s">
        <v>683</v>
      </c>
      <c r="P26" s="6" t="s">
        <v>51</v>
      </c>
      <c r="Q26" s="5">
        <v>10.413</v>
      </c>
    </row>
    <row r="27" spans="1:17">
      <c r="A27" s="5" t="s">
        <v>42</v>
      </c>
      <c r="B27" s="5">
        <v>10015444</v>
      </c>
      <c r="C27" s="5" t="s">
        <v>684</v>
      </c>
      <c r="D27" s="5" t="s">
        <v>684</v>
      </c>
      <c r="E27" s="6">
        <v>1300014380</v>
      </c>
      <c r="F27" s="5"/>
      <c r="G27" s="5" t="s">
        <v>32</v>
      </c>
      <c r="H27" s="5" t="s">
        <v>46</v>
      </c>
      <c r="I27" s="5">
        <v>3</v>
      </c>
      <c r="J27" s="5" t="s">
        <v>620</v>
      </c>
      <c r="K27" s="5">
        <v>8</v>
      </c>
      <c r="L27" s="5" t="s">
        <v>269</v>
      </c>
      <c r="M27" s="5" t="s">
        <v>270</v>
      </c>
      <c r="N27" s="120" t="s">
        <v>36</v>
      </c>
      <c r="O27" s="101" t="s">
        <v>685</v>
      </c>
      <c r="P27" s="30" t="s">
        <v>51</v>
      </c>
      <c r="Q27" s="120">
        <v>1</v>
      </c>
    </row>
    <row r="28" spans="1:17">
      <c r="A28" s="5" t="s">
        <v>64</v>
      </c>
      <c r="B28" s="5">
        <v>10008214</v>
      </c>
      <c r="C28" s="5" t="s">
        <v>686</v>
      </c>
      <c r="D28" s="5" t="s">
        <v>687</v>
      </c>
      <c r="E28" s="6">
        <v>1300014388</v>
      </c>
      <c r="F28" s="5"/>
      <c r="G28" s="5" t="s">
        <v>144</v>
      </c>
      <c r="H28" s="5" t="s">
        <v>67</v>
      </c>
      <c r="I28" s="5">
        <v>4</v>
      </c>
      <c r="J28" s="5" t="s">
        <v>624</v>
      </c>
      <c r="K28" s="5">
        <v>4</v>
      </c>
      <c r="L28" s="5" t="s">
        <v>688</v>
      </c>
      <c r="M28" s="5" t="s">
        <v>689</v>
      </c>
      <c r="N28" s="5" t="s">
        <v>147</v>
      </c>
      <c r="O28" s="5" t="s">
        <v>690</v>
      </c>
      <c r="P28" s="6" t="s">
        <v>51</v>
      </c>
      <c r="Q28" s="5">
        <v>22.706</v>
      </c>
    </row>
    <row r="29" spans="1:17">
      <c r="A29" s="9" t="s">
        <v>64</v>
      </c>
      <c r="B29" s="9">
        <v>10008214</v>
      </c>
      <c r="C29" s="9" t="s">
        <v>686</v>
      </c>
      <c r="D29" s="9" t="s">
        <v>691</v>
      </c>
      <c r="E29" s="11">
        <v>1300014389</v>
      </c>
      <c r="F29" s="9"/>
      <c r="G29" s="9" t="s">
        <v>45</v>
      </c>
      <c r="H29" s="9" t="s">
        <v>67</v>
      </c>
      <c r="I29" s="9">
        <v>4</v>
      </c>
      <c r="J29" s="9" t="s">
        <v>620</v>
      </c>
      <c r="K29" s="9">
        <v>4</v>
      </c>
      <c r="L29" s="9" t="s">
        <v>688</v>
      </c>
      <c r="M29" s="9" t="s">
        <v>689</v>
      </c>
      <c r="N29" s="9" t="s">
        <v>49</v>
      </c>
      <c r="O29" s="9" t="s">
        <v>690</v>
      </c>
      <c r="P29" s="11" t="s">
        <v>51</v>
      </c>
      <c r="Q29" s="9">
        <v>0</v>
      </c>
    </row>
    <row r="30" spans="1:17">
      <c r="A30" s="5" t="s">
        <v>358</v>
      </c>
      <c r="B30" s="5">
        <v>10008344</v>
      </c>
      <c r="C30" s="5" t="s">
        <v>692</v>
      </c>
      <c r="D30" s="5" t="s">
        <v>693</v>
      </c>
      <c r="E30" s="6">
        <v>1300014796</v>
      </c>
      <c r="F30" s="5"/>
      <c r="G30" s="5" t="s">
        <v>144</v>
      </c>
      <c r="H30" s="5" t="s">
        <v>46</v>
      </c>
      <c r="I30" s="5">
        <v>4</v>
      </c>
      <c r="J30" s="5" t="s">
        <v>624</v>
      </c>
      <c r="K30" s="5">
        <v>4</v>
      </c>
      <c r="L30" s="5" t="s">
        <v>694</v>
      </c>
      <c r="M30" s="5" t="s">
        <v>695</v>
      </c>
      <c r="N30" s="5" t="s">
        <v>147</v>
      </c>
      <c r="O30" s="5" t="s">
        <v>696</v>
      </c>
      <c r="P30" s="6" t="s">
        <v>51</v>
      </c>
      <c r="Q30" s="5">
        <v>0.8</v>
      </c>
    </row>
    <row r="31" spans="1:17">
      <c r="A31" s="9" t="s">
        <v>42</v>
      </c>
      <c r="B31" s="9">
        <v>10008344</v>
      </c>
      <c r="C31" s="9" t="s">
        <v>692</v>
      </c>
      <c r="D31" s="9" t="s">
        <v>697</v>
      </c>
      <c r="E31" s="11">
        <v>1300014351</v>
      </c>
      <c r="F31" s="9"/>
      <c r="G31" s="9" t="s">
        <v>45</v>
      </c>
      <c r="H31" s="9" t="s">
        <v>46</v>
      </c>
      <c r="I31" s="9">
        <v>4</v>
      </c>
      <c r="J31" s="9" t="s">
        <v>620</v>
      </c>
      <c r="K31" s="9">
        <v>4</v>
      </c>
      <c r="L31" s="9" t="s">
        <v>694</v>
      </c>
      <c r="M31" s="9" t="s">
        <v>695</v>
      </c>
      <c r="N31" s="9" t="s">
        <v>49</v>
      </c>
      <c r="O31" s="9" t="s">
        <v>696</v>
      </c>
      <c r="P31" s="11" t="s">
        <v>51</v>
      </c>
      <c r="Q31" s="9">
        <v>0</v>
      </c>
    </row>
    <row r="32" spans="1:17">
      <c r="A32" s="9" t="s">
        <v>57</v>
      </c>
      <c r="B32" s="11">
        <v>10008621</v>
      </c>
      <c r="C32" s="10" t="s">
        <v>288</v>
      </c>
      <c r="D32" s="9" t="s">
        <v>289</v>
      </c>
      <c r="E32" s="9">
        <v>1300014316</v>
      </c>
      <c r="F32" s="11"/>
      <c r="G32" s="9" t="s">
        <v>45</v>
      </c>
      <c r="H32" s="9" t="s">
        <v>60</v>
      </c>
      <c r="I32" s="12">
        <v>4</v>
      </c>
      <c r="J32" s="5" t="s">
        <v>620</v>
      </c>
      <c r="K32" s="5">
        <v>4</v>
      </c>
      <c r="L32" s="5" t="s">
        <v>290</v>
      </c>
      <c r="M32" s="5" t="s">
        <v>291</v>
      </c>
      <c r="N32" s="9" t="s">
        <v>49</v>
      </c>
      <c r="O32" s="9" t="s">
        <v>698</v>
      </c>
      <c r="P32" s="11" t="s">
        <v>51</v>
      </c>
      <c r="Q32" s="9">
        <v>0</v>
      </c>
    </row>
    <row r="33" spans="1:42">
      <c r="A33" s="5" t="s">
        <v>57</v>
      </c>
      <c r="B33" s="5">
        <v>10008619</v>
      </c>
      <c r="C33" s="5" t="s">
        <v>299</v>
      </c>
      <c r="D33" s="5" t="s">
        <v>300</v>
      </c>
      <c r="E33" s="6">
        <v>1300014310</v>
      </c>
      <c r="F33" s="5"/>
      <c r="G33" s="5" t="s">
        <v>45</v>
      </c>
      <c r="H33" s="5" t="s">
        <v>60</v>
      </c>
      <c r="I33" s="5">
        <v>4</v>
      </c>
      <c r="J33" s="5" t="s">
        <v>620</v>
      </c>
      <c r="K33" s="5">
        <v>4</v>
      </c>
      <c r="L33" s="5" t="s">
        <v>301</v>
      </c>
      <c r="M33" s="5" t="s">
        <v>302</v>
      </c>
      <c r="N33" s="5" t="s">
        <v>49</v>
      </c>
      <c r="O33" s="5" t="s">
        <v>699</v>
      </c>
      <c r="P33" s="6" t="s">
        <v>51</v>
      </c>
      <c r="Q33" s="5">
        <v>0.01</v>
      </c>
    </row>
    <row r="34" spans="1:42">
      <c r="A34" s="5" t="s">
        <v>57</v>
      </c>
      <c r="B34" s="5">
        <v>10008618</v>
      </c>
      <c r="C34" s="5" t="s">
        <v>304</v>
      </c>
      <c r="D34" s="5" t="s">
        <v>305</v>
      </c>
      <c r="E34" s="6">
        <v>1300014305</v>
      </c>
      <c r="F34" s="5"/>
      <c r="G34" s="5" t="s">
        <v>45</v>
      </c>
      <c r="H34" s="5" t="s">
        <v>60</v>
      </c>
      <c r="I34" s="5">
        <v>4</v>
      </c>
      <c r="J34" s="5" t="s">
        <v>620</v>
      </c>
      <c r="K34" s="5">
        <v>4</v>
      </c>
      <c r="L34" s="5" t="s">
        <v>306</v>
      </c>
      <c r="M34" s="5" t="s">
        <v>307</v>
      </c>
      <c r="N34" s="5" t="s">
        <v>49</v>
      </c>
      <c r="O34" s="5" t="s">
        <v>700</v>
      </c>
      <c r="P34" s="6" t="s">
        <v>51</v>
      </c>
      <c r="Q34" s="5">
        <v>0.01</v>
      </c>
    </row>
    <row r="35" spans="1:42">
      <c r="A35" s="5" t="s">
        <v>42</v>
      </c>
      <c r="B35" s="5">
        <v>10008346</v>
      </c>
      <c r="C35" s="5" t="s">
        <v>701</v>
      </c>
      <c r="D35" s="5" t="s">
        <v>702</v>
      </c>
      <c r="E35" s="6">
        <v>1300014354</v>
      </c>
      <c r="F35" s="5"/>
      <c r="G35" s="5" t="s">
        <v>144</v>
      </c>
      <c r="H35" s="5" t="s">
        <v>46</v>
      </c>
      <c r="I35" s="5">
        <v>4</v>
      </c>
      <c r="J35" s="5" t="s">
        <v>624</v>
      </c>
      <c r="K35" s="5">
        <v>4</v>
      </c>
      <c r="L35" s="5" t="s">
        <v>703</v>
      </c>
      <c r="M35" s="5" t="s">
        <v>704</v>
      </c>
      <c r="N35" s="5" t="s">
        <v>147</v>
      </c>
      <c r="O35" s="5" t="s">
        <v>705</v>
      </c>
      <c r="P35" s="6" t="s">
        <v>51</v>
      </c>
      <c r="Q35" s="5">
        <v>9.0500000000000007</v>
      </c>
    </row>
    <row r="36" spans="1:42">
      <c r="A36" s="9" t="s">
        <v>42</v>
      </c>
      <c r="B36" s="9">
        <v>10008346</v>
      </c>
      <c r="C36" s="9" t="s">
        <v>701</v>
      </c>
      <c r="D36" s="9" t="s">
        <v>706</v>
      </c>
      <c r="E36" s="11">
        <v>1300014355</v>
      </c>
      <c r="F36" s="9"/>
      <c r="G36" s="9" t="s">
        <v>45</v>
      </c>
      <c r="H36" s="9" t="s">
        <v>46</v>
      </c>
      <c r="I36" s="9">
        <v>4</v>
      </c>
      <c r="J36" s="9" t="s">
        <v>620</v>
      </c>
      <c r="K36" s="9">
        <v>4</v>
      </c>
      <c r="L36" s="9" t="s">
        <v>703</v>
      </c>
      <c r="M36" s="9" t="s">
        <v>704</v>
      </c>
      <c r="N36" s="9" t="s">
        <v>49</v>
      </c>
      <c r="O36" s="9" t="s">
        <v>705</v>
      </c>
      <c r="P36" s="11" t="s">
        <v>51</v>
      </c>
      <c r="Q36" s="9">
        <v>0</v>
      </c>
    </row>
    <row r="37" spans="1:42">
      <c r="A37" s="5" t="s">
        <v>64</v>
      </c>
      <c r="B37" s="5">
        <v>10008589</v>
      </c>
      <c r="C37" s="5" t="s">
        <v>707</v>
      </c>
      <c r="D37" s="5" t="s">
        <v>708</v>
      </c>
      <c r="E37" s="6">
        <v>1300014371</v>
      </c>
      <c r="F37" s="5"/>
      <c r="G37" s="5" t="s">
        <v>144</v>
      </c>
      <c r="H37" s="5" t="s">
        <v>67</v>
      </c>
      <c r="I37" s="5">
        <v>4</v>
      </c>
      <c r="J37" s="5" t="s">
        <v>624</v>
      </c>
      <c r="K37" s="5">
        <v>4</v>
      </c>
      <c r="L37" s="5" t="s">
        <v>709</v>
      </c>
      <c r="M37" s="5" t="s">
        <v>710</v>
      </c>
      <c r="N37" s="5" t="s">
        <v>147</v>
      </c>
      <c r="O37" s="5" t="s">
        <v>711</v>
      </c>
      <c r="P37" s="6" t="s">
        <v>51</v>
      </c>
      <c r="Q37" s="5">
        <v>17.568000000000001</v>
      </c>
    </row>
    <row r="38" spans="1:42">
      <c r="A38" s="9" t="s">
        <v>64</v>
      </c>
      <c r="B38" s="9">
        <v>10008589</v>
      </c>
      <c r="C38" s="9" t="s">
        <v>707</v>
      </c>
      <c r="D38" s="9" t="s">
        <v>712</v>
      </c>
      <c r="E38" s="11">
        <v>1300014372</v>
      </c>
      <c r="F38" s="9"/>
      <c r="G38" s="9" t="s">
        <v>45</v>
      </c>
      <c r="H38" s="9" t="s">
        <v>67</v>
      </c>
      <c r="I38" s="9">
        <v>4</v>
      </c>
      <c r="J38" s="9" t="s">
        <v>620</v>
      </c>
      <c r="K38" s="9">
        <v>4</v>
      </c>
      <c r="L38" s="9" t="s">
        <v>709</v>
      </c>
      <c r="M38" s="9" t="s">
        <v>710</v>
      </c>
      <c r="N38" s="9" t="s">
        <v>49</v>
      </c>
      <c r="O38" s="9" t="s">
        <v>711</v>
      </c>
      <c r="P38" s="11" t="s">
        <v>51</v>
      </c>
      <c r="Q38" s="9">
        <v>0</v>
      </c>
    </row>
    <row r="39" spans="1:42">
      <c r="A39" s="5" t="s">
        <v>64</v>
      </c>
      <c r="B39" s="5">
        <v>10008211</v>
      </c>
      <c r="C39" s="5" t="s">
        <v>713</v>
      </c>
      <c r="D39" s="5" t="s">
        <v>714</v>
      </c>
      <c r="E39" s="6">
        <v>1300014321</v>
      </c>
      <c r="F39" s="5"/>
      <c r="G39" s="5" t="s">
        <v>45</v>
      </c>
      <c r="H39" s="5" t="s">
        <v>67</v>
      </c>
      <c r="I39" s="5">
        <v>4</v>
      </c>
      <c r="J39" s="5" t="s">
        <v>620</v>
      </c>
      <c r="K39" s="5">
        <v>4</v>
      </c>
      <c r="L39" s="5" t="s">
        <v>315</v>
      </c>
      <c r="M39" s="5" t="s">
        <v>316</v>
      </c>
      <c r="N39" s="5" t="s">
        <v>49</v>
      </c>
      <c r="O39" s="5" t="s">
        <v>715</v>
      </c>
      <c r="P39" s="6" t="s">
        <v>222</v>
      </c>
      <c r="Q39" s="5">
        <v>67.063000000000002</v>
      </c>
    </row>
    <row r="40" spans="1:42">
      <c r="A40" s="5" t="s">
        <v>42</v>
      </c>
      <c r="B40" s="5">
        <v>10015445</v>
      </c>
      <c r="C40" s="5" t="s">
        <v>716</v>
      </c>
      <c r="D40" s="5" t="s">
        <v>716</v>
      </c>
      <c r="E40" s="6">
        <v>1300014381</v>
      </c>
      <c r="F40" s="5"/>
      <c r="G40" s="5" t="s">
        <v>32</v>
      </c>
      <c r="H40" s="5" t="s">
        <v>46</v>
      </c>
      <c r="I40" s="5">
        <v>3</v>
      </c>
      <c r="J40" s="5" t="s">
        <v>620</v>
      </c>
      <c r="K40" s="5">
        <v>8</v>
      </c>
      <c r="L40" s="5" t="s">
        <v>320</v>
      </c>
      <c r="M40" s="5" t="s">
        <v>321</v>
      </c>
      <c r="N40" s="120" t="s">
        <v>36</v>
      </c>
      <c r="O40" s="101" t="s">
        <v>717</v>
      </c>
      <c r="P40" s="30" t="s">
        <v>51</v>
      </c>
      <c r="Q40" s="120">
        <v>2</v>
      </c>
    </row>
    <row r="41" spans="1:42">
      <c r="A41" s="5" t="s">
        <v>64</v>
      </c>
      <c r="B41" s="5">
        <v>10008565</v>
      </c>
      <c r="C41" s="5" t="s">
        <v>328</v>
      </c>
      <c r="D41" s="5" t="s">
        <v>329</v>
      </c>
      <c r="E41" s="6">
        <v>1300014385</v>
      </c>
      <c r="F41" s="5"/>
      <c r="G41" s="5" t="s">
        <v>45</v>
      </c>
      <c r="H41" s="5" t="s">
        <v>67</v>
      </c>
      <c r="I41" s="5">
        <v>5</v>
      </c>
      <c r="J41" s="5" t="s">
        <v>620</v>
      </c>
      <c r="K41" s="5">
        <v>4</v>
      </c>
      <c r="L41" s="5" t="s">
        <v>330</v>
      </c>
      <c r="M41" s="5" t="s">
        <v>331</v>
      </c>
      <c r="N41" s="5" t="s">
        <v>49</v>
      </c>
      <c r="O41" s="14" t="s">
        <v>718</v>
      </c>
      <c r="P41" s="6" t="s">
        <v>51</v>
      </c>
      <c r="Q41" s="5">
        <v>3.0680000000000001</v>
      </c>
    </row>
    <row r="42" spans="1:42">
      <c r="A42" s="5" t="s">
        <v>64</v>
      </c>
      <c r="B42" s="5">
        <v>10008583</v>
      </c>
      <c r="C42" s="5" t="s">
        <v>719</v>
      </c>
      <c r="D42" s="5" t="s">
        <v>720</v>
      </c>
      <c r="E42" s="6">
        <v>1300014359</v>
      </c>
      <c r="F42" s="5"/>
      <c r="G42" s="5" t="s">
        <v>45</v>
      </c>
      <c r="H42" s="5" t="s">
        <v>67</v>
      </c>
      <c r="I42" s="5">
        <v>3</v>
      </c>
      <c r="J42" s="5" t="s">
        <v>620</v>
      </c>
      <c r="K42" s="5">
        <v>4</v>
      </c>
      <c r="L42" s="5" t="s">
        <v>721</v>
      </c>
      <c r="M42" s="5" t="s">
        <v>722</v>
      </c>
      <c r="N42" s="5" t="s">
        <v>49</v>
      </c>
      <c r="O42" s="5" t="s">
        <v>723</v>
      </c>
      <c r="P42" s="6" t="s">
        <v>51</v>
      </c>
      <c r="Q42" s="5">
        <v>19.247</v>
      </c>
    </row>
    <row r="43" spans="1:42">
      <c r="A43" s="5" t="s">
        <v>64</v>
      </c>
      <c r="B43" s="5">
        <v>10008581</v>
      </c>
      <c r="C43" s="5" t="s">
        <v>724</v>
      </c>
      <c r="D43" s="5" t="s">
        <v>725</v>
      </c>
      <c r="E43" s="6">
        <v>1300014353</v>
      </c>
      <c r="F43" s="5"/>
      <c r="G43" s="5" t="s">
        <v>45</v>
      </c>
      <c r="H43" s="5" t="s">
        <v>67</v>
      </c>
      <c r="I43" s="5">
        <v>3</v>
      </c>
      <c r="J43" s="5" t="s">
        <v>620</v>
      </c>
      <c r="K43" s="5">
        <v>4</v>
      </c>
      <c r="L43" s="5" t="s">
        <v>338</v>
      </c>
      <c r="M43" s="5" t="s">
        <v>339</v>
      </c>
      <c r="N43" s="5" t="s">
        <v>49</v>
      </c>
      <c r="O43" s="5" t="s">
        <v>726</v>
      </c>
      <c r="P43" s="6" t="s">
        <v>222</v>
      </c>
      <c r="Q43" s="5">
        <v>67.144000000000005</v>
      </c>
    </row>
    <row r="44" spans="1:42" s="2" customFormat="1">
      <c r="A44" s="5" t="s">
        <v>42</v>
      </c>
      <c r="B44" s="5">
        <v>10008347</v>
      </c>
      <c r="C44" s="5" t="s">
        <v>343</v>
      </c>
      <c r="D44" s="5" t="s">
        <v>727</v>
      </c>
      <c r="E44" s="6">
        <v>1300014358</v>
      </c>
      <c r="F44" s="5"/>
      <c r="G44" s="5" t="s">
        <v>144</v>
      </c>
      <c r="H44" s="5" t="s">
        <v>46</v>
      </c>
      <c r="I44" s="5">
        <v>4</v>
      </c>
      <c r="J44" s="5" t="s">
        <v>624</v>
      </c>
      <c r="K44" s="5">
        <v>4</v>
      </c>
      <c r="L44" s="5" t="s">
        <v>345</v>
      </c>
      <c r="M44" s="5" t="s">
        <v>346</v>
      </c>
      <c r="N44" s="5" t="s">
        <v>147</v>
      </c>
      <c r="O44" s="5" t="s">
        <v>728</v>
      </c>
      <c r="P44" s="6" t="s">
        <v>51</v>
      </c>
      <c r="Q44" s="5">
        <v>0.03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1:42">
      <c r="A45" s="9" t="s">
        <v>42</v>
      </c>
      <c r="B45" s="9">
        <v>10008347</v>
      </c>
      <c r="C45" s="9" t="s">
        <v>343</v>
      </c>
      <c r="D45" s="9" t="s">
        <v>344</v>
      </c>
      <c r="E45" s="11">
        <v>1300014361</v>
      </c>
      <c r="F45" s="9"/>
      <c r="G45" s="9" t="s">
        <v>45</v>
      </c>
      <c r="H45" s="9" t="s">
        <v>46</v>
      </c>
      <c r="I45" s="9">
        <v>4</v>
      </c>
      <c r="J45" s="9" t="s">
        <v>620</v>
      </c>
      <c r="K45" s="9">
        <v>4</v>
      </c>
      <c r="L45" s="9" t="s">
        <v>345</v>
      </c>
      <c r="M45" s="9" t="s">
        <v>346</v>
      </c>
      <c r="N45" s="9" t="s">
        <v>49</v>
      </c>
      <c r="O45" s="9" t="s">
        <v>728</v>
      </c>
      <c r="P45" s="11" t="s">
        <v>51</v>
      </c>
      <c r="Q45" s="9">
        <v>0</v>
      </c>
    </row>
    <row r="46" spans="1:42">
      <c r="A46" s="5" t="s">
        <v>64</v>
      </c>
      <c r="B46" s="5">
        <v>10008587</v>
      </c>
      <c r="C46" s="5" t="s">
        <v>729</v>
      </c>
      <c r="D46" s="5" t="s">
        <v>730</v>
      </c>
      <c r="E46" s="6">
        <v>1300014366</v>
      </c>
      <c r="F46" s="5"/>
      <c r="G46" s="5" t="s">
        <v>45</v>
      </c>
      <c r="H46" s="5" t="s">
        <v>67</v>
      </c>
      <c r="I46" s="5">
        <v>4</v>
      </c>
      <c r="J46" s="5" t="s">
        <v>620</v>
      </c>
      <c r="K46" s="5">
        <v>4</v>
      </c>
      <c r="L46" s="5" t="s">
        <v>641</v>
      </c>
      <c r="M46" s="5" t="s">
        <v>642</v>
      </c>
      <c r="N46" s="5" t="s">
        <v>49</v>
      </c>
      <c r="O46" s="14" t="s">
        <v>731</v>
      </c>
      <c r="P46" s="6" t="s">
        <v>222</v>
      </c>
      <c r="Q46" s="5">
        <v>59.072000000000003</v>
      </c>
    </row>
    <row r="47" spans="1:42">
      <c r="A47" s="5" t="s">
        <v>64</v>
      </c>
      <c r="B47" s="5">
        <v>10008213</v>
      </c>
      <c r="C47" s="5" t="s">
        <v>732</v>
      </c>
      <c r="D47" s="5" t="s">
        <v>733</v>
      </c>
      <c r="E47" s="6">
        <v>1300014323</v>
      </c>
      <c r="F47" s="5"/>
      <c r="G47" s="5" t="s">
        <v>45</v>
      </c>
      <c r="H47" s="5" t="s">
        <v>67</v>
      </c>
      <c r="I47" s="5">
        <v>4</v>
      </c>
      <c r="J47" s="5" t="s">
        <v>620</v>
      </c>
      <c r="K47" s="5">
        <v>4</v>
      </c>
      <c r="L47" s="5" t="s">
        <v>734</v>
      </c>
      <c r="M47" s="5" t="s">
        <v>735</v>
      </c>
      <c r="N47" s="5" t="s">
        <v>49</v>
      </c>
      <c r="O47" s="14" t="s">
        <v>736</v>
      </c>
      <c r="P47" s="6" t="s">
        <v>51</v>
      </c>
      <c r="Q47" s="5">
        <v>6.8769999999999998</v>
      </c>
    </row>
    <row r="48" spans="1:42">
      <c r="A48" s="5" t="s">
        <v>358</v>
      </c>
      <c r="B48" s="5">
        <v>10008291</v>
      </c>
      <c r="C48" s="5" t="s">
        <v>737</v>
      </c>
      <c r="D48" s="5" t="s">
        <v>738</v>
      </c>
      <c r="E48" s="6">
        <v>1300014196</v>
      </c>
      <c r="F48" s="5"/>
      <c r="G48" s="5" t="s">
        <v>144</v>
      </c>
      <c r="H48" s="5" t="s">
        <v>360</v>
      </c>
      <c r="I48" s="5">
        <v>5</v>
      </c>
      <c r="J48" s="5" t="s">
        <v>624</v>
      </c>
      <c r="K48" s="5">
        <v>4</v>
      </c>
      <c r="L48" s="5" t="s">
        <v>361</v>
      </c>
      <c r="M48" s="5" t="s">
        <v>362</v>
      </c>
      <c r="N48" s="5" t="s">
        <v>147</v>
      </c>
      <c r="O48" s="14" t="s">
        <v>739</v>
      </c>
      <c r="P48" s="6" t="s">
        <v>51</v>
      </c>
      <c r="Q48" s="5">
        <v>0.4</v>
      </c>
    </row>
    <row r="49" spans="1:42">
      <c r="A49" s="9" t="s">
        <v>358</v>
      </c>
      <c r="B49" s="9">
        <v>10008291</v>
      </c>
      <c r="C49" s="9" t="s">
        <v>737</v>
      </c>
      <c r="D49" s="9" t="s">
        <v>740</v>
      </c>
      <c r="E49" s="11">
        <v>1300014197</v>
      </c>
      <c r="F49" s="9"/>
      <c r="G49" s="9" t="s">
        <v>45</v>
      </c>
      <c r="H49" s="9" t="s">
        <v>360</v>
      </c>
      <c r="I49" s="9">
        <v>5</v>
      </c>
      <c r="J49" s="9" t="s">
        <v>620</v>
      </c>
      <c r="K49" s="9">
        <v>4</v>
      </c>
      <c r="L49" s="9" t="s">
        <v>361</v>
      </c>
      <c r="M49" s="9" t="s">
        <v>362</v>
      </c>
      <c r="N49" s="9" t="s">
        <v>49</v>
      </c>
      <c r="O49" s="16" t="s">
        <v>739</v>
      </c>
      <c r="P49" s="11" t="s">
        <v>51</v>
      </c>
      <c r="Q49" s="9">
        <v>0</v>
      </c>
    </row>
    <row r="50" spans="1:42" s="2" customFormat="1">
      <c r="A50" s="5" t="s">
        <v>64</v>
      </c>
      <c r="B50" s="5">
        <v>10008563</v>
      </c>
      <c r="C50" s="5" t="s">
        <v>741</v>
      </c>
      <c r="D50" s="5" t="s">
        <v>742</v>
      </c>
      <c r="E50" s="6">
        <v>1300014322</v>
      </c>
      <c r="F50" s="5"/>
      <c r="G50" s="5" t="s">
        <v>45</v>
      </c>
      <c r="H50" s="5" t="s">
        <v>67</v>
      </c>
      <c r="I50" s="5">
        <v>5</v>
      </c>
      <c r="J50" s="5" t="s">
        <v>620</v>
      </c>
      <c r="K50" s="5">
        <v>4</v>
      </c>
      <c r="L50" s="5" t="s">
        <v>743</v>
      </c>
      <c r="M50" s="5" t="s">
        <v>744</v>
      </c>
      <c r="N50" s="5" t="s">
        <v>49</v>
      </c>
      <c r="O50" s="14" t="s">
        <v>745</v>
      </c>
      <c r="P50" s="6" t="s">
        <v>51</v>
      </c>
      <c r="Q50" s="5">
        <v>21.286999999999999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1:42">
      <c r="A51" s="5" t="s">
        <v>57</v>
      </c>
      <c r="B51" s="5">
        <v>10008216</v>
      </c>
      <c r="C51" s="5" t="s">
        <v>374</v>
      </c>
      <c r="D51" s="5" t="s">
        <v>375</v>
      </c>
      <c r="E51" s="6">
        <v>1300014395</v>
      </c>
      <c r="F51" s="5"/>
      <c r="G51" s="5" t="s">
        <v>45</v>
      </c>
      <c r="H51" s="5" t="s">
        <v>60</v>
      </c>
      <c r="I51" s="5">
        <v>4</v>
      </c>
      <c r="J51" s="5" t="s">
        <v>620</v>
      </c>
      <c r="K51" s="5">
        <v>4</v>
      </c>
      <c r="L51" s="5" t="s">
        <v>376</v>
      </c>
      <c r="M51" s="5" t="s">
        <v>377</v>
      </c>
      <c r="N51" s="5" t="s">
        <v>49</v>
      </c>
      <c r="O51" s="14" t="s">
        <v>746</v>
      </c>
      <c r="P51" s="6" t="s">
        <v>222</v>
      </c>
      <c r="Q51" s="5">
        <v>69.168999999999983</v>
      </c>
    </row>
    <row r="52" spans="1:42">
      <c r="A52" s="5" t="s">
        <v>64</v>
      </c>
      <c r="B52" s="5">
        <v>10008579</v>
      </c>
      <c r="C52" s="5" t="s">
        <v>747</v>
      </c>
      <c r="D52" s="5" t="s">
        <v>748</v>
      </c>
      <c r="E52" s="6">
        <v>1300014350</v>
      </c>
      <c r="F52" s="5"/>
      <c r="G52" s="5" t="s">
        <v>45</v>
      </c>
      <c r="H52" s="5" t="s">
        <v>67</v>
      </c>
      <c r="I52" s="5">
        <v>4</v>
      </c>
      <c r="J52" s="5" t="s">
        <v>620</v>
      </c>
      <c r="K52" s="5">
        <v>4</v>
      </c>
      <c r="L52" s="5" t="s">
        <v>749</v>
      </c>
      <c r="M52" s="5" t="s">
        <v>750</v>
      </c>
      <c r="N52" s="5" t="s">
        <v>49</v>
      </c>
      <c r="O52" s="14" t="s">
        <v>751</v>
      </c>
      <c r="P52" s="6" t="s">
        <v>51</v>
      </c>
      <c r="Q52" s="5">
        <v>2.0070000000000001</v>
      </c>
    </row>
    <row r="53" spans="1:42" s="2" customFormat="1">
      <c r="A53" s="5" t="s">
        <v>64</v>
      </c>
      <c r="B53" s="5">
        <v>10008588</v>
      </c>
      <c r="C53" s="5" t="s">
        <v>752</v>
      </c>
      <c r="D53" s="5" t="s">
        <v>753</v>
      </c>
      <c r="E53" s="6">
        <v>1300014368</v>
      </c>
      <c r="F53" s="5"/>
      <c r="G53" s="5" t="s">
        <v>45</v>
      </c>
      <c r="H53" s="5" t="s">
        <v>67</v>
      </c>
      <c r="I53" s="5">
        <v>4</v>
      </c>
      <c r="J53" s="5" t="s">
        <v>620</v>
      </c>
      <c r="K53" s="5">
        <v>4</v>
      </c>
      <c r="L53" s="5" t="s">
        <v>754</v>
      </c>
      <c r="M53" s="5" t="s">
        <v>755</v>
      </c>
      <c r="N53" s="5" t="s">
        <v>49</v>
      </c>
      <c r="O53" s="14" t="s">
        <v>756</v>
      </c>
      <c r="P53" s="6" t="s">
        <v>51</v>
      </c>
      <c r="Q53" s="5">
        <v>4.4160000000000004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 s="2" customFormat="1">
      <c r="A54" s="5" t="s">
        <v>42</v>
      </c>
      <c r="B54" s="5">
        <v>10008195</v>
      </c>
      <c r="C54" s="5" t="s">
        <v>392</v>
      </c>
      <c r="D54" s="5" t="s">
        <v>393</v>
      </c>
      <c r="E54" s="6">
        <v>1300014311</v>
      </c>
      <c r="F54" s="5"/>
      <c r="G54" s="5" t="s">
        <v>45</v>
      </c>
      <c r="H54" s="5" t="s">
        <v>46</v>
      </c>
      <c r="I54" s="5">
        <v>4</v>
      </c>
      <c r="J54" s="5" t="s">
        <v>620</v>
      </c>
      <c r="K54" s="5">
        <v>4</v>
      </c>
      <c r="L54" s="5" t="s">
        <v>394</v>
      </c>
      <c r="M54" s="5" t="s">
        <v>395</v>
      </c>
      <c r="N54" s="33" t="s">
        <v>49</v>
      </c>
      <c r="O54" s="126" t="s">
        <v>757</v>
      </c>
      <c r="P54" s="31" t="s">
        <v>222</v>
      </c>
      <c r="Q54" s="33">
        <v>46.900000000000034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1:42">
      <c r="A55" s="5" t="s">
        <v>358</v>
      </c>
      <c r="B55" s="5">
        <v>10008308</v>
      </c>
      <c r="C55" s="5" t="s">
        <v>758</v>
      </c>
      <c r="D55" s="5" t="s">
        <v>759</v>
      </c>
      <c r="E55" s="6">
        <v>1300014200</v>
      </c>
      <c r="F55" s="5"/>
      <c r="G55" s="5" t="s">
        <v>144</v>
      </c>
      <c r="H55" s="5" t="s">
        <v>360</v>
      </c>
      <c r="I55" s="5">
        <v>4</v>
      </c>
      <c r="J55" s="5" t="s">
        <v>624</v>
      </c>
      <c r="K55" s="5">
        <v>4</v>
      </c>
      <c r="L55" s="5" t="s">
        <v>760</v>
      </c>
      <c r="M55" s="5" t="s">
        <v>761</v>
      </c>
      <c r="N55" s="5" t="s">
        <v>147</v>
      </c>
      <c r="O55" s="14" t="s">
        <v>762</v>
      </c>
      <c r="P55" s="6" t="s">
        <v>51</v>
      </c>
      <c r="Q55" s="5">
        <v>0.6</v>
      </c>
    </row>
    <row r="56" spans="1:42">
      <c r="A56" s="9" t="s">
        <v>358</v>
      </c>
      <c r="B56" s="9">
        <v>10008308</v>
      </c>
      <c r="C56" s="9" t="s">
        <v>758</v>
      </c>
      <c r="D56" s="9" t="s">
        <v>763</v>
      </c>
      <c r="E56" s="11">
        <v>1300014201</v>
      </c>
      <c r="F56" s="9"/>
      <c r="G56" s="9" t="s">
        <v>45</v>
      </c>
      <c r="H56" s="9" t="s">
        <v>360</v>
      </c>
      <c r="I56" s="9">
        <v>4</v>
      </c>
      <c r="J56" s="9" t="s">
        <v>620</v>
      </c>
      <c r="K56" s="9">
        <v>4</v>
      </c>
      <c r="L56" s="9" t="s">
        <v>760</v>
      </c>
      <c r="M56" s="9" t="s">
        <v>761</v>
      </c>
      <c r="N56" s="9" t="s">
        <v>49</v>
      </c>
      <c r="O56" s="16" t="s">
        <v>762</v>
      </c>
      <c r="P56" s="11" t="s">
        <v>51</v>
      </c>
      <c r="Q56" s="9">
        <v>0</v>
      </c>
    </row>
    <row r="57" spans="1:42">
      <c r="A57" s="5" t="s">
        <v>358</v>
      </c>
      <c r="B57" s="5">
        <v>10008309</v>
      </c>
      <c r="C57" s="5" t="s">
        <v>764</v>
      </c>
      <c r="D57" s="5" t="s">
        <v>765</v>
      </c>
      <c r="E57" s="6">
        <v>1300014202</v>
      </c>
      <c r="F57" s="5"/>
      <c r="G57" s="5" t="s">
        <v>144</v>
      </c>
      <c r="H57" s="5" t="s">
        <v>360</v>
      </c>
      <c r="I57" s="5">
        <v>4</v>
      </c>
      <c r="J57" s="5" t="s">
        <v>624</v>
      </c>
      <c r="K57" s="5">
        <v>4</v>
      </c>
      <c r="L57" s="5" t="s">
        <v>766</v>
      </c>
      <c r="M57" s="5" t="s">
        <v>767</v>
      </c>
      <c r="N57" s="26" t="s">
        <v>147</v>
      </c>
      <c r="O57" s="29" t="s">
        <v>768</v>
      </c>
      <c r="P57" s="27" t="s">
        <v>51</v>
      </c>
      <c r="Q57" s="26">
        <v>0.01</v>
      </c>
    </row>
    <row r="58" spans="1:42">
      <c r="A58" s="9" t="s">
        <v>358</v>
      </c>
      <c r="B58" s="9">
        <v>10008309</v>
      </c>
      <c r="C58" s="9" t="s">
        <v>764</v>
      </c>
      <c r="D58" s="9" t="s">
        <v>769</v>
      </c>
      <c r="E58" s="11">
        <v>1300014203</v>
      </c>
      <c r="F58" s="9"/>
      <c r="G58" s="9" t="s">
        <v>45</v>
      </c>
      <c r="H58" s="9" t="s">
        <v>360</v>
      </c>
      <c r="I58" s="9">
        <v>4</v>
      </c>
      <c r="J58" s="9" t="s">
        <v>620</v>
      </c>
      <c r="K58" s="9">
        <v>4</v>
      </c>
      <c r="L58" s="9" t="s">
        <v>766</v>
      </c>
      <c r="M58" s="9" t="s">
        <v>767</v>
      </c>
      <c r="N58" s="9" t="s">
        <v>49</v>
      </c>
      <c r="O58" s="16" t="s">
        <v>768</v>
      </c>
      <c r="P58" s="11" t="s">
        <v>51</v>
      </c>
      <c r="Q58" s="9">
        <v>0</v>
      </c>
    </row>
    <row r="59" spans="1:42">
      <c r="A59" s="5" t="s">
        <v>358</v>
      </c>
      <c r="B59" s="5">
        <v>10008290</v>
      </c>
      <c r="C59" s="5" t="s">
        <v>770</v>
      </c>
      <c r="D59" s="5" t="s">
        <v>771</v>
      </c>
      <c r="E59" s="6">
        <v>1300014194</v>
      </c>
      <c r="F59" s="5"/>
      <c r="G59" s="5" t="s">
        <v>144</v>
      </c>
      <c r="H59" s="5" t="s">
        <v>360</v>
      </c>
      <c r="I59" s="5">
        <v>4</v>
      </c>
      <c r="J59" s="5" t="s">
        <v>624</v>
      </c>
      <c r="K59" s="5">
        <v>4</v>
      </c>
      <c r="L59" s="5" t="s">
        <v>772</v>
      </c>
      <c r="M59" s="5" t="s">
        <v>773</v>
      </c>
      <c r="N59" s="5" t="s">
        <v>147</v>
      </c>
      <c r="O59" s="14" t="s">
        <v>774</v>
      </c>
      <c r="P59" s="6" t="s">
        <v>51</v>
      </c>
      <c r="Q59" s="5">
        <v>1.4490000000000001</v>
      </c>
    </row>
    <row r="60" spans="1:42">
      <c r="A60" s="9" t="s">
        <v>358</v>
      </c>
      <c r="B60" s="9">
        <v>10008290</v>
      </c>
      <c r="C60" s="9" t="s">
        <v>770</v>
      </c>
      <c r="D60" s="9" t="s">
        <v>775</v>
      </c>
      <c r="E60" s="11">
        <v>1300014195</v>
      </c>
      <c r="F60" s="9"/>
      <c r="G60" s="9" t="s">
        <v>45</v>
      </c>
      <c r="H60" s="9" t="s">
        <v>360</v>
      </c>
      <c r="I60" s="9">
        <v>4</v>
      </c>
      <c r="J60" s="9" t="s">
        <v>620</v>
      </c>
      <c r="K60" s="9">
        <v>4</v>
      </c>
      <c r="L60" s="9" t="s">
        <v>772</v>
      </c>
      <c r="M60" s="9" t="s">
        <v>773</v>
      </c>
      <c r="N60" s="9" t="s">
        <v>49</v>
      </c>
      <c r="O60" s="16" t="s">
        <v>774</v>
      </c>
      <c r="P60" s="11" t="s">
        <v>51</v>
      </c>
      <c r="Q60" s="9">
        <v>0</v>
      </c>
    </row>
    <row r="61" spans="1:42">
      <c r="A61" s="5" t="s">
        <v>42</v>
      </c>
      <c r="B61" s="5">
        <v>10015446</v>
      </c>
      <c r="C61" s="5" t="s">
        <v>776</v>
      </c>
      <c r="D61" s="5" t="s">
        <v>776</v>
      </c>
      <c r="E61" s="6">
        <v>1300014382</v>
      </c>
      <c r="F61" s="5"/>
      <c r="G61" s="5" t="s">
        <v>32</v>
      </c>
      <c r="H61" s="5" t="s">
        <v>46</v>
      </c>
      <c r="I61" s="5">
        <v>3</v>
      </c>
      <c r="J61" s="5" t="s">
        <v>620</v>
      </c>
      <c r="K61" s="5">
        <v>8</v>
      </c>
      <c r="L61" s="5" t="s">
        <v>399</v>
      </c>
      <c r="M61" s="5" t="s">
        <v>400</v>
      </c>
      <c r="N61" s="120" t="s">
        <v>36</v>
      </c>
      <c r="O61" s="101" t="s">
        <v>777</v>
      </c>
      <c r="P61" s="30" t="s">
        <v>51</v>
      </c>
      <c r="Q61" s="120">
        <v>1</v>
      </c>
    </row>
    <row r="62" spans="1:42">
      <c r="A62" s="5" t="s">
        <v>64</v>
      </c>
      <c r="B62" s="5">
        <v>10008608</v>
      </c>
      <c r="C62" s="5" t="s">
        <v>402</v>
      </c>
      <c r="D62" s="5" t="s">
        <v>778</v>
      </c>
      <c r="E62" s="6">
        <v>1300014409</v>
      </c>
      <c r="F62" s="5"/>
      <c r="G62" s="5" t="s">
        <v>144</v>
      </c>
      <c r="H62" s="5" t="s">
        <v>67</v>
      </c>
      <c r="I62" s="5">
        <v>4</v>
      </c>
      <c r="J62" s="5" t="s">
        <v>624</v>
      </c>
      <c r="K62" s="5">
        <v>4</v>
      </c>
      <c r="L62" s="5" t="s">
        <v>404</v>
      </c>
      <c r="M62" s="5" t="s">
        <v>405</v>
      </c>
      <c r="N62" s="5" t="s">
        <v>147</v>
      </c>
      <c r="O62" s="14" t="s">
        <v>779</v>
      </c>
      <c r="P62" s="6" t="s">
        <v>51</v>
      </c>
      <c r="Q62" s="5">
        <v>3.0209999999999999</v>
      </c>
    </row>
    <row r="63" spans="1:42">
      <c r="A63" s="9" t="s">
        <v>64</v>
      </c>
      <c r="B63" s="9">
        <v>10008608</v>
      </c>
      <c r="C63" s="9" t="s">
        <v>402</v>
      </c>
      <c r="D63" s="9" t="s">
        <v>403</v>
      </c>
      <c r="E63" s="11">
        <v>1300014410</v>
      </c>
      <c r="F63" s="9"/>
      <c r="G63" s="9" t="s">
        <v>45</v>
      </c>
      <c r="H63" s="9" t="s">
        <v>67</v>
      </c>
      <c r="I63" s="9">
        <v>4</v>
      </c>
      <c r="J63" s="9" t="s">
        <v>620</v>
      </c>
      <c r="K63" s="9">
        <v>4</v>
      </c>
      <c r="L63" s="9" t="s">
        <v>404</v>
      </c>
      <c r="M63" s="9" t="s">
        <v>405</v>
      </c>
      <c r="N63" s="9" t="s">
        <v>49</v>
      </c>
      <c r="O63" s="16" t="s">
        <v>779</v>
      </c>
      <c r="P63" s="11" t="s">
        <v>51</v>
      </c>
      <c r="Q63" s="9">
        <v>0</v>
      </c>
    </row>
    <row r="64" spans="1:42" s="2" customFormat="1">
      <c r="A64" s="5" t="s">
        <v>64</v>
      </c>
      <c r="B64" s="5">
        <v>10008614</v>
      </c>
      <c r="C64" s="5" t="s">
        <v>422</v>
      </c>
      <c r="D64" s="5" t="s">
        <v>780</v>
      </c>
      <c r="E64" s="6">
        <v>1300014413</v>
      </c>
      <c r="F64" s="5"/>
      <c r="G64" s="5" t="s">
        <v>144</v>
      </c>
      <c r="H64" s="5" t="s">
        <v>67</v>
      </c>
      <c r="I64" s="5">
        <v>4</v>
      </c>
      <c r="J64" s="5" t="s">
        <v>624</v>
      </c>
      <c r="K64" s="5">
        <v>4</v>
      </c>
      <c r="L64" s="5" t="s">
        <v>424</v>
      </c>
      <c r="M64" s="5" t="s">
        <v>425</v>
      </c>
      <c r="N64" s="5" t="s">
        <v>147</v>
      </c>
      <c r="O64" s="14" t="s">
        <v>781</v>
      </c>
      <c r="P64" s="6" t="s">
        <v>51</v>
      </c>
      <c r="Q64" s="5">
        <v>15.773999999999999</v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 s="2" customFormat="1">
      <c r="A65" s="9" t="s">
        <v>64</v>
      </c>
      <c r="B65" s="9">
        <v>10008614</v>
      </c>
      <c r="C65" s="9" t="s">
        <v>422</v>
      </c>
      <c r="D65" s="9" t="s">
        <v>423</v>
      </c>
      <c r="E65" s="11">
        <v>1300014414</v>
      </c>
      <c r="F65" s="9"/>
      <c r="G65" s="9" t="s">
        <v>45</v>
      </c>
      <c r="H65" s="9" t="s">
        <v>67</v>
      </c>
      <c r="I65" s="9">
        <v>4</v>
      </c>
      <c r="J65" s="9" t="s">
        <v>620</v>
      </c>
      <c r="K65" s="9">
        <v>4</v>
      </c>
      <c r="L65" s="9" t="s">
        <v>424</v>
      </c>
      <c r="M65" s="9" t="s">
        <v>425</v>
      </c>
      <c r="N65" s="9" t="s">
        <v>49</v>
      </c>
      <c r="O65" s="16" t="s">
        <v>781</v>
      </c>
      <c r="P65" s="11" t="s">
        <v>51</v>
      </c>
      <c r="Q65" s="9">
        <v>0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 s="2" customFormat="1">
      <c r="A66" s="5" t="s">
        <v>64</v>
      </c>
      <c r="B66" s="5">
        <v>10008575</v>
      </c>
      <c r="C66" s="5" t="s">
        <v>782</v>
      </c>
      <c r="D66" s="5" t="s">
        <v>783</v>
      </c>
      <c r="E66" s="6">
        <v>1300014346</v>
      </c>
      <c r="F66" s="5"/>
      <c r="G66" s="5" t="s">
        <v>45</v>
      </c>
      <c r="H66" s="5" t="s">
        <v>67</v>
      </c>
      <c r="I66" s="5">
        <v>5</v>
      </c>
      <c r="J66" s="5" t="s">
        <v>620</v>
      </c>
      <c r="K66" s="5">
        <v>4</v>
      </c>
      <c r="L66" s="5" t="s">
        <v>784</v>
      </c>
      <c r="M66" s="5" t="s">
        <v>785</v>
      </c>
      <c r="N66" s="5" t="s">
        <v>49</v>
      </c>
      <c r="O66" s="14" t="s">
        <v>786</v>
      </c>
      <c r="P66" s="6" t="s">
        <v>51</v>
      </c>
      <c r="Q66" s="5">
        <v>0.01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s="2" customFormat="1">
      <c r="A67" s="5" t="s">
        <v>358</v>
      </c>
      <c r="B67" s="5">
        <v>10008287</v>
      </c>
      <c r="C67" s="5" t="s">
        <v>437</v>
      </c>
      <c r="D67" s="5" t="s">
        <v>787</v>
      </c>
      <c r="E67" s="6">
        <v>1300014191</v>
      </c>
      <c r="F67" s="5"/>
      <c r="G67" s="5" t="s">
        <v>144</v>
      </c>
      <c r="H67" s="5" t="s">
        <v>360</v>
      </c>
      <c r="I67" s="5">
        <v>4</v>
      </c>
      <c r="J67" s="5" t="s">
        <v>624</v>
      </c>
      <c r="K67" s="5">
        <v>4</v>
      </c>
      <c r="L67" s="5" t="s">
        <v>439</v>
      </c>
      <c r="M67" s="5" t="s">
        <v>440</v>
      </c>
      <c r="N67" s="5" t="s">
        <v>147</v>
      </c>
      <c r="O67" s="14" t="s">
        <v>788</v>
      </c>
      <c r="P67" s="6" t="s">
        <v>222</v>
      </c>
      <c r="Q67" s="5">
        <v>59.8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s="2" customFormat="1">
      <c r="A68" s="9" t="s">
        <v>358</v>
      </c>
      <c r="B68" s="9">
        <v>10008287</v>
      </c>
      <c r="C68" s="9" t="s">
        <v>437</v>
      </c>
      <c r="D68" s="9" t="s">
        <v>438</v>
      </c>
      <c r="E68" s="11">
        <v>1300014192</v>
      </c>
      <c r="F68" s="9"/>
      <c r="G68" s="9" t="s">
        <v>45</v>
      </c>
      <c r="H68" s="9" t="s">
        <v>360</v>
      </c>
      <c r="I68" s="9">
        <v>4</v>
      </c>
      <c r="J68" s="9" t="s">
        <v>620</v>
      </c>
      <c r="K68" s="9">
        <v>4</v>
      </c>
      <c r="L68" s="9" t="s">
        <v>439</v>
      </c>
      <c r="M68" s="9" t="s">
        <v>440</v>
      </c>
      <c r="N68" s="9" t="s">
        <v>49</v>
      </c>
      <c r="O68" s="16" t="s">
        <v>788</v>
      </c>
      <c r="P68" s="11" t="s">
        <v>222</v>
      </c>
      <c r="Q68" s="9">
        <v>0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s="2" customFormat="1">
      <c r="A69" s="5" t="s">
        <v>64</v>
      </c>
      <c r="B69" s="5">
        <v>10008605</v>
      </c>
      <c r="C69" s="5" t="s">
        <v>464</v>
      </c>
      <c r="D69" s="5" t="s">
        <v>789</v>
      </c>
      <c r="E69" s="6">
        <v>1300014341</v>
      </c>
      <c r="F69" s="5"/>
      <c r="G69" s="5" t="s">
        <v>144</v>
      </c>
      <c r="H69" s="5" t="s">
        <v>67</v>
      </c>
      <c r="I69" s="5">
        <v>4</v>
      </c>
      <c r="J69" s="5" t="s">
        <v>624</v>
      </c>
      <c r="K69" s="5">
        <v>4</v>
      </c>
      <c r="L69" s="5" t="s">
        <v>466</v>
      </c>
      <c r="M69" s="5" t="s">
        <v>467</v>
      </c>
      <c r="N69" s="5" t="s">
        <v>147</v>
      </c>
      <c r="O69" s="14" t="s">
        <v>790</v>
      </c>
      <c r="P69" s="6" t="s">
        <v>51</v>
      </c>
      <c r="Q69" s="5">
        <v>2.2029999999999998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s="2" customFormat="1">
      <c r="A70" s="9" t="s">
        <v>64</v>
      </c>
      <c r="B70" s="9">
        <v>10008605</v>
      </c>
      <c r="C70" s="9" t="s">
        <v>464</v>
      </c>
      <c r="D70" s="9" t="s">
        <v>465</v>
      </c>
      <c r="E70" s="11">
        <v>1300014342</v>
      </c>
      <c r="F70" s="9"/>
      <c r="G70" s="9" t="s">
        <v>45</v>
      </c>
      <c r="H70" s="9" t="s">
        <v>67</v>
      </c>
      <c r="I70" s="9">
        <v>4</v>
      </c>
      <c r="J70" s="9" t="s">
        <v>620</v>
      </c>
      <c r="K70" s="9">
        <v>4</v>
      </c>
      <c r="L70" s="9" t="s">
        <v>466</v>
      </c>
      <c r="M70" s="9" t="s">
        <v>467</v>
      </c>
      <c r="N70" s="9" t="s">
        <v>49</v>
      </c>
      <c r="O70" s="16" t="s">
        <v>790</v>
      </c>
      <c r="P70" s="11" t="s">
        <v>51</v>
      </c>
      <c r="Q70" s="9">
        <v>0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>
      <c r="A71" s="5" t="s">
        <v>358</v>
      </c>
      <c r="B71" s="5">
        <v>10008288</v>
      </c>
      <c r="C71" s="5" t="s">
        <v>473</v>
      </c>
      <c r="D71" s="5" t="s">
        <v>474</v>
      </c>
      <c r="E71" s="6">
        <v>1300014193</v>
      </c>
      <c r="F71" s="5"/>
      <c r="G71" s="5" t="s">
        <v>45</v>
      </c>
      <c r="H71" s="5" t="s">
        <v>360</v>
      </c>
      <c r="I71" s="5">
        <v>3</v>
      </c>
      <c r="J71" s="5" t="s">
        <v>620</v>
      </c>
      <c r="K71" s="5">
        <v>4</v>
      </c>
      <c r="L71" s="5" t="s">
        <v>470</v>
      </c>
      <c r="M71" s="5" t="s">
        <v>471</v>
      </c>
      <c r="N71" s="5" t="s">
        <v>49</v>
      </c>
      <c r="O71" s="14" t="s">
        <v>791</v>
      </c>
      <c r="P71" s="6" t="s">
        <v>51</v>
      </c>
      <c r="Q71" s="5">
        <v>0.2</v>
      </c>
    </row>
    <row r="72" spans="1:42" s="2" customFormat="1">
      <c r="A72" s="5" t="s">
        <v>358</v>
      </c>
      <c r="B72" s="5">
        <v>10008343</v>
      </c>
      <c r="C72" s="5" t="s">
        <v>792</v>
      </c>
      <c r="D72" s="5" t="s">
        <v>793</v>
      </c>
      <c r="E72" s="6">
        <v>1300014798</v>
      </c>
      <c r="F72" s="5"/>
      <c r="G72" s="5" t="s">
        <v>144</v>
      </c>
      <c r="H72" s="5" t="s">
        <v>360</v>
      </c>
      <c r="I72" s="5">
        <v>4</v>
      </c>
      <c r="J72" s="5" t="s">
        <v>624</v>
      </c>
      <c r="K72" s="5">
        <v>4</v>
      </c>
      <c r="L72" s="5" t="s">
        <v>794</v>
      </c>
      <c r="M72" s="5" t="s">
        <v>795</v>
      </c>
      <c r="N72" s="5" t="s">
        <v>147</v>
      </c>
      <c r="O72" s="14" t="s">
        <v>796</v>
      </c>
      <c r="P72" s="6" t="s">
        <v>51</v>
      </c>
      <c r="Q72" s="5">
        <v>10.7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s="2" customFormat="1">
      <c r="A73" s="9" t="s">
        <v>358</v>
      </c>
      <c r="B73" s="9">
        <v>10008343</v>
      </c>
      <c r="C73" s="9" t="s">
        <v>792</v>
      </c>
      <c r="D73" s="9" t="s">
        <v>797</v>
      </c>
      <c r="E73" s="11">
        <v>1300014345</v>
      </c>
      <c r="F73" s="9"/>
      <c r="G73" s="9" t="s">
        <v>45</v>
      </c>
      <c r="H73" s="9" t="s">
        <v>360</v>
      </c>
      <c r="I73" s="9">
        <v>4</v>
      </c>
      <c r="J73" s="9" t="s">
        <v>620</v>
      </c>
      <c r="K73" s="9">
        <v>4</v>
      </c>
      <c r="L73" s="9" t="s">
        <v>794</v>
      </c>
      <c r="M73" s="9" t="s">
        <v>795</v>
      </c>
      <c r="N73" s="9" t="s">
        <v>49</v>
      </c>
      <c r="O73" s="16" t="s">
        <v>796</v>
      </c>
      <c r="P73" s="11" t="s">
        <v>51</v>
      </c>
      <c r="Q73" s="9">
        <v>0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s="2" customFormat="1">
      <c r="A74" s="5" t="s">
        <v>57</v>
      </c>
      <c r="B74" s="5">
        <v>10008649</v>
      </c>
      <c r="C74" s="5" t="s">
        <v>475</v>
      </c>
      <c r="D74" s="5" t="s">
        <v>476</v>
      </c>
      <c r="E74" s="6">
        <v>1300014329</v>
      </c>
      <c r="F74" s="5"/>
      <c r="G74" s="5" t="s">
        <v>45</v>
      </c>
      <c r="H74" s="5" t="s">
        <v>60</v>
      </c>
      <c r="I74" s="5">
        <v>5</v>
      </c>
      <c r="J74" s="5" t="s">
        <v>620</v>
      </c>
      <c r="K74" s="5">
        <v>4</v>
      </c>
      <c r="L74" s="5" t="s">
        <v>477</v>
      </c>
      <c r="M74" s="5" t="s">
        <v>478</v>
      </c>
      <c r="N74" s="5" t="s">
        <v>49</v>
      </c>
      <c r="O74" s="14" t="s">
        <v>798</v>
      </c>
      <c r="P74" s="6" t="s">
        <v>51</v>
      </c>
      <c r="Q74" s="5">
        <v>0.35599999999999998</v>
      </c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s="2" customFormat="1">
      <c r="A75" s="5" t="s">
        <v>57</v>
      </c>
      <c r="B75" s="5">
        <v>10008646</v>
      </c>
      <c r="C75" s="5" t="s">
        <v>480</v>
      </c>
      <c r="D75" s="5" t="s">
        <v>481</v>
      </c>
      <c r="E75" s="6">
        <v>1300014325</v>
      </c>
      <c r="F75" s="5"/>
      <c r="G75" s="5" t="s">
        <v>45</v>
      </c>
      <c r="H75" s="5" t="s">
        <v>60</v>
      </c>
      <c r="I75" s="5">
        <v>5</v>
      </c>
      <c r="J75" s="5" t="s">
        <v>620</v>
      </c>
      <c r="K75" s="5">
        <v>4</v>
      </c>
      <c r="L75" s="5" t="s">
        <v>482</v>
      </c>
      <c r="M75" s="5" t="s">
        <v>483</v>
      </c>
      <c r="N75" s="5" t="s">
        <v>49</v>
      </c>
      <c r="O75" s="14" t="s">
        <v>799</v>
      </c>
      <c r="P75" s="6" t="s">
        <v>51</v>
      </c>
      <c r="Q75" s="5">
        <v>0.16600000000000001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s="2" customFormat="1">
      <c r="A76" s="5" t="s">
        <v>57</v>
      </c>
      <c r="B76" s="5">
        <v>10008597</v>
      </c>
      <c r="C76" s="5" t="s">
        <v>496</v>
      </c>
      <c r="D76" s="5" t="s">
        <v>497</v>
      </c>
      <c r="E76" s="6">
        <v>1300014338</v>
      </c>
      <c r="F76" s="5"/>
      <c r="G76" s="5" t="s">
        <v>45</v>
      </c>
      <c r="H76" s="5" t="s">
        <v>60</v>
      </c>
      <c r="I76" s="5">
        <v>4</v>
      </c>
      <c r="J76" s="5" t="s">
        <v>620</v>
      </c>
      <c r="K76" s="5">
        <v>4</v>
      </c>
      <c r="L76" s="5" t="s">
        <v>498</v>
      </c>
      <c r="M76" s="5" t="s">
        <v>499</v>
      </c>
      <c r="N76" s="5" t="s">
        <v>49</v>
      </c>
      <c r="O76" s="14" t="s">
        <v>800</v>
      </c>
      <c r="P76" s="6" t="s">
        <v>51</v>
      </c>
      <c r="Q76" s="5">
        <v>0.01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>
      <c r="A77" s="5" t="s">
        <v>358</v>
      </c>
      <c r="B77" s="5">
        <v>10008307</v>
      </c>
      <c r="C77" s="5" t="s">
        <v>505</v>
      </c>
      <c r="D77" s="5" t="s">
        <v>801</v>
      </c>
      <c r="E77" s="6">
        <v>1300014198</v>
      </c>
      <c r="F77" s="5"/>
      <c r="G77" s="5" t="s">
        <v>144</v>
      </c>
      <c r="H77" s="5" t="s">
        <v>360</v>
      </c>
      <c r="I77" s="5">
        <v>4</v>
      </c>
      <c r="J77" s="5" t="s">
        <v>624</v>
      </c>
      <c r="K77" s="5">
        <v>4</v>
      </c>
      <c r="L77" s="5" t="s">
        <v>507</v>
      </c>
      <c r="M77" s="5" t="s">
        <v>508</v>
      </c>
      <c r="N77" s="5" t="s">
        <v>147</v>
      </c>
      <c r="O77" s="14" t="s">
        <v>802</v>
      </c>
      <c r="P77" s="6" t="s">
        <v>222</v>
      </c>
      <c r="Q77" s="5">
        <v>76.015000000000001</v>
      </c>
    </row>
    <row r="78" spans="1:42" s="2" customFormat="1">
      <c r="A78" s="9" t="s">
        <v>358</v>
      </c>
      <c r="B78" s="9">
        <v>10008307</v>
      </c>
      <c r="C78" s="9" t="s">
        <v>505</v>
      </c>
      <c r="D78" s="9" t="s">
        <v>506</v>
      </c>
      <c r="E78" s="11">
        <v>1300014199</v>
      </c>
      <c r="F78" s="9"/>
      <c r="G78" s="9" t="s">
        <v>45</v>
      </c>
      <c r="H78" s="9" t="s">
        <v>360</v>
      </c>
      <c r="I78" s="9">
        <v>4</v>
      </c>
      <c r="J78" s="9" t="s">
        <v>620</v>
      </c>
      <c r="K78" s="9">
        <v>4</v>
      </c>
      <c r="L78" s="9" t="s">
        <v>507</v>
      </c>
      <c r="M78" s="9" t="s">
        <v>508</v>
      </c>
      <c r="N78" s="9" t="s">
        <v>49</v>
      </c>
      <c r="O78" s="16" t="s">
        <v>802</v>
      </c>
      <c r="P78" s="11" t="s">
        <v>222</v>
      </c>
      <c r="Q78" s="9">
        <v>0</v>
      </c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s="2" customFormat="1">
      <c r="A79" s="5" t="s">
        <v>64</v>
      </c>
      <c r="B79" s="5">
        <v>10008569</v>
      </c>
      <c r="C79" s="5" t="s">
        <v>803</v>
      </c>
      <c r="D79" s="5" t="s">
        <v>804</v>
      </c>
      <c r="E79" s="6">
        <v>1300014387</v>
      </c>
      <c r="F79" s="5"/>
      <c r="G79" s="5" t="s">
        <v>45</v>
      </c>
      <c r="H79" s="5" t="s">
        <v>67</v>
      </c>
      <c r="I79" s="5">
        <v>4</v>
      </c>
      <c r="J79" s="5" t="s">
        <v>620</v>
      </c>
      <c r="K79" s="5">
        <v>4</v>
      </c>
      <c r="L79" s="5" t="s">
        <v>516</v>
      </c>
      <c r="M79" s="5" t="s">
        <v>199</v>
      </c>
      <c r="N79" s="5" t="s">
        <v>49</v>
      </c>
      <c r="O79" s="14" t="s">
        <v>805</v>
      </c>
      <c r="P79" s="6" t="s">
        <v>51</v>
      </c>
      <c r="Q79" s="5">
        <v>3.6469999999999998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s="2" customFormat="1">
      <c r="A80" s="5" t="s">
        <v>57</v>
      </c>
      <c r="B80" s="5">
        <v>10008620</v>
      </c>
      <c r="C80" s="5" t="s">
        <v>518</v>
      </c>
      <c r="D80" s="5" t="s">
        <v>519</v>
      </c>
      <c r="E80" s="6">
        <v>1300014313</v>
      </c>
      <c r="F80" s="5"/>
      <c r="G80" s="5" t="s">
        <v>45</v>
      </c>
      <c r="H80" s="5" t="s">
        <v>60</v>
      </c>
      <c r="I80" s="5">
        <v>4</v>
      </c>
      <c r="J80" s="5" t="s">
        <v>620</v>
      </c>
      <c r="K80" s="5">
        <v>4</v>
      </c>
      <c r="L80" s="5" t="s">
        <v>520</v>
      </c>
      <c r="M80" s="5" t="s">
        <v>521</v>
      </c>
      <c r="N80" s="5" t="s">
        <v>49</v>
      </c>
      <c r="O80" s="14" t="s">
        <v>806</v>
      </c>
      <c r="P80" s="6" t="s">
        <v>51</v>
      </c>
      <c r="Q80" s="5">
        <v>0.63900000000000001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s="2" customFormat="1">
      <c r="A81" s="26" t="s">
        <v>126</v>
      </c>
      <c r="B81" s="26"/>
      <c r="C81" s="26"/>
      <c r="D81" s="26"/>
      <c r="E81" s="27">
        <v>1300009300</v>
      </c>
      <c r="F81" s="26"/>
      <c r="G81" s="26"/>
      <c r="H81" s="26"/>
      <c r="I81" s="26"/>
      <c r="J81" s="26"/>
      <c r="K81" s="26"/>
      <c r="L81" s="26"/>
      <c r="M81" s="26"/>
      <c r="N81" s="26" t="s">
        <v>147</v>
      </c>
      <c r="O81" s="29" t="s">
        <v>148</v>
      </c>
      <c r="P81" s="27" t="s">
        <v>51</v>
      </c>
      <c r="Q81" s="26">
        <v>0.01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s="2" customFormat="1">
      <c r="A82" s="26" t="s">
        <v>126</v>
      </c>
      <c r="B82" s="26"/>
      <c r="C82" s="26"/>
      <c r="D82" s="26"/>
      <c r="E82" s="27">
        <v>1300012836</v>
      </c>
      <c r="F82" s="26"/>
      <c r="G82" s="26"/>
      <c r="H82" s="26"/>
      <c r="I82" s="26"/>
      <c r="J82" s="26"/>
      <c r="K82" s="26"/>
      <c r="L82" s="26"/>
      <c r="M82" s="26"/>
      <c r="N82" s="26" t="s">
        <v>220</v>
      </c>
      <c r="O82" s="29" t="s">
        <v>221</v>
      </c>
      <c r="P82" s="27" t="s">
        <v>222</v>
      </c>
      <c r="Q82" s="26">
        <v>60.289000000000001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s="2" customFormat="1">
      <c r="A83" s="127" t="s">
        <v>57</v>
      </c>
      <c r="B83" s="26"/>
      <c r="C83" s="26"/>
      <c r="D83" s="26"/>
      <c r="E83" s="27">
        <v>1300011002</v>
      </c>
      <c r="F83" s="26"/>
      <c r="G83" s="26"/>
      <c r="H83" s="26"/>
      <c r="I83" s="26"/>
      <c r="J83" s="26"/>
      <c r="K83" s="26"/>
      <c r="L83" s="26"/>
      <c r="M83" s="26"/>
      <c r="N83" s="26" t="s">
        <v>147</v>
      </c>
      <c r="O83" s="101" t="s">
        <v>228</v>
      </c>
      <c r="P83" s="27" t="s">
        <v>51</v>
      </c>
      <c r="Q83" s="26">
        <v>8.1750000000000007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s="2" customFormat="1">
      <c r="A84" s="26" t="s">
        <v>126</v>
      </c>
      <c r="B84" s="26"/>
      <c r="C84" s="26"/>
      <c r="D84" s="26"/>
      <c r="E84" s="27">
        <v>1300009297</v>
      </c>
      <c r="F84" s="26"/>
      <c r="G84" s="26"/>
      <c r="H84" s="26"/>
      <c r="I84" s="26"/>
      <c r="J84" s="26"/>
      <c r="K84" s="26"/>
      <c r="L84" s="26"/>
      <c r="M84" s="26"/>
      <c r="N84" s="26" t="s">
        <v>147</v>
      </c>
      <c r="O84" s="29" t="s">
        <v>281</v>
      </c>
      <c r="P84" s="27" t="s">
        <v>51</v>
      </c>
      <c r="Q84" s="26">
        <v>0.01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s="2" customFormat="1">
      <c r="A85" s="127" t="s">
        <v>57</v>
      </c>
      <c r="B85" s="26"/>
      <c r="C85" s="26"/>
      <c r="D85" s="26"/>
      <c r="E85" s="27">
        <v>1300011006</v>
      </c>
      <c r="F85" s="26"/>
      <c r="G85" s="26"/>
      <c r="H85" s="26"/>
      <c r="I85" s="26"/>
      <c r="J85" s="26"/>
      <c r="K85" s="26"/>
      <c r="L85" s="26"/>
      <c r="M85" s="26"/>
      <c r="N85" s="26" t="s">
        <v>147</v>
      </c>
      <c r="O85" s="29" t="s">
        <v>286</v>
      </c>
      <c r="P85" s="27" t="s">
        <v>51</v>
      </c>
      <c r="Q85" s="26">
        <v>43.082000000000001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s="2" customFormat="1">
      <c r="A86" s="127" t="s">
        <v>57</v>
      </c>
      <c r="B86" s="26"/>
      <c r="C86" s="26"/>
      <c r="D86" s="26"/>
      <c r="E86" s="27">
        <v>1300010982</v>
      </c>
      <c r="F86" s="26"/>
      <c r="G86" s="26"/>
      <c r="H86" s="26"/>
      <c r="I86" s="26"/>
      <c r="J86" s="26"/>
      <c r="K86" s="26"/>
      <c r="L86" s="26"/>
      <c r="M86" s="26"/>
      <c r="N86" s="26" t="s">
        <v>147</v>
      </c>
      <c r="O86" s="29" t="s">
        <v>292</v>
      </c>
      <c r="P86" s="27" t="s">
        <v>51</v>
      </c>
      <c r="Q86" s="26">
        <v>2.4E-2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s="2" customFormat="1">
      <c r="A87" s="26" t="s">
        <v>64</v>
      </c>
      <c r="B87" s="26"/>
      <c r="C87" s="26"/>
      <c r="D87" s="26"/>
      <c r="E87" s="27">
        <v>1300012837</v>
      </c>
      <c r="F87" s="26"/>
      <c r="G87" s="26"/>
      <c r="H87" s="26"/>
      <c r="I87" s="26"/>
      <c r="J87" s="26"/>
      <c r="K87" s="26"/>
      <c r="L87" s="26"/>
      <c r="M87" s="26"/>
      <c r="N87" s="26" t="s">
        <v>220</v>
      </c>
      <c r="O87" s="29" t="s">
        <v>317</v>
      </c>
      <c r="P87" s="27" t="s">
        <v>222</v>
      </c>
      <c r="Q87" s="26">
        <v>67.063000000000002</v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s="2" customFormat="1">
      <c r="A88" s="26" t="s">
        <v>64</v>
      </c>
      <c r="B88" s="26"/>
      <c r="C88" s="26"/>
      <c r="D88" s="26"/>
      <c r="E88" s="27">
        <v>1300012991</v>
      </c>
      <c r="F88" s="26"/>
      <c r="G88" s="26"/>
      <c r="H88" s="26"/>
      <c r="I88" s="26"/>
      <c r="J88" s="26"/>
      <c r="K88" s="26"/>
      <c r="L88" s="26"/>
      <c r="M88" s="26"/>
      <c r="N88" s="34" t="s">
        <v>220</v>
      </c>
      <c r="O88" s="34" t="s">
        <v>341</v>
      </c>
      <c r="P88" s="32" t="s">
        <v>222</v>
      </c>
      <c r="Q88" s="121">
        <v>67.144000000000005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s="2" customFormat="1">
      <c r="A89" s="26" t="s">
        <v>358</v>
      </c>
      <c r="B89" s="26"/>
      <c r="C89" s="26"/>
      <c r="D89" s="26"/>
      <c r="E89" s="27">
        <v>1300012992</v>
      </c>
      <c r="F89" s="26"/>
      <c r="G89" s="26"/>
      <c r="H89" s="26"/>
      <c r="I89" s="26"/>
      <c r="J89" s="26"/>
      <c r="K89" s="26"/>
      <c r="L89" s="26"/>
      <c r="M89" s="26"/>
      <c r="N89" s="26" t="s">
        <v>220</v>
      </c>
      <c r="O89" s="29" t="s">
        <v>363</v>
      </c>
      <c r="P89" s="27" t="s">
        <v>51</v>
      </c>
      <c r="Q89" s="26">
        <v>0.4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s="2" customFormat="1">
      <c r="A90" s="127" t="s">
        <v>57</v>
      </c>
      <c r="B90" s="26"/>
      <c r="C90" s="26"/>
      <c r="D90" s="26"/>
      <c r="E90" s="27">
        <v>1300010884</v>
      </c>
      <c r="F90" s="26"/>
      <c r="G90" s="26"/>
      <c r="H90" s="26"/>
      <c r="I90" s="26"/>
      <c r="J90" s="26"/>
      <c r="K90" s="26"/>
      <c r="L90" s="26"/>
      <c r="M90" s="26"/>
      <c r="N90" s="26" t="s">
        <v>147</v>
      </c>
      <c r="O90" s="29" t="s">
        <v>390</v>
      </c>
      <c r="P90" s="27" t="s">
        <v>51</v>
      </c>
      <c r="Q90" s="26">
        <v>37.421999999999997</v>
      </c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s="2" customFormat="1">
      <c r="A91" s="26" t="s">
        <v>358</v>
      </c>
      <c r="B91" s="26"/>
      <c r="C91" s="26"/>
      <c r="D91" s="26"/>
      <c r="E91" s="27">
        <v>1300012989</v>
      </c>
      <c r="F91" s="26"/>
      <c r="G91" s="26"/>
      <c r="H91" s="26"/>
      <c r="I91" s="26"/>
      <c r="J91" s="26"/>
      <c r="K91" s="26"/>
      <c r="L91" s="26"/>
      <c r="M91" s="26"/>
      <c r="N91" s="26" t="s">
        <v>220</v>
      </c>
      <c r="O91" s="29" t="s">
        <v>472</v>
      </c>
      <c r="P91" s="27" t="s">
        <v>51</v>
      </c>
      <c r="Q91" s="26">
        <v>0.2</v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s="2" customFormat="1">
      <c r="A92" s="127" t="s">
        <v>57</v>
      </c>
      <c r="B92" s="26"/>
      <c r="C92" s="26"/>
      <c r="D92" s="26"/>
      <c r="E92" s="27">
        <v>1300010984</v>
      </c>
      <c r="F92" s="26"/>
      <c r="G92" s="26"/>
      <c r="H92" s="26"/>
      <c r="I92" s="26"/>
      <c r="J92" s="26"/>
      <c r="K92" s="26"/>
      <c r="L92" s="26"/>
      <c r="M92" s="26"/>
      <c r="N92" s="26" t="s">
        <v>147</v>
      </c>
      <c r="O92" s="29" t="s">
        <v>494</v>
      </c>
      <c r="P92" s="27" t="s">
        <v>222</v>
      </c>
      <c r="Q92" s="120">
        <v>75.649000000000001</v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s="2" customFormat="1">
      <c r="A93" s="26" t="s">
        <v>64</v>
      </c>
      <c r="B93" s="26"/>
      <c r="C93" s="26"/>
      <c r="D93" s="26"/>
      <c r="E93" s="27">
        <v>1300012990</v>
      </c>
      <c r="F93" s="26"/>
      <c r="G93" s="26"/>
      <c r="H93" s="26"/>
      <c r="I93" s="26"/>
      <c r="J93" s="26"/>
      <c r="K93" s="26"/>
      <c r="L93" s="26"/>
      <c r="M93" s="26"/>
      <c r="N93" s="26" t="s">
        <v>220</v>
      </c>
      <c r="O93" s="29" t="s">
        <v>517</v>
      </c>
      <c r="P93" s="27" t="s">
        <v>51</v>
      </c>
      <c r="Q93" s="26">
        <v>3.6469999999999998</v>
      </c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s="2" customFormat="1">
      <c r="A94" s="26" t="s">
        <v>64</v>
      </c>
      <c r="B94" s="26"/>
      <c r="C94" s="26"/>
      <c r="D94" s="26"/>
      <c r="E94" s="27" t="s">
        <v>601</v>
      </c>
      <c r="F94" s="26"/>
      <c r="G94" s="26"/>
      <c r="H94" s="26"/>
      <c r="I94" s="26"/>
      <c r="J94" s="26"/>
      <c r="K94" s="26"/>
      <c r="L94" s="26"/>
      <c r="M94" s="26"/>
      <c r="N94" s="26" t="s">
        <v>220</v>
      </c>
      <c r="O94" s="29" t="s">
        <v>70</v>
      </c>
      <c r="P94" s="27" t="s">
        <v>51</v>
      </c>
      <c r="Q94" s="26">
        <v>45.334000000000003</v>
      </c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s="2" customFormat="1">
      <c r="A95" s="127" t="s">
        <v>57</v>
      </c>
      <c r="B95" s="26"/>
      <c r="C95" s="26"/>
      <c r="D95" s="26"/>
      <c r="E95" s="27" t="s">
        <v>605</v>
      </c>
      <c r="F95" s="28"/>
      <c r="G95" s="26"/>
      <c r="H95" s="29"/>
      <c r="I95" s="26"/>
      <c r="J95" s="26"/>
      <c r="K95" s="29"/>
      <c r="L95" s="26"/>
      <c r="M95" s="26"/>
      <c r="N95" s="26" t="s">
        <v>220</v>
      </c>
      <c r="O95" s="29" t="s">
        <v>378</v>
      </c>
      <c r="P95" s="27" t="s">
        <v>222</v>
      </c>
      <c r="Q95" s="26">
        <v>69.168999999999983</v>
      </c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s="23" customFormat="1" ht="11.4">
      <c r="A96" s="20"/>
      <c r="B96" s="20">
        <f>SUBTOTAL(103,Tabla6[Plan mant.preventivo])</f>
        <v>79</v>
      </c>
      <c r="C96" s="20"/>
      <c r="D96" s="20"/>
      <c r="E96" s="22">
        <f>SUBTOTAL(103,Tabla6[OT])</f>
        <v>94</v>
      </c>
      <c r="F96" s="20"/>
      <c r="G96" s="20"/>
      <c r="H96" s="20"/>
      <c r="I96" s="20"/>
      <c r="J96" s="20"/>
      <c r="K96" s="20"/>
      <c r="L96" s="20"/>
      <c r="M96" s="20"/>
      <c r="N96" s="20"/>
      <c r="O96" s="21">
        <f>SUBTOTAL(103,Tabla6[SUBSISTEMA])</f>
        <v>94</v>
      </c>
      <c r="P96" s="22">
        <f>SUBTOTAL(103,Tabla6[Tipo])</f>
        <v>94</v>
      </c>
      <c r="Q96" s="20"/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A1064-CEB0-4A8B-80B3-BEE806276EDA}">
  <dimension ref="A1:IJ80"/>
  <sheetViews>
    <sheetView tabSelected="1" zoomScale="115" zoomScaleNormal="115" workbookViewId="0">
      <selection activeCell="K21" sqref="K21"/>
    </sheetView>
  </sheetViews>
  <sheetFormatPr baseColWidth="10" defaultColWidth="11.44140625" defaultRowHeight="13.2"/>
  <cols>
    <col min="1" max="1" width="7.33203125" style="97" customWidth="1"/>
    <col min="2" max="2" width="33.33203125" style="97" hidden="1" customWidth="1"/>
    <col min="3" max="3" width="32" style="97" hidden="1" customWidth="1"/>
    <col min="4" max="4" width="10.88671875" style="99" customWidth="1"/>
    <col min="5" max="5" width="35.5546875" style="97" hidden="1" customWidth="1"/>
    <col min="6" max="6" width="29.44140625" style="97" hidden="1" customWidth="1"/>
    <col min="7" max="7" width="10.33203125" style="97" customWidth="1"/>
    <col min="8" max="8" width="21.33203125" style="97" customWidth="1"/>
    <col min="9" max="9" width="11.5546875" style="97" customWidth="1"/>
    <col min="10" max="10" width="7.44140625" style="97" customWidth="1"/>
    <col min="11" max="16384" width="11.44140625" style="97"/>
  </cols>
  <sheetData>
    <row r="1" spans="1:244" s="102" customFormat="1" ht="20.399999999999999">
      <c r="A1" s="104" t="s">
        <v>0</v>
      </c>
      <c r="B1" s="105" t="s">
        <v>2</v>
      </c>
      <c r="C1" s="105" t="s">
        <v>3</v>
      </c>
      <c r="D1" s="105" t="s">
        <v>4</v>
      </c>
      <c r="E1" s="105" t="s">
        <v>5</v>
      </c>
      <c r="F1" s="105" t="s">
        <v>7</v>
      </c>
      <c r="G1" s="105" t="s">
        <v>9</v>
      </c>
      <c r="H1" s="105" t="s">
        <v>12</v>
      </c>
      <c r="I1" s="105" t="s">
        <v>13</v>
      </c>
      <c r="J1" s="105" t="s">
        <v>14</v>
      </c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  <c r="BP1" s="97"/>
      <c r="BQ1" s="97"/>
      <c r="BR1" s="97"/>
      <c r="BS1" s="97"/>
      <c r="BT1" s="97"/>
      <c r="BU1" s="97"/>
      <c r="BV1" s="97"/>
      <c r="BW1" s="97"/>
      <c r="BX1" s="97"/>
      <c r="BY1" s="97"/>
      <c r="BZ1" s="97"/>
      <c r="CA1" s="97"/>
      <c r="CB1" s="97"/>
      <c r="CC1" s="97"/>
      <c r="CD1" s="97"/>
      <c r="CE1" s="97"/>
      <c r="CF1" s="97"/>
      <c r="CG1" s="97"/>
      <c r="CH1" s="97"/>
      <c r="CI1" s="97"/>
      <c r="CJ1" s="97"/>
      <c r="CK1" s="97"/>
      <c r="CL1" s="97"/>
      <c r="CM1" s="97"/>
      <c r="CN1" s="97"/>
      <c r="CO1" s="97"/>
      <c r="CP1" s="97"/>
      <c r="CQ1" s="97"/>
      <c r="CR1" s="97"/>
      <c r="CS1" s="97"/>
      <c r="CT1" s="97"/>
      <c r="CU1" s="97"/>
      <c r="CV1" s="97"/>
      <c r="CW1" s="97"/>
      <c r="CX1" s="97"/>
      <c r="CY1" s="97"/>
      <c r="CZ1" s="97"/>
      <c r="DA1" s="97"/>
      <c r="DB1" s="97"/>
      <c r="DC1" s="97"/>
      <c r="DD1" s="97"/>
      <c r="DE1" s="97"/>
      <c r="DF1" s="97"/>
      <c r="DG1" s="97"/>
      <c r="DH1" s="97"/>
      <c r="DI1" s="97"/>
      <c r="DJ1" s="97"/>
      <c r="DK1" s="97"/>
      <c r="DL1" s="97"/>
      <c r="DM1" s="97"/>
      <c r="DN1" s="97"/>
      <c r="DO1" s="97"/>
      <c r="DP1" s="97"/>
      <c r="DQ1" s="97"/>
      <c r="DR1" s="97"/>
      <c r="DS1" s="97"/>
      <c r="DT1" s="97"/>
      <c r="DU1" s="97"/>
      <c r="DV1" s="97"/>
      <c r="DW1" s="97"/>
      <c r="DX1" s="97"/>
      <c r="DY1" s="97"/>
      <c r="DZ1" s="97"/>
      <c r="EA1" s="97"/>
      <c r="EB1" s="97"/>
      <c r="EC1" s="97"/>
      <c r="ED1" s="97"/>
      <c r="EE1" s="97"/>
      <c r="EF1" s="97"/>
      <c r="EG1" s="97"/>
      <c r="EH1" s="97"/>
      <c r="EI1" s="97"/>
      <c r="EJ1" s="97"/>
      <c r="EK1" s="97"/>
      <c r="EL1" s="97"/>
      <c r="EM1" s="97"/>
      <c r="EN1" s="97"/>
      <c r="EO1" s="97"/>
      <c r="EP1" s="97"/>
      <c r="EQ1" s="97"/>
      <c r="ER1" s="97"/>
      <c r="ES1" s="97"/>
      <c r="ET1" s="97"/>
      <c r="EU1" s="97"/>
      <c r="EV1" s="97"/>
      <c r="EW1" s="97"/>
      <c r="EX1" s="97"/>
      <c r="EY1" s="97"/>
      <c r="EZ1" s="97"/>
      <c r="FA1" s="97"/>
      <c r="FB1" s="97"/>
      <c r="FC1" s="97"/>
      <c r="FD1" s="97"/>
      <c r="FE1" s="97"/>
      <c r="FF1" s="97"/>
      <c r="FG1" s="97"/>
      <c r="FH1" s="97"/>
      <c r="FI1" s="97"/>
      <c r="FJ1" s="97"/>
      <c r="FK1" s="97"/>
      <c r="FL1" s="97"/>
      <c r="FM1" s="97"/>
      <c r="FN1" s="97"/>
      <c r="FO1" s="97"/>
      <c r="FP1" s="97"/>
      <c r="FQ1" s="97"/>
      <c r="FR1" s="97"/>
      <c r="FS1" s="97"/>
      <c r="FT1" s="97"/>
      <c r="FU1" s="97"/>
      <c r="FV1" s="97"/>
      <c r="FW1" s="97"/>
      <c r="FX1" s="97"/>
      <c r="FY1" s="97"/>
      <c r="FZ1" s="97"/>
      <c r="GA1" s="97"/>
      <c r="GB1" s="97"/>
      <c r="GC1" s="97"/>
      <c r="GD1" s="97"/>
      <c r="GE1" s="97"/>
      <c r="GF1" s="97"/>
      <c r="GG1" s="97"/>
      <c r="GH1" s="97"/>
      <c r="GI1" s="97"/>
      <c r="GJ1" s="97"/>
      <c r="GK1" s="97"/>
      <c r="GL1" s="97"/>
      <c r="GM1" s="97"/>
      <c r="GN1" s="97"/>
      <c r="GO1" s="97"/>
      <c r="GP1" s="97"/>
      <c r="GQ1" s="97"/>
      <c r="GR1" s="97"/>
      <c r="GS1" s="97"/>
      <c r="GT1" s="97"/>
      <c r="GU1" s="97"/>
      <c r="GV1" s="97"/>
      <c r="GW1" s="97"/>
      <c r="GX1" s="97"/>
      <c r="GY1" s="97"/>
      <c r="GZ1" s="97"/>
      <c r="HA1" s="97"/>
      <c r="HB1" s="97"/>
      <c r="HC1" s="97"/>
      <c r="HD1" s="97"/>
      <c r="HE1" s="97"/>
      <c r="HF1" s="97"/>
      <c r="HG1" s="97"/>
      <c r="HH1" s="97"/>
      <c r="HI1" s="97"/>
      <c r="HJ1" s="97"/>
      <c r="HK1" s="97"/>
      <c r="HL1" s="97"/>
      <c r="HM1" s="97"/>
      <c r="HN1" s="97"/>
      <c r="HO1" s="97"/>
      <c r="HP1" s="97"/>
      <c r="HQ1" s="97"/>
      <c r="HR1" s="97"/>
      <c r="HS1" s="97"/>
      <c r="HT1" s="97"/>
      <c r="HU1" s="97"/>
      <c r="HV1" s="97"/>
      <c r="HW1" s="97"/>
      <c r="HX1" s="97"/>
      <c r="HY1" s="97"/>
      <c r="HZ1" s="97"/>
      <c r="IA1" s="97"/>
      <c r="IB1" s="97"/>
      <c r="IC1" s="97"/>
      <c r="ID1" s="97"/>
      <c r="IE1" s="97"/>
      <c r="IF1" s="97"/>
      <c r="IG1" s="97"/>
      <c r="IH1" s="97"/>
      <c r="II1" s="97"/>
      <c r="IJ1" s="97"/>
    </row>
    <row r="2" spans="1:244">
      <c r="A2" s="106" t="s">
        <v>30</v>
      </c>
      <c r="B2" s="107" t="s">
        <v>31</v>
      </c>
      <c r="C2" s="107" t="s">
        <v>31</v>
      </c>
      <c r="D2" s="122">
        <v>1300015253</v>
      </c>
      <c r="E2" s="107" t="s">
        <v>32</v>
      </c>
      <c r="F2" s="107" t="s">
        <v>34</v>
      </c>
      <c r="G2" s="117" t="s">
        <v>36</v>
      </c>
      <c r="H2" s="117" t="s">
        <v>807</v>
      </c>
      <c r="I2" s="118" t="s">
        <v>51</v>
      </c>
      <c r="J2" s="117">
        <v>1</v>
      </c>
    </row>
    <row r="3" spans="1:244">
      <c r="A3" s="106" t="s">
        <v>42</v>
      </c>
      <c r="B3" s="107" t="s">
        <v>43</v>
      </c>
      <c r="C3" s="107" t="s">
        <v>808</v>
      </c>
      <c r="D3" s="122">
        <v>1300015273</v>
      </c>
      <c r="E3" s="107" t="s">
        <v>144</v>
      </c>
      <c r="F3" s="107" t="s">
        <v>47</v>
      </c>
      <c r="G3" s="107" t="s">
        <v>147</v>
      </c>
      <c r="H3" s="107" t="s">
        <v>809</v>
      </c>
      <c r="I3" s="108" t="s">
        <v>51</v>
      </c>
      <c r="J3" s="107">
        <v>0.03</v>
      </c>
    </row>
    <row r="4" spans="1:244">
      <c r="A4" s="109" t="s">
        <v>42</v>
      </c>
      <c r="B4" s="110" t="s">
        <v>43</v>
      </c>
      <c r="C4" s="110" t="s">
        <v>44</v>
      </c>
      <c r="D4" s="111">
        <v>1300015274</v>
      </c>
      <c r="E4" s="110" t="s">
        <v>45</v>
      </c>
      <c r="F4" s="110" t="s">
        <v>47</v>
      </c>
      <c r="G4" s="110" t="s">
        <v>49</v>
      </c>
      <c r="H4" s="110" t="s">
        <v>809</v>
      </c>
      <c r="I4" s="111" t="s">
        <v>51</v>
      </c>
      <c r="J4" s="110">
        <v>0</v>
      </c>
    </row>
    <row r="5" spans="1:244">
      <c r="A5" s="106" t="s">
        <v>42</v>
      </c>
      <c r="B5" s="107" t="s">
        <v>810</v>
      </c>
      <c r="C5" s="107" t="s">
        <v>810</v>
      </c>
      <c r="D5" s="122">
        <v>1300015134</v>
      </c>
      <c r="E5" s="107" t="s">
        <v>32</v>
      </c>
      <c r="F5" s="107" t="s">
        <v>54</v>
      </c>
      <c r="G5" s="117" t="s">
        <v>36</v>
      </c>
      <c r="H5" s="117" t="s">
        <v>811</v>
      </c>
      <c r="I5" s="118" t="s">
        <v>51</v>
      </c>
      <c r="J5" s="117">
        <v>2</v>
      </c>
    </row>
    <row r="6" spans="1:244">
      <c r="A6" s="106" t="s">
        <v>42</v>
      </c>
      <c r="B6" s="107" t="s">
        <v>52</v>
      </c>
      <c r="C6" s="107" t="s">
        <v>812</v>
      </c>
      <c r="D6" s="122">
        <v>1300015262</v>
      </c>
      <c r="E6" s="107" t="s">
        <v>144</v>
      </c>
      <c r="F6" s="107" t="s">
        <v>54</v>
      </c>
      <c r="G6" s="107" t="s">
        <v>147</v>
      </c>
      <c r="H6" s="107" t="s">
        <v>811</v>
      </c>
      <c r="I6" s="108" t="s">
        <v>51</v>
      </c>
      <c r="J6" s="107">
        <v>19.100000000000001</v>
      </c>
    </row>
    <row r="7" spans="1:244">
      <c r="A7" s="109" t="s">
        <v>42</v>
      </c>
      <c r="B7" s="110" t="s">
        <v>52</v>
      </c>
      <c r="C7" s="110" t="s">
        <v>53</v>
      </c>
      <c r="D7" s="111">
        <v>1300015263</v>
      </c>
      <c r="E7" s="110" t="s">
        <v>45</v>
      </c>
      <c r="F7" s="110" t="s">
        <v>54</v>
      </c>
      <c r="G7" s="110" t="s">
        <v>49</v>
      </c>
      <c r="H7" s="110" t="s">
        <v>811</v>
      </c>
      <c r="I7" s="111" t="s">
        <v>51</v>
      </c>
      <c r="J7" s="110">
        <v>0</v>
      </c>
    </row>
    <row r="8" spans="1:244">
      <c r="A8" s="106" t="s">
        <v>57</v>
      </c>
      <c r="B8" s="107" t="s">
        <v>813</v>
      </c>
      <c r="C8" s="107" t="s">
        <v>813</v>
      </c>
      <c r="D8" s="122">
        <v>1300015226</v>
      </c>
      <c r="E8" s="107" t="s">
        <v>217</v>
      </c>
      <c r="F8" s="107" t="s">
        <v>625</v>
      </c>
      <c r="G8" s="107" t="s">
        <v>220</v>
      </c>
      <c r="H8" s="107" t="s">
        <v>627</v>
      </c>
      <c r="I8" s="108" t="s">
        <v>51</v>
      </c>
      <c r="J8" s="107">
        <v>14.59</v>
      </c>
    </row>
    <row r="9" spans="1:244">
      <c r="A9" s="106" t="s">
        <v>64</v>
      </c>
      <c r="B9" s="107" t="s">
        <v>65</v>
      </c>
      <c r="C9" s="107" t="s">
        <v>66</v>
      </c>
      <c r="D9" s="122">
        <v>1300015146</v>
      </c>
      <c r="E9" s="107" t="s">
        <v>45</v>
      </c>
      <c r="F9" s="107" t="s">
        <v>68</v>
      </c>
      <c r="G9" s="107" t="s">
        <v>49</v>
      </c>
      <c r="H9" s="110" t="s">
        <v>814</v>
      </c>
      <c r="I9" s="111" t="s">
        <v>51</v>
      </c>
      <c r="J9" s="110">
        <v>45.334000000000003</v>
      </c>
    </row>
    <row r="10" spans="1:244" s="98" customFormat="1">
      <c r="A10" s="106" t="s">
        <v>57</v>
      </c>
      <c r="B10" s="107" t="s">
        <v>323</v>
      </c>
      <c r="C10" s="107" t="s">
        <v>324</v>
      </c>
      <c r="D10" s="122">
        <v>1300015190</v>
      </c>
      <c r="E10" s="107" t="s">
        <v>45</v>
      </c>
      <c r="F10" s="107" t="s">
        <v>325</v>
      </c>
      <c r="G10" s="107" t="s">
        <v>49</v>
      </c>
      <c r="H10" s="110" t="s">
        <v>815</v>
      </c>
      <c r="I10" s="111" t="s">
        <v>816</v>
      </c>
      <c r="J10" s="110">
        <v>35.619</v>
      </c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97"/>
      <c r="BF10" s="97"/>
      <c r="BG10" s="97"/>
      <c r="BH10" s="97"/>
      <c r="BI10" s="97"/>
      <c r="BJ10" s="97"/>
      <c r="BK10" s="97"/>
      <c r="BL10" s="97"/>
      <c r="BM10" s="97"/>
      <c r="BN10" s="97"/>
      <c r="BO10" s="97"/>
      <c r="BP10" s="97"/>
      <c r="BQ10" s="97"/>
      <c r="BR10" s="97"/>
      <c r="BS10" s="97"/>
      <c r="BT10" s="97"/>
      <c r="BU10" s="97"/>
      <c r="BV10" s="97"/>
      <c r="BW10" s="97"/>
      <c r="BX10" s="97"/>
      <c r="BY10" s="97"/>
      <c r="BZ10" s="97"/>
      <c r="CA10" s="97"/>
      <c r="CB10" s="97"/>
      <c r="CC10" s="97"/>
      <c r="CD10" s="97"/>
      <c r="CE10" s="97"/>
      <c r="CF10" s="97"/>
      <c r="CG10" s="97"/>
      <c r="CH10" s="97"/>
      <c r="CI10" s="97"/>
      <c r="CJ10" s="97"/>
      <c r="CK10" s="97"/>
      <c r="CL10" s="97"/>
      <c r="CM10" s="97"/>
      <c r="CN10" s="97"/>
      <c r="CO10" s="97"/>
      <c r="CP10" s="97"/>
      <c r="CQ10" s="97"/>
      <c r="CR10" s="97"/>
      <c r="CS10" s="97"/>
      <c r="CT10" s="97"/>
      <c r="CU10" s="97"/>
      <c r="CV10" s="97"/>
      <c r="CW10" s="97"/>
      <c r="CX10" s="97"/>
      <c r="CY10" s="97"/>
      <c r="CZ10" s="97"/>
      <c r="DA10" s="97"/>
      <c r="DB10" s="97"/>
      <c r="DC10" s="97"/>
      <c r="DD10" s="97"/>
      <c r="DE10" s="97"/>
      <c r="DF10" s="97"/>
      <c r="DG10" s="97"/>
      <c r="DH10" s="97"/>
      <c r="DI10" s="97"/>
      <c r="DJ10" s="97"/>
      <c r="DK10" s="97"/>
      <c r="DL10" s="97"/>
      <c r="DM10" s="97"/>
      <c r="DN10" s="97"/>
      <c r="DO10" s="97"/>
      <c r="DP10" s="97"/>
      <c r="DQ10" s="97"/>
      <c r="DR10" s="97"/>
      <c r="DS10" s="97"/>
      <c r="DT10" s="97"/>
      <c r="DU10" s="97"/>
      <c r="DV10" s="97"/>
      <c r="DW10" s="97"/>
      <c r="DX10" s="97"/>
      <c r="DY10" s="97"/>
      <c r="DZ10" s="97"/>
      <c r="EA10" s="97"/>
      <c r="EB10" s="97"/>
      <c r="EC10" s="97"/>
      <c r="ED10" s="97"/>
      <c r="EE10" s="97"/>
      <c r="EF10" s="97"/>
      <c r="EG10" s="97"/>
      <c r="EH10" s="97"/>
      <c r="EI10" s="97"/>
      <c r="EJ10" s="97"/>
      <c r="EK10" s="97"/>
      <c r="EL10" s="97"/>
      <c r="EM10" s="97"/>
      <c r="EN10" s="97"/>
      <c r="EO10" s="97"/>
      <c r="EP10" s="97"/>
      <c r="EQ10" s="97"/>
      <c r="ER10" s="97"/>
      <c r="ES10" s="97"/>
      <c r="ET10" s="97"/>
      <c r="EU10" s="97"/>
      <c r="EV10" s="97"/>
      <c r="EW10" s="97"/>
      <c r="EX10" s="97"/>
      <c r="EY10" s="97"/>
      <c r="EZ10" s="97"/>
      <c r="FA10" s="97"/>
      <c r="FB10" s="97"/>
      <c r="FC10" s="97"/>
      <c r="FD10" s="97"/>
      <c r="FE10" s="97"/>
      <c r="FF10" s="97"/>
      <c r="FG10" s="97"/>
      <c r="FH10" s="97"/>
      <c r="FI10" s="97"/>
      <c r="FJ10" s="97"/>
      <c r="FK10" s="97"/>
      <c r="FL10" s="97"/>
      <c r="FM10" s="97"/>
      <c r="FN10" s="97"/>
      <c r="FO10" s="97"/>
      <c r="FP10" s="97"/>
      <c r="FQ10" s="97"/>
      <c r="FR10" s="97"/>
      <c r="FS10" s="97"/>
      <c r="FT10" s="97"/>
      <c r="FU10" s="97"/>
      <c r="FV10" s="97"/>
      <c r="FW10" s="97"/>
      <c r="FX10" s="97"/>
      <c r="FY10" s="97"/>
      <c r="FZ10" s="97"/>
      <c r="GA10" s="97"/>
      <c r="GB10" s="97"/>
      <c r="GC10" s="97"/>
      <c r="GD10" s="97"/>
      <c r="GE10" s="97"/>
      <c r="GF10" s="97"/>
      <c r="GG10" s="97"/>
      <c r="GH10" s="97"/>
      <c r="GI10" s="97"/>
      <c r="GJ10" s="97"/>
      <c r="GK10" s="97"/>
      <c r="GL10" s="97"/>
      <c r="GM10" s="97"/>
      <c r="GN10" s="97"/>
      <c r="GO10" s="97"/>
      <c r="GP10" s="97"/>
      <c r="GQ10" s="97"/>
      <c r="GR10" s="97"/>
      <c r="GS10" s="97"/>
      <c r="GT10" s="97"/>
      <c r="GU10" s="97"/>
      <c r="GV10" s="97"/>
      <c r="GW10" s="97"/>
      <c r="GX10" s="97"/>
      <c r="GY10" s="97"/>
      <c r="GZ10" s="97"/>
      <c r="HA10" s="97"/>
      <c r="HB10" s="97"/>
      <c r="HC10" s="97"/>
      <c r="HD10" s="97"/>
      <c r="HE10" s="97"/>
      <c r="HF10" s="97"/>
      <c r="HG10" s="97"/>
      <c r="HH10" s="97"/>
      <c r="HI10" s="97"/>
      <c r="HJ10" s="97"/>
      <c r="HK10" s="97"/>
      <c r="HL10" s="97"/>
      <c r="HM10" s="97"/>
      <c r="HN10" s="97"/>
      <c r="HO10" s="97"/>
      <c r="HP10" s="97"/>
      <c r="HQ10" s="97"/>
      <c r="HR10" s="97"/>
      <c r="HS10" s="97"/>
      <c r="HT10" s="97"/>
      <c r="HU10" s="97"/>
      <c r="HV10" s="97"/>
      <c r="HW10" s="97"/>
      <c r="HX10" s="97"/>
      <c r="HY10" s="97"/>
      <c r="HZ10" s="97"/>
      <c r="IA10" s="97"/>
      <c r="IB10" s="97"/>
      <c r="IC10" s="97"/>
      <c r="ID10" s="97"/>
      <c r="IE10" s="97"/>
      <c r="IF10" s="97"/>
      <c r="IG10" s="97"/>
      <c r="IH10" s="97"/>
      <c r="II10" s="97"/>
      <c r="IJ10" s="97"/>
    </row>
    <row r="11" spans="1:244">
      <c r="A11" s="106" t="s">
        <v>64</v>
      </c>
      <c r="B11" s="107" t="s">
        <v>817</v>
      </c>
      <c r="C11" s="107" t="s">
        <v>817</v>
      </c>
      <c r="D11" s="122">
        <v>1300015229</v>
      </c>
      <c r="E11" s="107" t="s">
        <v>217</v>
      </c>
      <c r="F11" s="107" t="s">
        <v>631</v>
      </c>
      <c r="G11" s="107" t="s">
        <v>220</v>
      </c>
      <c r="H11" s="107" t="s">
        <v>818</v>
      </c>
      <c r="I11" s="108" t="s">
        <v>51</v>
      </c>
      <c r="J11" s="107">
        <v>0.01</v>
      </c>
    </row>
    <row r="12" spans="1:244" s="98" customFormat="1">
      <c r="A12" s="106" t="s">
        <v>57</v>
      </c>
      <c r="B12" s="107" t="s">
        <v>86</v>
      </c>
      <c r="C12" s="107" t="s">
        <v>87</v>
      </c>
      <c r="D12" s="122">
        <v>1300015148</v>
      </c>
      <c r="E12" s="107" t="s">
        <v>45</v>
      </c>
      <c r="F12" s="107" t="s">
        <v>88</v>
      </c>
      <c r="G12" s="107" t="s">
        <v>49</v>
      </c>
      <c r="H12" s="107" t="s">
        <v>819</v>
      </c>
      <c r="I12" s="108" t="s">
        <v>51</v>
      </c>
      <c r="J12" s="107">
        <v>12.27</v>
      </c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97"/>
      <c r="BF12" s="97"/>
      <c r="BG12" s="97"/>
      <c r="BH12" s="97"/>
      <c r="BI12" s="97"/>
      <c r="BJ12" s="97"/>
      <c r="BK12" s="97"/>
      <c r="BL12" s="97"/>
      <c r="BM12" s="97"/>
      <c r="BN12" s="97"/>
      <c r="BO12" s="97"/>
      <c r="BP12" s="97"/>
      <c r="BQ12" s="97"/>
      <c r="BR12" s="97"/>
      <c r="BS12" s="97"/>
      <c r="BT12" s="97"/>
      <c r="BU12" s="97"/>
      <c r="BV12" s="97"/>
      <c r="BW12" s="97"/>
      <c r="BX12" s="97"/>
      <c r="BY12" s="97"/>
      <c r="BZ12" s="97"/>
      <c r="CA12" s="97"/>
      <c r="CB12" s="97"/>
      <c r="CC12" s="97"/>
      <c r="CD12" s="97"/>
      <c r="CE12" s="97"/>
      <c r="CF12" s="97"/>
      <c r="CG12" s="97"/>
      <c r="CH12" s="97"/>
      <c r="CI12" s="97"/>
      <c r="CJ12" s="97"/>
      <c r="CK12" s="97"/>
      <c r="CL12" s="97"/>
      <c r="CM12" s="97"/>
      <c r="CN12" s="97"/>
      <c r="CO12" s="97"/>
      <c r="CP12" s="97"/>
      <c r="CQ12" s="97"/>
      <c r="CR12" s="97"/>
      <c r="CS12" s="97"/>
      <c r="CT12" s="97"/>
      <c r="CU12" s="97"/>
      <c r="CV12" s="97"/>
      <c r="CW12" s="97"/>
      <c r="CX12" s="97"/>
      <c r="CY12" s="97"/>
      <c r="CZ12" s="97"/>
      <c r="DA12" s="97"/>
      <c r="DB12" s="97"/>
      <c r="DC12" s="97"/>
      <c r="DD12" s="97"/>
      <c r="DE12" s="97"/>
      <c r="DF12" s="97"/>
      <c r="DG12" s="97"/>
      <c r="DH12" s="97"/>
      <c r="DI12" s="97"/>
      <c r="DJ12" s="97"/>
      <c r="DK12" s="97"/>
      <c r="DL12" s="97"/>
      <c r="DM12" s="97"/>
      <c r="DN12" s="97"/>
      <c r="DO12" s="97"/>
      <c r="DP12" s="97"/>
      <c r="DQ12" s="97"/>
      <c r="DR12" s="97"/>
      <c r="DS12" s="97"/>
      <c r="DT12" s="97"/>
      <c r="DU12" s="97"/>
      <c r="DV12" s="97"/>
      <c r="DW12" s="97"/>
      <c r="DX12" s="97"/>
      <c r="DY12" s="97"/>
      <c r="DZ12" s="97"/>
      <c r="EA12" s="97"/>
      <c r="EB12" s="97"/>
      <c r="EC12" s="97"/>
      <c r="ED12" s="97"/>
      <c r="EE12" s="97"/>
      <c r="EF12" s="97"/>
      <c r="EG12" s="97"/>
      <c r="EH12" s="97"/>
      <c r="EI12" s="97"/>
      <c r="EJ12" s="97"/>
      <c r="EK12" s="97"/>
      <c r="EL12" s="97"/>
      <c r="EM12" s="97"/>
      <c r="EN12" s="97"/>
      <c r="EO12" s="97"/>
      <c r="EP12" s="97"/>
      <c r="EQ12" s="97"/>
      <c r="ER12" s="97"/>
      <c r="ES12" s="97"/>
      <c r="ET12" s="97"/>
      <c r="EU12" s="97"/>
      <c r="EV12" s="97"/>
      <c r="EW12" s="97"/>
      <c r="EX12" s="97"/>
      <c r="EY12" s="97"/>
      <c r="EZ12" s="97"/>
      <c r="FA12" s="97"/>
      <c r="FB12" s="97"/>
      <c r="FC12" s="97"/>
      <c r="FD12" s="97"/>
      <c r="FE12" s="97"/>
      <c r="FF12" s="97"/>
      <c r="FG12" s="97"/>
      <c r="FH12" s="97"/>
      <c r="FI12" s="97"/>
      <c r="FJ12" s="97"/>
      <c r="FK12" s="97"/>
      <c r="FL12" s="97"/>
      <c r="FM12" s="97"/>
      <c r="FN12" s="97"/>
      <c r="FO12" s="97"/>
      <c r="FP12" s="97"/>
      <c r="FQ12" s="97"/>
      <c r="FR12" s="97"/>
      <c r="FS12" s="97"/>
      <c r="FT12" s="97"/>
      <c r="FU12" s="97"/>
      <c r="FV12" s="97"/>
      <c r="FW12" s="97"/>
      <c r="FX12" s="97"/>
      <c r="FY12" s="97"/>
      <c r="FZ12" s="97"/>
      <c r="GA12" s="97"/>
      <c r="GB12" s="97"/>
      <c r="GC12" s="97"/>
      <c r="GD12" s="97"/>
      <c r="GE12" s="97"/>
      <c r="GF12" s="97"/>
      <c r="GG12" s="97"/>
      <c r="GH12" s="97"/>
      <c r="GI12" s="97"/>
      <c r="GJ12" s="97"/>
      <c r="GK12" s="97"/>
      <c r="GL12" s="97"/>
      <c r="GM12" s="97"/>
      <c r="GN12" s="97"/>
      <c r="GO12" s="97"/>
      <c r="GP12" s="97"/>
      <c r="GQ12" s="97"/>
      <c r="GR12" s="97"/>
      <c r="GS12" s="97"/>
      <c r="GT12" s="97"/>
      <c r="GU12" s="97"/>
      <c r="GV12" s="97"/>
      <c r="GW12" s="97"/>
      <c r="GX12" s="97"/>
      <c r="GY12" s="97"/>
      <c r="GZ12" s="97"/>
      <c r="HA12" s="97"/>
      <c r="HB12" s="97"/>
      <c r="HC12" s="97"/>
      <c r="HD12" s="97"/>
      <c r="HE12" s="97"/>
      <c r="HF12" s="97"/>
      <c r="HG12" s="97"/>
      <c r="HH12" s="97"/>
      <c r="HI12" s="97"/>
      <c r="HJ12" s="97"/>
      <c r="HK12" s="97"/>
      <c r="HL12" s="97"/>
      <c r="HM12" s="97"/>
      <c r="HN12" s="97"/>
      <c r="HO12" s="97"/>
      <c r="HP12" s="97"/>
      <c r="HQ12" s="97"/>
      <c r="HR12" s="97"/>
      <c r="HS12" s="97"/>
      <c r="HT12" s="97"/>
      <c r="HU12" s="97"/>
      <c r="HV12" s="97"/>
      <c r="HW12" s="97"/>
      <c r="HX12" s="97"/>
      <c r="HY12" s="97"/>
      <c r="HZ12" s="97"/>
      <c r="IA12" s="97"/>
      <c r="IB12" s="97"/>
      <c r="IC12" s="97"/>
      <c r="ID12" s="97"/>
      <c r="IE12" s="97"/>
      <c r="IF12" s="97"/>
      <c r="IG12" s="97"/>
      <c r="IH12" s="97"/>
      <c r="II12" s="97"/>
      <c r="IJ12" s="97"/>
    </row>
    <row r="13" spans="1:244">
      <c r="A13" s="106" t="s">
        <v>64</v>
      </c>
      <c r="B13" s="107" t="s">
        <v>820</v>
      </c>
      <c r="C13" s="107" t="s">
        <v>820</v>
      </c>
      <c r="D13" s="122">
        <v>1300015184</v>
      </c>
      <c r="E13" s="107" t="s">
        <v>217</v>
      </c>
      <c r="F13" s="107" t="s">
        <v>93</v>
      </c>
      <c r="G13" s="107" t="s">
        <v>220</v>
      </c>
      <c r="H13" s="107" t="s">
        <v>639</v>
      </c>
      <c r="I13" s="108" t="s">
        <v>51</v>
      </c>
      <c r="J13" s="107">
        <v>12.260999999999999</v>
      </c>
    </row>
    <row r="14" spans="1:244">
      <c r="A14" s="106" t="s">
        <v>30</v>
      </c>
      <c r="B14" s="107" t="s">
        <v>96</v>
      </c>
      <c r="C14" s="107" t="s">
        <v>96</v>
      </c>
      <c r="D14" s="122">
        <v>1300015225</v>
      </c>
      <c r="E14" s="107" t="s">
        <v>32</v>
      </c>
      <c r="F14" s="107" t="s">
        <v>97</v>
      </c>
      <c r="G14" s="117" t="s">
        <v>36</v>
      </c>
      <c r="H14" s="117" t="s">
        <v>99</v>
      </c>
      <c r="I14" s="118" t="s">
        <v>51</v>
      </c>
      <c r="J14" s="117">
        <v>1</v>
      </c>
    </row>
    <row r="15" spans="1:244">
      <c r="A15" s="106" t="s">
        <v>57</v>
      </c>
      <c r="B15" s="107" t="s">
        <v>821</v>
      </c>
      <c r="C15" s="107" t="s">
        <v>821</v>
      </c>
      <c r="D15" s="122">
        <v>1300015195</v>
      </c>
      <c r="E15" s="107" t="s">
        <v>217</v>
      </c>
      <c r="F15" s="107" t="s">
        <v>649</v>
      </c>
      <c r="G15" s="107" t="s">
        <v>220</v>
      </c>
      <c r="H15" s="107" t="s">
        <v>651</v>
      </c>
      <c r="I15" s="108" t="s">
        <v>51</v>
      </c>
      <c r="J15" s="107">
        <v>4.0650000000000004</v>
      </c>
    </row>
    <row r="16" spans="1:244" s="98" customFormat="1">
      <c r="A16" s="106" t="s">
        <v>42</v>
      </c>
      <c r="B16" s="107" t="s">
        <v>105</v>
      </c>
      <c r="C16" s="107" t="s">
        <v>822</v>
      </c>
      <c r="D16" s="122">
        <v>1300015129</v>
      </c>
      <c r="E16" s="107" t="s">
        <v>144</v>
      </c>
      <c r="F16" s="107" t="s">
        <v>107</v>
      </c>
      <c r="G16" s="107" t="s">
        <v>147</v>
      </c>
      <c r="H16" s="107" t="s">
        <v>823</v>
      </c>
      <c r="I16" s="108" t="s">
        <v>51</v>
      </c>
      <c r="J16" s="107">
        <v>0.02</v>
      </c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  <c r="BF16" s="97"/>
      <c r="BG16" s="97"/>
      <c r="BH16" s="97"/>
      <c r="BI16" s="97"/>
      <c r="BJ16" s="97"/>
      <c r="BK16" s="97"/>
      <c r="BL16" s="97"/>
      <c r="BM16" s="97"/>
      <c r="BN16" s="97"/>
      <c r="BO16" s="97"/>
      <c r="BP16" s="97"/>
      <c r="BQ16" s="97"/>
      <c r="BR16" s="97"/>
      <c r="BS16" s="97"/>
      <c r="BT16" s="97"/>
      <c r="BU16" s="97"/>
      <c r="BV16" s="97"/>
      <c r="BW16" s="97"/>
      <c r="BX16" s="97"/>
      <c r="BY16" s="97"/>
      <c r="BZ16" s="97"/>
      <c r="CA16" s="97"/>
      <c r="CB16" s="97"/>
      <c r="CC16" s="97"/>
      <c r="CD16" s="97"/>
      <c r="CE16" s="97"/>
      <c r="CF16" s="97"/>
      <c r="CG16" s="97"/>
      <c r="CH16" s="97"/>
      <c r="CI16" s="97"/>
      <c r="CJ16" s="97"/>
      <c r="CK16" s="97"/>
      <c r="CL16" s="97"/>
      <c r="CM16" s="97"/>
      <c r="CN16" s="97"/>
      <c r="CO16" s="97"/>
      <c r="CP16" s="97"/>
      <c r="CQ16" s="97"/>
      <c r="CR16" s="97"/>
      <c r="CS16" s="97"/>
      <c r="CT16" s="97"/>
      <c r="CU16" s="97"/>
      <c r="CV16" s="97"/>
      <c r="CW16" s="97"/>
      <c r="CX16" s="97"/>
      <c r="CY16" s="97"/>
      <c r="CZ16" s="97"/>
      <c r="DA16" s="97"/>
      <c r="DB16" s="97"/>
      <c r="DC16" s="97"/>
      <c r="DD16" s="97"/>
      <c r="DE16" s="97"/>
      <c r="DF16" s="97"/>
      <c r="DG16" s="97"/>
      <c r="DH16" s="97"/>
      <c r="DI16" s="97"/>
      <c r="DJ16" s="97"/>
      <c r="DK16" s="97"/>
      <c r="DL16" s="97"/>
      <c r="DM16" s="97"/>
      <c r="DN16" s="97"/>
      <c r="DO16" s="97"/>
      <c r="DP16" s="97"/>
      <c r="DQ16" s="97"/>
      <c r="DR16" s="97"/>
      <c r="DS16" s="97"/>
      <c r="DT16" s="97"/>
      <c r="DU16" s="97"/>
      <c r="DV16" s="97"/>
      <c r="DW16" s="97"/>
      <c r="DX16" s="97"/>
      <c r="DY16" s="97"/>
      <c r="DZ16" s="97"/>
      <c r="EA16" s="97"/>
      <c r="EB16" s="97"/>
      <c r="EC16" s="97"/>
      <c r="ED16" s="97"/>
      <c r="EE16" s="97"/>
      <c r="EF16" s="97"/>
      <c r="EG16" s="97"/>
      <c r="EH16" s="97"/>
      <c r="EI16" s="97"/>
      <c r="EJ16" s="97"/>
      <c r="EK16" s="97"/>
      <c r="EL16" s="97"/>
      <c r="EM16" s="97"/>
      <c r="EN16" s="97"/>
      <c r="EO16" s="97"/>
      <c r="EP16" s="97"/>
      <c r="EQ16" s="97"/>
      <c r="ER16" s="97"/>
      <c r="ES16" s="97"/>
      <c r="ET16" s="97"/>
      <c r="EU16" s="97"/>
      <c r="EV16" s="97"/>
      <c r="EW16" s="97"/>
      <c r="EX16" s="97"/>
      <c r="EY16" s="97"/>
      <c r="EZ16" s="97"/>
      <c r="FA16" s="97"/>
      <c r="FB16" s="97"/>
      <c r="FC16" s="97"/>
      <c r="FD16" s="97"/>
      <c r="FE16" s="97"/>
      <c r="FF16" s="97"/>
      <c r="FG16" s="97"/>
      <c r="FH16" s="97"/>
      <c r="FI16" s="97"/>
      <c r="FJ16" s="97"/>
      <c r="FK16" s="97"/>
      <c r="FL16" s="97"/>
      <c r="FM16" s="97"/>
      <c r="FN16" s="97"/>
      <c r="FO16" s="97"/>
      <c r="FP16" s="97"/>
      <c r="FQ16" s="97"/>
      <c r="FR16" s="97"/>
      <c r="FS16" s="97"/>
      <c r="FT16" s="97"/>
      <c r="FU16" s="97"/>
      <c r="FV16" s="97"/>
      <c r="FW16" s="97"/>
      <c r="FX16" s="97"/>
      <c r="FY16" s="97"/>
      <c r="FZ16" s="97"/>
      <c r="GA16" s="97"/>
      <c r="GB16" s="97"/>
      <c r="GC16" s="97"/>
      <c r="GD16" s="97"/>
      <c r="GE16" s="97"/>
      <c r="GF16" s="97"/>
      <c r="GG16" s="97"/>
      <c r="GH16" s="97"/>
      <c r="GI16" s="97"/>
      <c r="GJ16" s="97"/>
      <c r="GK16" s="97"/>
      <c r="GL16" s="97"/>
      <c r="GM16" s="97"/>
      <c r="GN16" s="97"/>
      <c r="GO16" s="97"/>
      <c r="GP16" s="97"/>
      <c r="GQ16" s="97"/>
      <c r="GR16" s="97"/>
      <c r="GS16" s="97"/>
      <c r="GT16" s="97"/>
      <c r="GU16" s="97"/>
      <c r="GV16" s="97"/>
      <c r="GW16" s="97"/>
      <c r="GX16" s="97"/>
      <c r="GY16" s="97"/>
      <c r="GZ16" s="97"/>
      <c r="HA16" s="97"/>
      <c r="HB16" s="97"/>
      <c r="HC16" s="97"/>
      <c r="HD16" s="97"/>
      <c r="HE16" s="97"/>
      <c r="HF16" s="97"/>
      <c r="HG16" s="97"/>
      <c r="HH16" s="97"/>
      <c r="HI16" s="97"/>
      <c r="HJ16" s="97"/>
      <c r="HK16" s="97"/>
      <c r="HL16" s="97"/>
      <c r="HM16" s="97"/>
      <c r="HN16" s="97"/>
      <c r="HO16" s="97"/>
      <c r="HP16" s="97"/>
      <c r="HQ16" s="97"/>
      <c r="HR16" s="97"/>
      <c r="HS16" s="97"/>
      <c r="HT16" s="97"/>
      <c r="HU16" s="97"/>
      <c r="HV16" s="97"/>
      <c r="HW16" s="97"/>
      <c r="HX16" s="97"/>
      <c r="HY16" s="97"/>
      <c r="HZ16" s="97"/>
      <c r="IA16" s="97"/>
      <c r="IB16" s="97"/>
      <c r="IC16" s="97"/>
      <c r="ID16" s="97"/>
      <c r="IE16" s="97"/>
      <c r="IF16" s="97"/>
      <c r="IG16" s="97"/>
      <c r="IH16" s="97"/>
      <c r="II16" s="97"/>
      <c r="IJ16" s="97"/>
    </row>
    <row r="17" spans="1:244">
      <c r="A17" s="109" t="s">
        <v>42</v>
      </c>
      <c r="B17" s="110" t="s">
        <v>105</v>
      </c>
      <c r="C17" s="110" t="s">
        <v>106</v>
      </c>
      <c r="D17" s="111">
        <v>1300015130</v>
      </c>
      <c r="E17" s="110" t="s">
        <v>45</v>
      </c>
      <c r="F17" s="110" t="s">
        <v>107</v>
      </c>
      <c r="G17" s="110" t="s">
        <v>49</v>
      </c>
      <c r="H17" s="110" t="s">
        <v>823</v>
      </c>
      <c r="I17" s="111" t="s">
        <v>51</v>
      </c>
      <c r="J17" s="110">
        <v>0</v>
      </c>
    </row>
    <row r="18" spans="1:244" s="98" customFormat="1">
      <c r="A18" s="106" t="s">
        <v>64</v>
      </c>
      <c r="B18" s="107" t="s">
        <v>824</v>
      </c>
      <c r="C18" s="107" t="s">
        <v>824</v>
      </c>
      <c r="D18" s="122">
        <v>1300014998</v>
      </c>
      <c r="E18" s="107" t="s">
        <v>217</v>
      </c>
      <c r="F18" s="107" t="s">
        <v>654</v>
      </c>
      <c r="G18" s="107" t="s">
        <v>220</v>
      </c>
      <c r="H18" s="114" t="s">
        <v>655</v>
      </c>
      <c r="I18" s="125" t="s">
        <v>51</v>
      </c>
      <c r="J18" s="114">
        <v>4.1239999999999997</v>
      </c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97"/>
      <c r="BF18" s="97"/>
      <c r="BG18" s="97"/>
      <c r="BH18" s="97"/>
      <c r="BI18" s="97"/>
      <c r="BJ18" s="97"/>
      <c r="BK18" s="97"/>
      <c r="BL18" s="97"/>
      <c r="BM18" s="97"/>
      <c r="BN18" s="97"/>
      <c r="BO18" s="97"/>
      <c r="BP18" s="97"/>
      <c r="BQ18" s="97"/>
      <c r="BR18" s="97"/>
      <c r="BS18" s="97"/>
      <c r="BT18" s="97"/>
      <c r="BU18" s="97"/>
      <c r="BV18" s="97"/>
      <c r="BW18" s="97"/>
      <c r="BX18" s="97"/>
      <c r="BY18" s="97"/>
      <c r="BZ18" s="97"/>
      <c r="CA18" s="97"/>
      <c r="CB18" s="97"/>
      <c r="CC18" s="97"/>
      <c r="CD18" s="97"/>
      <c r="CE18" s="97"/>
      <c r="CF18" s="97"/>
      <c r="CG18" s="97"/>
      <c r="CH18" s="97"/>
      <c r="CI18" s="97"/>
      <c r="CJ18" s="97"/>
      <c r="CK18" s="97"/>
      <c r="CL18" s="97"/>
      <c r="CM18" s="97"/>
      <c r="CN18" s="97"/>
      <c r="CO18" s="97"/>
      <c r="CP18" s="97"/>
      <c r="CQ18" s="97"/>
      <c r="CR18" s="97"/>
      <c r="CS18" s="97"/>
      <c r="CT18" s="97"/>
      <c r="CU18" s="97"/>
      <c r="CV18" s="97"/>
      <c r="CW18" s="97"/>
      <c r="CX18" s="97"/>
      <c r="CY18" s="97"/>
      <c r="CZ18" s="97"/>
      <c r="DA18" s="97"/>
      <c r="DB18" s="97"/>
      <c r="DC18" s="97"/>
      <c r="DD18" s="97"/>
      <c r="DE18" s="97"/>
      <c r="DF18" s="97"/>
      <c r="DG18" s="97"/>
      <c r="DH18" s="97"/>
      <c r="DI18" s="97"/>
      <c r="DJ18" s="97"/>
      <c r="DK18" s="97"/>
      <c r="DL18" s="97"/>
      <c r="DM18" s="97"/>
      <c r="DN18" s="97"/>
      <c r="DO18" s="97"/>
      <c r="DP18" s="97"/>
      <c r="DQ18" s="97"/>
      <c r="DR18" s="97"/>
      <c r="DS18" s="97"/>
      <c r="DT18" s="97"/>
      <c r="DU18" s="97"/>
      <c r="DV18" s="97"/>
      <c r="DW18" s="97"/>
      <c r="DX18" s="97"/>
      <c r="DY18" s="97"/>
      <c r="DZ18" s="97"/>
      <c r="EA18" s="97"/>
      <c r="EB18" s="97"/>
      <c r="EC18" s="97"/>
      <c r="ED18" s="97"/>
      <c r="EE18" s="97"/>
      <c r="EF18" s="97"/>
      <c r="EG18" s="97"/>
      <c r="EH18" s="97"/>
      <c r="EI18" s="97"/>
      <c r="EJ18" s="97"/>
      <c r="EK18" s="97"/>
      <c r="EL18" s="97"/>
      <c r="EM18" s="97"/>
      <c r="EN18" s="97"/>
      <c r="EO18" s="97"/>
      <c r="EP18" s="97"/>
      <c r="EQ18" s="97"/>
      <c r="ER18" s="97"/>
      <c r="ES18" s="97"/>
      <c r="ET18" s="97"/>
      <c r="EU18" s="97"/>
      <c r="EV18" s="97"/>
      <c r="EW18" s="97"/>
      <c r="EX18" s="97"/>
      <c r="EY18" s="97"/>
      <c r="EZ18" s="97"/>
      <c r="FA18" s="97"/>
      <c r="FB18" s="97"/>
      <c r="FC18" s="97"/>
      <c r="FD18" s="97"/>
      <c r="FE18" s="97"/>
      <c r="FF18" s="97"/>
      <c r="FG18" s="97"/>
      <c r="FH18" s="97"/>
      <c r="FI18" s="97"/>
      <c r="FJ18" s="97"/>
      <c r="FK18" s="97"/>
      <c r="FL18" s="97"/>
      <c r="FM18" s="97"/>
      <c r="FN18" s="97"/>
      <c r="FO18" s="97"/>
      <c r="FP18" s="97"/>
      <c r="FQ18" s="97"/>
      <c r="FR18" s="97"/>
      <c r="FS18" s="97"/>
      <c r="FT18" s="97"/>
      <c r="FU18" s="97"/>
      <c r="FV18" s="97"/>
      <c r="FW18" s="97"/>
      <c r="FX18" s="97"/>
      <c r="FY18" s="97"/>
      <c r="FZ18" s="97"/>
      <c r="GA18" s="97"/>
      <c r="GB18" s="97"/>
      <c r="GC18" s="97"/>
      <c r="GD18" s="97"/>
      <c r="GE18" s="97"/>
      <c r="GF18" s="97"/>
      <c r="GG18" s="97"/>
      <c r="GH18" s="97"/>
      <c r="GI18" s="97"/>
      <c r="GJ18" s="97"/>
      <c r="GK18" s="97"/>
      <c r="GL18" s="97"/>
      <c r="GM18" s="97"/>
      <c r="GN18" s="97"/>
      <c r="GO18" s="97"/>
      <c r="GP18" s="97"/>
      <c r="GQ18" s="97"/>
      <c r="GR18" s="97"/>
      <c r="GS18" s="97"/>
      <c r="GT18" s="97"/>
      <c r="GU18" s="97"/>
      <c r="GV18" s="97"/>
      <c r="GW18" s="97"/>
      <c r="GX18" s="97"/>
      <c r="GY18" s="97"/>
      <c r="GZ18" s="97"/>
      <c r="HA18" s="97"/>
      <c r="HB18" s="97"/>
      <c r="HC18" s="97"/>
      <c r="HD18" s="97"/>
      <c r="HE18" s="97"/>
      <c r="HF18" s="97"/>
      <c r="HG18" s="97"/>
      <c r="HH18" s="97"/>
      <c r="HI18" s="97"/>
      <c r="HJ18" s="97"/>
      <c r="HK18" s="97"/>
      <c r="HL18" s="97"/>
      <c r="HM18" s="97"/>
      <c r="HN18" s="97"/>
      <c r="HO18" s="97"/>
      <c r="HP18" s="97"/>
      <c r="HQ18" s="97"/>
      <c r="HR18" s="97"/>
      <c r="HS18" s="97"/>
      <c r="HT18" s="97"/>
      <c r="HU18" s="97"/>
      <c r="HV18" s="97"/>
      <c r="HW18" s="97"/>
      <c r="HX18" s="97"/>
      <c r="HY18" s="97"/>
      <c r="HZ18" s="97"/>
      <c r="IA18" s="97"/>
      <c r="IB18" s="97"/>
      <c r="IC18" s="97"/>
      <c r="ID18" s="97"/>
      <c r="IE18" s="97"/>
      <c r="IF18" s="97"/>
      <c r="IG18" s="97"/>
      <c r="IH18" s="97"/>
      <c r="II18" s="97"/>
      <c r="IJ18" s="97"/>
    </row>
    <row r="19" spans="1:244">
      <c r="A19" s="106" t="s">
        <v>64</v>
      </c>
      <c r="B19" s="107" t="s">
        <v>137</v>
      </c>
      <c r="C19" s="107" t="s">
        <v>825</v>
      </c>
      <c r="D19" s="122">
        <v>1300015185</v>
      </c>
      <c r="E19" s="107" t="s">
        <v>144</v>
      </c>
      <c r="F19" s="117" t="s">
        <v>139</v>
      </c>
      <c r="G19" s="107" t="s">
        <v>147</v>
      </c>
      <c r="H19" s="114" t="s">
        <v>826</v>
      </c>
      <c r="I19" s="115" t="s">
        <v>51</v>
      </c>
      <c r="J19" s="114">
        <v>0.01</v>
      </c>
    </row>
    <row r="20" spans="1:244" s="98" customFormat="1">
      <c r="A20" s="109" t="s">
        <v>64</v>
      </c>
      <c r="B20" s="110" t="s">
        <v>137</v>
      </c>
      <c r="C20" s="110" t="s">
        <v>138</v>
      </c>
      <c r="D20" s="111">
        <v>1300015186</v>
      </c>
      <c r="E20" s="110" t="s">
        <v>45</v>
      </c>
      <c r="F20" s="110" t="s">
        <v>139</v>
      </c>
      <c r="G20" s="110" t="s">
        <v>49</v>
      </c>
      <c r="H20" s="110" t="s">
        <v>826</v>
      </c>
      <c r="I20" s="111" t="s">
        <v>51</v>
      </c>
      <c r="J20" s="110">
        <v>0</v>
      </c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97"/>
      <c r="BF20" s="97"/>
      <c r="BG20" s="97"/>
      <c r="BH20" s="97"/>
      <c r="BI20" s="97"/>
      <c r="BJ20" s="97"/>
      <c r="BK20" s="97"/>
      <c r="BL20" s="97"/>
      <c r="BM20" s="97"/>
      <c r="BN20" s="97"/>
      <c r="BO20" s="97"/>
      <c r="BP20" s="97"/>
      <c r="BQ20" s="97"/>
      <c r="BR20" s="97"/>
      <c r="BS20" s="97"/>
      <c r="BT20" s="97"/>
      <c r="BU20" s="97"/>
      <c r="BV20" s="97"/>
      <c r="BW20" s="97"/>
      <c r="BX20" s="97"/>
      <c r="BY20" s="97"/>
      <c r="BZ20" s="97"/>
      <c r="CA20" s="97"/>
      <c r="CB20" s="97"/>
      <c r="CC20" s="97"/>
      <c r="CD20" s="97"/>
      <c r="CE20" s="97"/>
      <c r="CF20" s="97"/>
      <c r="CG20" s="97"/>
      <c r="CH20" s="97"/>
      <c r="CI20" s="97"/>
      <c r="CJ20" s="97"/>
      <c r="CK20" s="97"/>
      <c r="CL20" s="97"/>
      <c r="CM20" s="97"/>
      <c r="CN20" s="97"/>
      <c r="CO20" s="97"/>
      <c r="CP20" s="97"/>
      <c r="CQ20" s="97"/>
      <c r="CR20" s="97"/>
      <c r="CS20" s="97"/>
      <c r="CT20" s="97"/>
      <c r="CU20" s="97"/>
      <c r="CV20" s="97"/>
      <c r="CW20" s="97"/>
      <c r="CX20" s="97"/>
      <c r="CY20" s="97"/>
      <c r="CZ20" s="97"/>
      <c r="DA20" s="97"/>
      <c r="DB20" s="97"/>
      <c r="DC20" s="97"/>
      <c r="DD20" s="97"/>
      <c r="DE20" s="97"/>
      <c r="DF20" s="97"/>
      <c r="DG20" s="97"/>
      <c r="DH20" s="97"/>
      <c r="DI20" s="97"/>
      <c r="DJ20" s="97"/>
      <c r="DK20" s="97"/>
      <c r="DL20" s="97"/>
      <c r="DM20" s="97"/>
      <c r="DN20" s="97"/>
      <c r="DO20" s="97"/>
      <c r="DP20" s="97"/>
      <c r="DQ20" s="97"/>
      <c r="DR20" s="97"/>
      <c r="DS20" s="97"/>
      <c r="DT20" s="97"/>
      <c r="DU20" s="97"/>
      <c r="DV20" s="97"/>
      <c r="DW20" s="97"/>
      <c r="DX20" s="97"/>
      <c r="DY20" s="97"/>
      <c r="DZ20" s="97"/>
      <c r="EA20" s="97"/>
      <c r="EB20" s="97"/>
      <c r="EC20" s="97"/>
      <c r="ED20" s="97"/>
      <c r="EE20" s="97"/>
      <c r="EF20" s="97"/>
      <c r="EG20" s="97"/>
      <c r="EH20" s="97"/>
      <c r="EI20" s="97"/>
      <c r="EJ20" s="97"/>
      <c r="EK20" s="97"/>
      <c r="EL20" s="97"/>
      <c r="EM20" s="97"/>
      <c r="EN20" s="97"/>
      <c r="EO20" s="97"/>
      <c r="EP20" s="97"/>
      <c r="EQ20" s="97"/>
      <c r="ER20" s="97"/>
      <c r="ES20" s="97"/>
      <c r="ET20" s="97"/>
      <c r="EU20" s="97"/>
      <c r="EV20" s="97"/>
      <c r="EW20" s="97"/>
      <c r="EX20" s="97"/>
      <c r="EY20" s="97"/>
      <c r="EZ20" s="97"/>
      <c r="FA20" s="97"/>
      <c r="FB20" s="97"/>
      <c r="FC20" s="97"/>
      <c r="FD20" s="97"/>
      <c r="FE20" s="97"/>
      <c r="FF20" s="97"/>
      <c r="FG20" s="97"/>
      <c r="FH20" s="97"/>
      <c r="FI20" s="97"/>
      <c r="FJ20" s="97"/>
      <c r="FK20" s="97"/>
      <c r="FL20" s="97"/>
      <c r="FM20" s="97"/>
      <c r="FN20" s="97"/>
      <c r="FO20" s="97"/>
      <c r="FP20" s="97"/>
      <c r="FQ20" s="97"/>
      <c r="FR20" s="97"/>
      <c r="FS20" s="97"/>
      <c r="FT20" s="97"/>
      <c r="FU20" s="97"/>
      <c r="FV20" s="97"/>
      <c r="FW20" s="97"/>
      <c r="FX20" s="97"/>
      <c r="FY20" s="97"/>
      <c r="FZ20" s="97"/>
      <c r="GA20" s="97"/>
      <c r="GB20" s="97"/>
      <c r="GC20" s="97"/>
      <c r="GD20" s="97"/>
      <c r="GE20" s="97"/>
      <c r="GF20" s="97"/>
      <c r="GG20" s="97"/>
      <c r="GH20" s="97"/>
      <c r="GI20" s="97"/>
      <c r="GJ20" s="97"/>
      <c r="GK20" s="97"/>
      <c r="GL20" s="97"/>
      <c r="GM20" s="97"/>
      <c r="GN20" s="97"/>
      <c r="GO20" s="97"/>
      <c r="GP20" s="97"/>
      <c r="GQ20" s="97"/>
      <c r="GR20" s="97"/>
      <c r="GS20" s="97"/>
      <c r="GT20" s="97"/>
      <c r="GU20" s="97"/>
      <c r="GV20" s="97"/>
      <c r="GW20" s="97"/>
      <c r="GX20" s="97"/>
      <c r="GY20" s="97"/>
      <c r="GZ20" s="97"/>
      <c r="HA20" s="97"/>
      <c r="HB20" s="97"/>
      <c r="HC20" s="97"/>
      <c r="HD20" s="97"/>
      <c r="HE20" s="97"/>
      <c r="HF20" s="97"/>
      <c r="HG20" s="97"/>
      <c r="HH20" s="97"/>
      <c r="HI20" s="97"/>
      <c r="HJ20" s="97"/>
      <c r="HK20" s="97"/>
      <c r="HL20" s="97"/>
      <c r="HM20" s="97"/>
      <c r="HN20" s="97"/>
      <c r="HO20" s="97"/>
      <c r="HP20" s="97"/>
      <c r="HQ20" s="97"/>
      <c r="HR20" s="97"/>
      <c r="HS20" s="97"/>
      <c r="HT20" s="97"/>
      <c r="HU20" s="97"/>
      <c r="HV20" s="97"/>
      <c r="HW20" s="97"/>
      <c r="HX20" s="97"/>
      <c r="HY20" s="97"/>
      <c r="HZ20" s="97"/>
      <c r="IA20" s="97"/>
      <c r="IB20" s="97"/>
      <c r="IC20" s="97"/>
      <c r="ID20" s="97"/>
      <c r="IE20" s="97"/>
      <c r="IF20" s="97"/>
      <c r="IG20" s="97"/>
      <c r="IH20" s="97"/>
      <c r="II20" s="97"/>
      <c r="IJ20" s="97"/>
    </row>
    <row r="21" spans="1:244">
      <c r="A21" s="106" t="s">
        <v>64</v>
      </c>
      <c r="B21" s="107" t="s">
        <v>827</v>
      </c>
      <c r="C21" s="107" t="s">
        <v>827</v>
      </c>
      <c r="D21" s="122">
        <v>1300015216</v>
      </c>
      <c r="E21" s="107" t="s">
        <v>217</v>
      </c>
      <c r="F21" s="107" t="s">
        <v>139</v>
      </c>
      <c r="G21" s="107" t="s">
        <v>220</v>
      </c>
      <c r="H21" s="114" t="s">
        <v>828</v>
      </c>
      <c r="I21" s="115" t="s">
        <v>51</v>
      </c>
      <c r="J21" s="114">
        <v>0.01</v>
      </c>
    </row>
    <row r="22" spans="1:244">
      <c r="A22" s="113" t="s">
        <v>126</v>
      </c>
      <c r="B22" s="114" t="s">
        <v>829</v>
      </c>
      <c r="C22" s="114" t="s">
        <v>829</v>
      </c>
      <c r="D22" s="122">
        <v>1300014369</v>
      </c>
      <c r="E22" s="114" t="s">
        <v>217</v>
      </c>
      <c r="F22" s="114" t="s">
        <v>830</v>
      </c>
      <c r="G22" s="114" t="s">
        <v>220</v>
      </c>
      <c r="H22" s="114" t="s">
        <v>831</v>
      </c>
      <c r="I22" s="115" t="s">
        <v>51</v>
      </c>
      <c r="J22" s="114">
        <v>3.6999999999999998E-2</v>
      </c>
    </row>
    <row r="23" spans="1:244" s="100" customFormat="1">
      <c r="A23" s="106" t="s">
        <v>42</v>
      </c>
      <c r="B23" s="107" t="s">
        <v>156</v>
      </c>
      <c r="C23" s="107" t="s">
        <v>832</v>
      </c>
      <c r="D23" s="122">
        <v>1300015125</v>
      </c>
      <c r="E23" s="107" t="s">
        <v>144</v>
      </c>
      <c r="F23" s="107" t="s">
        <v>158</v>
      </c>
      <c r="G23" s="107" t="s">
        <v>147</v>
      </c>
      <c r="H23" s="107" t="s">
        <v>833</v>
      </c>
      <c r="I23" s="108" t="s">
        <v>51</v>
      </c>
      <c r="J23" s="107">
        <v>3.9</v>
      </c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97"/>
      <c r="BF23" s="97"/>
      <c r="BG23" s="97"/>
      <c r="BH23" s="97"/>
      <c r="BI23" s="97"/>
      <c r="BJ23" s="97"/>
      <c r="BK23" s="97"/>
      <c r="BL23" s="97"/>
      <c r="BM23" s="97"/>
      <c r="BN23" s="97"/>
      <c r="BO23" s="97"/>
      <c r="BP23" s="97"/>
      <c r="BQ23" s="97"/>
      <c r="BR23" s="97"/>
      <c r="BS23" s="97"/>
      <c r="BT23" s="97"/>
      <c r="BU23" s="97"/>
      <c r="BV23" s="97"/>
      <c r="BW23" s="97"/>
      <c r="BX23" s="97"/>
      <c r="BY23" s="97"/>
      <c r="BZ23" s="97"/>
      <c r="CA23" s="97"/>
      <c r="CB23" s="97"/>
      <c r="CC23" s="97"/>
      <c r="CD23" s="97"/>
      <c r="CE23" s="97"/>
      <c r="CF23" s="97"/>
      <c r="CG23" s="97"/>
      <c r="CH23" s="97"/>
      <c r="CI23" s="97"/>
      <c r="CJ23" s="97"/>
      <c r="CK23" s="97"/>
      <c r="CL23" s="97"/>
      <c r="CM23" s="97"/>
      <c r="CN23" s="97"/>
      <c r="CO23" s="97"/>
      <c r="CP23" s="97"/>
      <c r="CQ23" s="97"/>
      <c r="CR23" s="97"/>
      <c r="CS23" s="97"/>
      <c r="CT23" s="97"/>
      <c r="CU23" s="97"/>
      <c r="CV23" s="97"/>
      <c r="CW23" s="97"/>
      <c r="CX23" s="97"/>
      <c r="CY23" s="97"/>
      <c r="CZ23" s="97"/>
      <c r="DA23" s="97"/>
      <c r="DB23" s="97"/>
      <c r="DC23" s="97"/>
      <c r="DD23" s="97"/>
      <c r="DE23" s="97"/>
      <c r="DF23" s="97"/>
      <c r="DG23" s="97"/>
      <c r="DH23" s="97"/>
      <c r="DI23" s="97"/>
      <c r="DJ23" s="97"/>
      <c r="DK23" s="97"/>
      <c r="DL23" s="97"/>
      <c r="DM23" s="97"/>
      <c r="DN23" s="97"/>
      <c r="DO23" s="97"/>
      <c r="DP23" s="97"/>
      <c r="DQ23" s="97"/>
      <c r="DR23" s="97"/>
      <c r="DS23" s="97"/>
      <c r="DT23" s="97"/>
      <c r="DU23" s="97"/>
      <c r="DV23" s="97"/>
      <c r="DW23" s="97"/>
      <c r="DX23" s="97"/>
      <c r="DY23" s="97"/>
      <c r="DZ23" s="97"/>
      <c r="EA23" s="97"/>
      <c r="EB23" s="97"/>
      <c r="EC23" s="97"/>
      <c r="ED23" s="97"/>
      <c r="EE23" s="97"/>
      <c r="EF23" s="97"/>
      <c r="EG23" s="97"/>
      <c r="EH23" s="97"/>
      <c r="EI23" s="97"/>
      <c r="EJ23" s="97"/>
      <c r="EK23" s="97"/>
      <c r="EL23" s="97"/>
      <c r="EM23" s="97"/>
      <c r="EN23" s="97"/>
      <c r="EO23" s="97"/>
      <c r="EP23" s="97"/>
      <c r="EQ23" s="97"/>
      <c r="ER23" s="97"/>
      <c r="ES23" s="97"/>
      <c r="ET23" s="97"/>
      <c r="EU23" s="97"/>
      <c r="EV23" s="97"/>
      <c r="EW23" s="97"/>
      <c r="EX23" s="97"/>
      <c r="EY23" s="97"/>
      <c r="EZ23" s="97"/>
      <c r="FA23" s="97"/>
      <c r="FB23" s="97"/>
      <c r="FC23" s="97"/>
      <c r="FD23" s="97"/>
      <c r="FE23" s="97"/>
      <c r="FF23" s="97"/>
      <c r="FG23" s="97"/>
      <c r="FH23" s="97"/>
      <c r="FI23" s="97"/>
      <c r="FJ23" s="97"/>
      <c r="FK23" s="97"/>
      <c r="FL23" s="97"/>
      <c r="FM23" s="97"/>
      <c r="FN23" s="97"/>
      <c r="FO23" s="97"/>
      <c r="FP23" s="97"/>
      <c r="FQ23" s="97"/>
      <c r="FR23" s="97"/>
      <c r="FS23" s="97"/>
      <c r="FT23" s="97"/>
      <c r="FU23" s="97"/>
      <c r="FV23" s="97"/>
      <c r="FW23" s="97"/>
      <c r="FX23" s="97"/>
      <c r="FY23" s="97"/>
      <c r="FZ23" s="97"/>
      <c r="GA23" s="97"/>
      <c r="GB23" s="97"/>
      <c r="GC23" s="97"/>
      <c r="GD23" s="97"/>
      <c r="GE23" s="97"/>
      <c r="GF23" s="97"/>
      <c r="GG23" s="97"/>
      <c r="GH23" s="97"/>
      <c r="GI23" s="97"/>
      <c r="GJ23" s="97"/>
      <c r="GK23" s="97"/>
      <c r="GL23" s="97"/>
      <c r="GM23" s="97"/>
      <c r="GN23" s="97"/>
      <c r="GO23" s="97"/>
      <c r="GP23" s="97"/>
      <c r="GQ23" s="97"/>
      <c r="GR23" s="97"/>
      <c r="GS23" s="97"/>
      <c r="GT23" s="97"/>
      <c r="GU23" s="97"/>
      <c r="GV23" s="97"/>
      <c r="GW23" s="97"/>
      <c r="GX23" s="97"/>
      <c r="GY23" s="97"/>
      <c r="GZ23" s="97"/>
      <c r="HA23" s="97"/>
      <c r="HB23" s="97"/>
      <c r="HC23" s="97"/>
      <c r="HD23" s="97"/>
      <c r="HE23" s="97"/>
      <c r="HF23" s="97"/>
      <c r="HG23" s="97"/>
      <c r="HH23" s="97"/>
      <c r="HI23" s="97"/>
      <c r="HJ23" s="97"/>
      <c r="HK23" s="97"/>
      <c r="HL23" s="97"/>
      <c r="HM23" s="97"/>
      <c r="HN23" s="97"/>
      <c r="HO23" s="97"/>
      <c r="HP23" s="97"/>
      <c r="HQ23" s="97"/>
      <c r="HR23" s="97"/>
      <c r="HS23" s="97"/>
      <c r="HT23" s="97"/>
      <c r="HU23" s="97"/>
      <c r="HV23" s="97"/>
      <c r="HW23" s="97"/>
      <c r="HX23" s="97"/>
      <c r="HY23" s="97"/>
      <c r="HZ23" s="97"/>
      <c r="IA23" s="97"/>
      <c r="IB23" s="97"/>
      <c r="IC23" s="97"/>
      <c r="ID23" s="97"/>
      <c r="IE23" s="97"/>
      <c r="IF23" s="97"/>
      <c r="IG23" s="97"/>
      <c r="IH23" s="97"/>
      <c r="II23" s="97"/>
      <c r="IJ23" s="97"/>
    </row>
    <row r="24" spans="1:244">
      <c r="A24" s="109" t="s">
        <v>42</v>
      </c>
      <c r="B24" s="110" t="s">
        <v>156</v>
      </c>
      <c r="C24" s="110" t="s">
        <v>157</v>
      </c>
      <c r="D24" s="111">
        <v>1300015126</v>
      </c>
      <c r="E24" s="110" t="s">
        <v>45</v>
      </c>
      <c r="F24" s="110" t="s">
        <v>158</v>
      </c>
      <c r="G24" s="110" t="s">
        <v>49</v>
      </c>
      <c r="H24" s="110" t="s">
        <v>833</v>
      </c>
      <c r="I24" s="111" t="s">
        <v>51</v>
      </c>
      <c r="J24" s="110">
        <v>0</v>
      </c>
    </row>
    <row r="25" spans="1:244" s="98" customFormat="1">
      <c r="A25" s="106" t="s">
        <v>64</v>
      </c>
      <c r="B25" s="107" t="s">
        <v>834</v>
      </c>
      <c r="C25" s="107" t="s">
        <v>834</v>
      </c>
      <c r="D25" s="122">
        <v>1300014999</v>
      </c>
      <c r="E25" s="107" t="s">
        <v>217</v>
      </c>
      <c r="F25" s="107" t="s">
        <v>660</v>
      </c>
      <c r="G25" s="107" t="s">
        <v>220</v>
      </c>
      <c r="H25" s="114" t="s">
        <v>662</v>
      </c>
      <c r="I25" s="125" t="s">
        <v>51</v>
      </c>
      <c r="J25" s="114">
        <v>16.847999999999999</v>
      </c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97"/>
      <c r="BF25" s="97"/>
      <c r="BG25" s="97"/>
      <c r="BH25" s="97"/>
      <c r="BI25" s="97"/>
      <c r="BJ25" s="97"/>
      <c r="BK25" s="97"/>
      <c r="BL25" s="97"/>
      <c r="BM25" s="97"/>
      <c r="BN25" s="97"/>
      <c r="BO25" s="97"/>
      <c r="BP25" s="97"/>
      <c r="BQ25" s="97"/>
      <c r="BR25" s="97"/>
      <c r="BS25" s="97"/>
      <c r="BT25" s="97"/>
      <c r="BU25" s="97"/>
      <c r="BV25" s="97"/>
      <c r="BW25" s="97"/>
      <c r="BX25" s="97"/>
      <c r="BY25" s="97"/>
      <c r="BZ25" s="97"/>
      <c r="CA25" s="97"/>
      <c r="CB25" s="97"/>
      <c r="CC25" s="97"/>
      <c r="CD25" s="97"/>
      <c r="CE25" s="97"/>
      <c r="CF25" s="97"/>
      <c r="CG25" s="97"/>
      <c r="CH25" s="97"/>
      <c r="CI25" s="97"/>
      <c r="CJ25" s="97"/>
      <c r="CK25" s="97"/>
      <c r="CL25" s="97"/>
      <c r="CM25" s="97"/>
      <c r="CN25" s="97"/>
      <c r="CO25" s="97"/>
      <c r="CP25" s="97"/>
      <c r="CQ25" s="97"/>
      <c r="CR25" s="97"/>
      <c r="CS25" s="97"/>
      <c r="CT25" s="97"/>
      <c r="CU25" s="97"/>
      <c r="CV25" s="97"/>
      <c r="CW25" s="97"/>
      <c r="CX25" s="97"/>
      <c r="CY25" s="97"/>
      <c r="CZ25" s="97"/>
      <c r="DA25" s="97"/>
      <c r="DB25" s="97"/>
      <c r="DC25" s="97"/>
      <c r="DD25" s="97"/>
      <c r="DE25" s="97"/>
      <c r="DF25" s="97"/>
      <c r="DG25" s="97"/>
      <c r="DH25" s="97"/>
      <c r="DI25" s="97"/>
      <c r="DJ25" s="97"/>
      <c r="DK25" s="97"/>
      <c r="DL25" s="97"/>
      <c r="DM25" s="97"/>
      <c r="DN25" s="97"/>
      <c r="DO25" s="97"/>
      <c r="DP25" s="97"/>
      <c r="DQ25" s="97"/>
      <c r="DR25" s="97"/>
      <c r="DS25" s="97"/>
      <c r="DT25" s="97"/>
      <c r="DU25" s="97"/>
      <c r="DV25" s="97"/>
      <c r="DW25" s="97"/>
      <c r="DX25" s="97"/>
      <c r="DY25" s="97"/>
      <c r="DZ25" s="97"/>
      <c r="EA25" s="97"/>
      <c r="EB25" s="97"/>
      <c r="EC25" s="97"/>
      <c r="ED25" s="97"/>
      <c r="EE25" s="97"/>
      <c r="EF25" s="97"/>
      <c r="EG25" s="97"/>
      <c r="EH25" s="97"/>
      <c r="EI25" s="97"/>
      <c r="EJ25" s="97"/>
      <c r="EK25" s="97"/>
      <c r="EL25" s="97"/>
      <c r="EM25" s="97"/>
      <c r="EN25" s="97"/>
      <c r="EO25" s="97"/>
      <c r="EP25" s="97"/>
      <c r="EQ25" s="97"/>
      <c r="ER25" s="97"/>
      <c r="ES25" s="97"/>
      <c r="ET25" s="97"/>
      <c r="EU25" s="97"/>
      <c r="EV25" s="97"/>
      <c r="EW25" s="97"/>
      <c r="EX25" s="97"/>
      <c r="EY25" s="97"/>
      <c r="EZ25" s="97"/>
      <c r="FA25" s="97"/>
      <c r="FB25" s="97"/>
      <c r="FC25" s="97"/>
      <c r="FD25" s="97"/>
      <c r="FE25" s="97"/>
      <c r="FF25" s="97"/>
      <c r="FG25" s="97"/>
      <c r="FH25" s="97"/>
      <c r="FI25" s="97"/>
      <c r="FJ25" s="97"/>
      <c r="FK25" s="97"/>
      <c r="FL25" s="97"/>
      <c r="FM25" s="97"/>
      <c r="FN25" s="97"/>
      <c r="FO25" s="97"/>
      <c r="FP25" s="97"/>
      <c r="FQ25" s="97"/>
      <c r="FR25" s="97"/>
      <c r="FS25" s="97"/>
      <c r="FT25" s="97"/>
      <c r="FU25" s="97"/>
      <c r="FV25" s="97"/>
      <c r="FW25" s="97"/>
      <c r="FX25" s="97"/>
      <c r="FY25" s="97"/>
      <c r="FZ25" s="97"/>
      <c r="GA25" s="97"/>
      <c r="GB25" s="97"/>
      <c r="GC25" s="97"/>
      <c r="GD25" s="97"/>
      <c r="GE25" s="97"/>
      <c r="GF25" s="97"/>
      <c r="GG25" s="97"/>
      <c r="GH25" s="97"/>
      <c r="GI25" s="97"/>
      <c r="GJ25" s="97"/>
      <c r="GK25" s="97"/>
      <c r="GL25" s="97"/>
      <c r="GM25" s="97"/>
      <c r="GN25" s="97"/>
      <c r="GO25" s="97"/>
      <c r="GP25" s="97"/>
      <c r="GQ25" s="97"/>
      <c r="GR25" s="97"/>
      <c r="GS25" s="97"/>
      <c r="GT25" s="97"/>
      <c r="GU25" s="97"/>
      <c r="GV25" s="97"/>
      <c r="GW25" s="97"/>
      <c r="GX25" s="97"/>
      <c r="GY25" s="97"/>
      <c r="GZ25" s="97"/>
      <c r="HA25" s="97"/>
      <c r="HB25" s="97"/>
      <c r="HC25" s="97"/>
      <c r="HD25" s="97"/>
      <c r="HE25" s="97"/>
      <c r="HF25" s="97"/>
      <c r="HG25" s="97"/>
      <c r="HH25" s="97"/>
      <c r="HI25" s="97"/>
      <c r="HJ25" s="97"/>
      <c r="HK25" s="97"/>
      <c r="HL25" s="97"/>
      <c r="HM25" s="97"/>
      <c r="HN25" s="97"/>
      <c r="HO25" s="97"/>
      <c r="HP25" s="97"/>
      <c r="HQ25" s="97"/>
      <c r="HR25" s="97"/>
      <c r="HS25" s="97"/>
      <c r="HT25" s="97"/>
      <c r="HU25" s="97"/>
      <c r="HV25" s="97"/>
      <c r="HW25" s="97"/>
      <c r="HX25" s="97"/>
      <c r="HY25" s="97"/>
      <c r="HZ25" s="97"/>
      <c r="IA25" s="97"/>
      <c r="IB25" s="97"/>
      <c r="IC25" s="97"/>
      <c r="ID25" s="97"/>
      <c r="IE25" s="97"/>
      <c r="IF25" s="97"/>
      <c r="IG25" s="97"/>
      <c r="IH25" s="97"/>
      <c r="II25" s="97"/>
      <c r="IJ25" s="97"/>
    </row>
    <row r="26" spans="1:244">
      <c r="A26" s="106" t="s">
        <v>64</v>
      </c>
      <c r="B26" s="107" t="s">
        <v>835</v>
      </c>
      <c r="C26" s="107" t="s">
        <v>835</v>
      </c>
      <c r="D26" s="122">
        <v>1300015230</v>
      </c>
      <c r="E26" s="107" t="s">
        <v>217</v>
      </c>
      <c r="F26" s="107" t="s">
        <v>667</v>
      </c>
      <c r="G26" s="107" t="s">
        <v>220</v>
      </c>
      <c r="H26" s="107" t="s">
        <v>836</v>
      </c>
      <c r="I26" s="108" t="s">
        <v>51</v>
      </c>
      <c r="J26" s="107">
        <v>0.01</v>
      </c>
    </row>
    <row r="27" spans="1:244" s="100" customFormat="1">
      <c r="A27" s="106" t="s">
        <v>57</v>
      </c>
      <c r="B27" s="107" t="s">
        <v>181</v>
      </c>
      <c r="C27" s="107" t="s">
        <v>182</v>
      </c>
      <c r="D27" s="122">
        <v>1300014981</v>
      </c>
      <c r="E27" s="107" t="s">
        <v>45</v>
      </c>
      <c r="F27" s="107" t="s">
        <v>183</v>
      </c>
      <c r="G27" s="107" t="s">
        <v>49</v>
      </c>
      <c r="H27" s="107" t="s">
        <v>837</v>
      </c>
      <c r="I27" s="112" t="s">
        <v>51</v>
      </c>
      <c r="J27" s="107">
        <v>4.7210000000000001</v>
      </c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97"/>
      <c r="BF27" s="97"/>
      <c r="BG27" s="97"/>
      <c r="BH27" s="97"/>
      <c r="BI27" s="97"/>
      <c r="BJ27" s="97"/>
      <c r="BK27" s="97"/>
      <c r="BL27" s="97"/>
      <c r="BM27" s="97"/>
      <c r="BN27" s="97"/>
      <c r="BO27" s="97"/>
      <c r="BP27" s="97"/>
      <c r="BQ27" s="97"/>
      <c r="BR27" s="97"/>
      <c r="BS27" s="97"/>
      <c r="BT27" s="97"/>
      <c r="BU27" s="97"/>
      <c r="BV27" s="97"/>
      <c r="BW27" s="97"/>
      <c r="BX27" s="97"/>
      <c r="BY27" s="97"/>
      <c r="BZ27" s="97"/>
      <c r="CA27" s="97"/>
      <c r="CB27" s="97"/>
      <c r="CC27" s="97"/>
      <c r="CD27" s="97"/>
      <c r="CE27" s="97"/>
      <c r="CF27" s="97"/>
      <c r="CG27" s="97"/>
      <c r="CH27" s="97"/>
      <c r="CI27" s="97"/>
      <c r="CJ27" s="97"/>
      <c r="CK27" s="97"/>
      <c r="CL27" s="97"/>
      <c r="CM27" s="97"/>
      <c r="CN27" s="97"/>
      <c r="CO27" s="97"/>
      <c r="CP27" s="97"/>
      <c r="CQ27" s="97"/>
      <c r="CR27" s="97"/>
      <c r="CS27" s="97"/>
      <c r="CT27" s="97"/>
      <c r="CU27" s="97"/>
      <c r="CV27" s="97"/>
      <c r="CW27" s="97"/>
      <c r="CX27" s="97"/>
      <c r="CY27" s="97"/>
      <c r="CZ27" s="97"/>
      <c r="DA27" s="97"/>
      <c r="DB27" s="97"/>
      <c r="DC27" s="97"/>
      <c r="DD27" s="97"/>
      <c r="DE27" s="97"/>
      <c r="DF27" s="97"/>
      <c r="DG27" s="97"/>
      <c r="DH27" s="97"/>
      <c r="DI27" s="97"/>
      <c r="DJ27" s="97"/>
      <c r="DK27" s="97"/>
      <c r="DL27" s="97"/>
      <c r="DM27" s="97"/>
      <c r="DN27" s="97"/>
      <c r="DO27" s="97"/>
      <c r="DP27" s="97"/>
      <c r="DQ27" s="97"/>
      <c r="DR27" s="97"/>
      <c r="DS27" s="97"/>
      <c r="DT27" s="97"/>
      <c r="DU27" s="97"/>
      <c r="DV27" s="97"/>
      <c r="DW27" s="97"/>
      <c r="DX27" s="97"/>
      <c r="DY27" s="97"/>
      <c r="DZ27" s="97"/>
      <c r="EA27" s="97"/>
      <c r="EB27" s="97"/>
      <c r="EC27" s="97"/>
      <c r="ED27" s="97"/>
      <c r="EE27" s="97"/>
      <c r="EF27" s="97"/>
      <c r="EG27" s="97"/>
      <c r="EH27" s="97"/>
      <c r="EI27" s="97"/>
      <c r="EJ27" s="97"/>
      <c r="EK27" s="97"/>
      <c r="EL27" s="97"/>
      <c r="EM27" s="97"/>
      <c r="EN27" s="97"/>
      <c r="EO27" s="97"/>
      <c r="EP27" s="97"/>
      <c r="EQ27" s="97"/>
      <c r="ER27" s="97"/>
      <c r="ES27" s="97"/>
      <c r="ET27" s="97"/>
      <c r="EU27" s="97"/>
      <c r="EV27" s="97"/>
      <c r="EW27" s="97"/>
      <c r="EX27" s="97"/>
      <c r="EY27" s="97"/>
      <c r="EZ27" s="97"/>
      <c r="FA27" s="97"/>
      <c r="FB27" s="97"/>
      <c r="FC27" s="97"/>
      <c r="FD27" s="97"/>
      <c r="FE27" s="97"/>
      <c r="FF27" s="97"/>
      <c r="FG27" s="97"/>
      <c r="FH27" s="97"/>
      <c r="FI27" s="97"/>
      <c r="FJ27" s="97"/>
      <c r="FK27" s="97"/>
      <c r="FL27" s="97"/>
      <c r="FM27" s="97"/>
      <c r="FN27" s="97"/>
      <c r="FO27" s="97"/>
      <c r="FP27" s="97"/>
      <c r="FQ27" s="97"/>
      <c r="FR27" s="97"/>
      <c r="FS27" s="97"/>
      <c r="FT27" s="97"/>
      <c r="FU27" s="97"/>
      <c r="FV27" s="97"/>
      <c r="FW27" s="97"/>
      <c r="FX27" s="97"/>
      <c r="FY27" s="97"/>
      <c r="FZ27" s="97"/>
      <c r="GA27" s="97"/>
      <c r="GB27" s="97"/>
      <c r="GC27" s="97"/>
      <c r="GD27" s="97"/>
      <c r="GE27" s="97"/>
      <c r="GF27" s="97"/>
      <c r="GG27" s="97"/>
      <c r="GH27" s="97"/>
      <c r="GI27" s="97"/>
      <c r="GJ27" s="97"/>
      <c r="GK27" s="97"/>
      <c r="GL27" s="97"/>
      <c r="GM27" s="97"/>
      <c r="GN27" s="97"/>
      <c r="GO27" s="97"/>
      <c r="GP27" s="97"/>
      <c r="GQ27" s="97"/>
      <c r="GR27" s="97"/>
      <c r="GS27" s="97"/>
      <c r="GT27" s="97"/>
      <c r="GU27" s="97"/>
      <c r="GV27" s="97"/>
      <c r="GW27" s="97"/>
      <c r="GX27" s="97"/>
      <c r="GY27" s="97"/>
      <c r="GZ27" s="97"/>
      <c r="HA27" s="97"/>
      <c r="HB27" s="97"/>
      <c r="HC27" s="97"/>
      <c r="HD27" s="97"/>
      <c r="HE27" s="97"/>
      <c r="HF27" s="97"/>
      <c r="HG27" s="97"/>
      <c r="HH27" s="97"/>
      <c r="HI27" s="97"/>
      <c r="HJ27" s="97"/>
      <c r="HK27" s="97"/>
      <c r="HL27" s="97"/>
      <c r="HM27" s="97"/>
      <c r="HN27" s="97"/>
      <c r="HO27" s="97"/>
      <c r="HP27" s="97"/>
      <c r="HQ27" s="97"/>
      <c r="HR27" s="97"/>
      <c r="HS27" s="97"/>
      <c r="HT27" s="97"/>
      <c r="HU27" s="97"/>
      <c r="HV27" s="97"/>
      <c r="HW27" s="97"/>
      <c r="HX27" s="97"/>
      <c r="HY27" s="97"/>
      <c r="HZ27" s="97"/>
      <c r="IA27" s="97"/>
      <c r="IB27" s="97"/>
      <c r="IC27" s="97"/>
      <c r="ID27" s="97"/>
      <c r="IE27" s="97"/>
      <c r="IF27" s="97"/>
      <c r="IG27" s="97"/>
      <c r="IH27" s="97"/>
      <c r="II27" s="97"/>
      <c r="IJ27" s="97"/>
    </row>
    <row r="28" spans="1:244">
      <c r="A28" s="106" t="s">
        <v>64</v>
      </c>
      <c r="B28" s="107" t="s">
        <v>838</v>
      </c>
      <c r="C28" s="107" t="s">
        <v>838</v>
      </c>
      <c r="D28" s="122">
        <v>1300015213</v>
      </c>
      <c r="E28" s="107" t="s">
        <v>217</v>
      </c>
      <c r="F28" s="107" t="s">
        <v>203</v>
      </c>
      <c r="G28" s="107" t="s">
        <v>220</v>
      </c>
      <c r="H28" s="107" t="s">
        <v>672</v>
      </c>
      <c r="I28" s="108" t="s">
        <v>51</v>
      </c>
      <c r="J28" s="107">
        <v>23.31</v>
      </c>
    </row>
    <row r="29" spans="1:244">
      <c r="A29" s="106" t="s">
        <v>57</v>
      </c>
      <c r="B29" s="107" t="s">
        <v>206</v>
      </c>
      <c r="C29" s="107" t="s">
        <v>207</v>
      </c>
      <c r="D29" s="122">
        <v>1300015170</v>
      </c>
      <c r="E29" s="107" t="s">
        <v>45</v>
      </c>
      <c r="F29" s="107" t="s">
        <v>208</v>
      </c>
      <c r="G29" s="107" t="s">
        <v>49</v>
      </c>
      <c r="H29" s="107" t="s">
        <v>839</v>
      </c>
      <c r="I29" s="108" t="s">
        <v>51</v>
      </c>
      <c r="J29" s="107">
        <v>5.0519999999999996</v>
      </c>
    </row>
    <row r="30" spans="1:244">
      <c r="A30" s="106" t="s">
        <v>64</v>
      </c>
      <c r="B30" s="107" t="s">
        <v>840</v>
      </c>
      <c r="C30" s="107" t="s">
        <v>840</v>
      </c>
      <c r="D30" s="122">
        <v>1300015001</v>
      </c>
      <c r="E30" s="107" t="s">
        <v>217</v>
      </c>
      <c r="F30" s="107" t="s">
        <v>675</v>
      </c>
      <c r="G30" s="107" t="s">
        <v>220</v>
      </c>
      <c r="H30" s="107" t="s">
        <v>677</v>
      </c>
      <c r="I30" s="112" t="s">
        <v>51</v>
      </c>
      <c r="J30" s="107">
        <v>4.2140000000000004</v>
      </c>
    </row>
    <row r="31" spans="1:244">
      <c r="A31" s="113" t="s">
        <v>57</v>
      </c>
      <c r="B31" s="114" t="s">
        <v>224</v>
      </c>
      <c r="C31" s="114" t="s">
        <v>225</v>
      </c>
      <c r="D31" s="122">
        <v>1300015167</v>
      </c>
      <c r="E31" s="114" t="s">
        <v>45</v>
      </c>
      <c r="F31" s="114" t="s">
        <v>226</v>
      </c>
      <c r="G31" s="114" t="s">
        <v>49</v>
      </c>
      <c r="H31" s="114" t="s">
        <v>228</v>
      </c>
      <c r="I31" s="115" t="s">
        <v>51</v>
      </c>
      <c r="J31" s="114">
        <v>8.1750000000000007</v>
      </c>
    </row>
    <row r="32" spans="1:244" s="98" customFormat="1">
      <c r="A32" s="106" t="s">
        <v>42</v>
      </c>
      <c r="B32" s="107" t="s">
        <v>257</v>
      </c>
      <c r="C32" s="107" t="s">
        <v>841</v>
      </c>
      <c r="D32" s="122">
        <v>1300015222</v>
      </c>
      <c r="E32" s="107" t="s">
        <v>144</v>
      </c>
      <c r="F32" s="107" t="s">
        <v>259</v>
      </c>
      <c r="G32" s="107" t="s">
        <v>147</v>
      </c>
      <c r="H32" s="107" t="s">
        <v>842</v>
      </c>
      <c r="I32" s="108" t="s">
        <v>51</v>
      </c>
      <c r="J32" s="107">
        <v>0.03</v>
      </c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97"/>
      <c r="BF32" s="97"/>
      <c r="BG32" s="97"/>
      <c r="BH32" s="97"/>
      <c r="BI32" s="97"/>
      <c r="BJ32" s="97"/>
      <c r="BK32" s="97"/>
      <c r="BL32" s="97"/>
      <c r="BM32" s="97"/>
      <c r="BN32" s="97"/>
      <c r="BO32" s="97"/>
      <c r="BP32" s="97"/>
      <c r="BQ32" s="97"/>
      <c r="BR32" s="97"/>
      <c r="BS32" s="97"/>
      <c r="BT32" s="97"/>
      <c r="BU32" s="97"/>
      <c r="BV32" s="97"/>
      <c r="BW32" s="97"/>
      <c r="BX32" s="97"/>
      <c r="BY32" s="97"/>
      <c r="BZ32" s="97"/>
      <c r="CA32" s="97"/>
      <c r="CB32" s="97"/>
      <c r="CC32" s="97"/>
      <c r="CD32" s="97"/>
      <c r="CE32" s="97"/>
      <c r="CF32" s="97"/>
      <c r="CG32" s="97"/>
      <c r="CH32" s="97"/>
      <c r="CI32" s="97"/>
      <c r="CJ32" s="97"/>
      <c r="CK32" s="97"/>
      <c r="CL32" s="97"/>
      <c r="CM32" s="97"/>
      <c r="CN32" s="97"/>
      <c r="CO32" s="97"/>
      <c r="CP32" s="97"/>
      <c r="CQ32" s="97"/>
      <c r="CR32" s="97"/>
      <c r="CS32" s="97"/>
      <c r="CT32" s="97"/>
      <c r="CU32" s="97"/>
      <c r="CV32" s="97"/>
      <c r="CW32" s="97"/>
      <c r="CX32" s="97"/>
      <c r="CY32" s="97"/>
      <c r="CZ32" s="97"/>
      <c r="DA32" s="97"/>
      <c r="DB32" s="97"/>
      <c r="DC32" s="97"/>
      <c r="DD32" s="97"/>
      <c r="DE32" s="97"/>
      <c r="DF32" s="97"/>
      <c r="DG32" s="97"/>
      <c r="DH32" s="97"/>
      <c r="DI32" s="97"/>
      <c r="DJ32" s="97"/>
      <c r="DK32" s="97"/>
      <c r="DL32" s="97"/>
      <c r="DM32" s="97"/>
      <c r="DN32" s="97"/>
      <c r="DO32" s="97"/>
      <c r="DP32" s="97"/>
      <c r="DQ32" s="97"/>
      <c r="DR32" s="97"/>
      <c r="DS32" s="97"/>
      <c r="DT32" s="97"/>
      <c r="DU32" s="97"/>
      <c r="DV32" s="97"/>
      <c r="DW32" s="97"/>
      <c r="DX32" s="97"/>
      <c r="DY32" s="97"/>
      <c r="DZ32" s="97"/>
      <c r="EA32" s="97"/>
      <c r="EB32" s="97"/>
      <c r="EC32" s="97"/>
      <c r="ED32" s="97"/>
      <c r="EE32" s="97"/>
      <c r="EF32" s="97"/>
      <c r="EG32" s="97"/>
      <c r="EH32" s="97"/>
      <c r="EI32" s="97"/>
      <c r="EJ32" s="97"/>
      <c r="EK32" s="97"/>
      <c r="EL32" s="97"/>
      <c r="EM32" s="97"/>
      <c r="EN32" s="97"/>
      <c r="EO32" s="97"/>
      <c r="EP32" s="97"/>
      <c r="EQ32" s="97"/>
      <c r="ER32" s="97"/>
      <c r="ES32" s="97"/>
      <c r="ET32" s="97"/>
      <c r="EU32" s="97"/>
      <c r="EV32" s="97"/>
      <c r="EW32" s="97"/>
      <c r="EX32" s="97"/>
      <c r="EY32" s="97"/>
      <c r="EZ32" s="97"/>
      <c r="FA32" s="97"/>
      <c r="FB32" s="97"/>
      <c r="FC32" s="97"/>
      <c r="FD32" s="97"/>
      <c r="FE32" s="97"/>
      <c r="FF32" s="97"/>
      <c r="FG32" s="97"/>
      <c r="FH32" s="97"/>
      <c r="FI32" s="97"/>
      <c r="FJ32" s="97"/>
      <c r="FK32" s="97"/>
      <c r="FL32" s="97"/>
      <c r="FM32" s="97"/>
      <c r="FN32" s="97"/>
      <c r="FO32" s="97"/>
      <c r="FP32" s="97"/>
      <c r="FQ32" s="97"/>
      <c r="FR32" s="97"/>
      <c r="FS32" s="97"/>
      <c r="FT32" s="97"/>
      <c r="FU32" s="97"/>
      <c r="FV32" s="97"/>
      <c r="FW32" s="97"/>
      <c r="FX32" s="97"/>
      <c r="FY32" s="97"/>
      <c r="FZ32" s="97"/>
      <c r="GA32" s="97"/>
      <c r="GB32" s="97"/>
      <c r="GC32" s="97"/>
      <c r="GD32" s="97"/>
      <c r="GE32" s="97"/>
      <c r="GF32" s="97"/>
      <c r="GG32" s="97"/>
      <c r="GH32" s="97"/>
      <c r="GI32" s="97"/>
      <c r="GJ32" s="97"/>
      <c r="GK32" s="97"/>
      <c r="GL32" s="97"/>
      <c r="GM32" s="97"/>
      <c r="GN32" s="97"/>
      <c r="GO32" s="97"/>
      <c r="GP32" s="97"/>
      <c r="GQ32" s="97"/>
      <c r="GR32" s="97"/>
      <c r="GS32" s="97"/>
      <c r="GT32" s="97"/>
      <c r="GU32" s="97"/>
      <c r="GV32" s="97"/>
      <c r="GW32" s="97"/>
      <c r="GX32" s="97"/>
      <c r="GY32" s="97"/>
      <c r="GZ32" s="97"/>
      <c r="HA32" s="97"/>
      <c r="HB32" s="97"/>
      <c r="HC32" s="97"/>
      <c r="HD32" s="97"/>
      <c r="HE32" s="97"/>
      <c r="HF32" s="97"/>
      <c r="HG32" s="97"/>
      <c r="HH32" s="97"/>
      <c r="HI32" s="97"/>
      <c r="HJ32" s="97"/>
      <c r="HK32" s="97"/>
      <c r="HL32" s="97"/>
      <c r="HM32" s="97"/>
      <c r="HN32" s="97"/>
      <c r="HO32" s="97"/>
      <c r="HP32" s="97"/>
      <c r="HQ32" s="97"/>
      <c r="HR32" s="97"/>
      <c r="HS32" s="97"/>
      <c r="HT32" s="97"/>
      <c r="HU32" s="97"/>
      <c r="HV32" s="97"/>
      <c r="HW32" s="97"/>
      <c r="HX32" s="97"/>
      <c r="HY32" s="97"/>
      <c r="HZ32" s="97"/>
      <c r="IA32" s="97"/>
      <c r="IB32" s="97"/>
      <c r="IC32" s="97"/>
      <c r="ID32" s="97"/>
      <c r="IE32" s="97"/>
      <c r="IF32" s="97"/>
      <c r="IG32" s="97"/>
      <c r="IH32" s="97"/>
      <c r="II32" s="97"/>
      <c r="IJ32" s="97"/>
    </row>
    <row r="33" spans="1:244" s="103" customFormat="1">
      <c r="A33" s="109" t="s">
        <v>42</v>
      </c>
      <c r="B33" s="110" t="s">
        <v>257</v>
      </c>
      <c r="C33" s="110" t="s">
        <v>258</v>
      </c>
      <c r="D33" s="111">
        <v>1300015223</v>
      </c>
      <c r="E33" s="110" t="s">
        <v>45</v>
      </c>
      <c r="F33" s="110" t="s">
        <v>259</v>
      </c>
      <c r="G33" s="110" t="s">
        <v>49</v>
      </c>
      <c r="H33" s="110" t="s">
        <v>842</v>
      </c>
      <c r="I33" s="111" t="s">
        <v>51</v>
      </c>
      <c r="J33" s="110">
        <v>0</v>
      </c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97"/>
      <c r="BF33" s="97"/>
      <c r="BG33" s="97"/>
      <c r="BH33" s="97"/>
      <c r="BI33" s="97"/>
      <c r="BJ33" s="97"/>
      <c r="BK33" s="97"/>
      <c r="BL33" s="97"/>
      <c r="BM33" s="97"/>
      <c r="BN33" s="97"/>
      <c r="BO33" s="97"/>
      <c r="BP33" s="97"/>
      <c r="BQ33" s="97"/>
      <c r="BR33" s="97"/>
      <c r="BS33" s="97"/>
      <c r="BT33" s="97"/>
      <c r="BU33" s="97"/>
      <c r="BV33" s="97"/>
      <c r="BW33" s="97"/>
      <c r="BX33" s="97"/>
      <c r="BY33" s="97"/>
      <c r="BZ33" s="97"/>
      <c r="CA33" s="97"/>
      <c r="CB33" s="97"/>
      <c r="CC33" s="97"/>
      <c r="CD33" s="97"/>
      <c r="CE33" s="97"/>
      <c r="CF33" s="97"/>
      <c r="CG33" s="97"/>
      <c r="CH33" s="97"/>
      <c r="CI33" s="97"/>
      <c r="CJ33" s="97"/>
      <c r="CK33" s="97"/>
      <c r="CL33" s="97"/>
      <c r="CM33" s="97"/>
      <c r="CN33" s="97"/>
      <c r="CO33" s="97"/>
      <c r="CP33" s="97"/>
      <c r="CQ33" s="97"/>
      <c r="CR33" s="97"/>
      <c r="CS33" s="97"/>
      <c r="CT33" s="97"/>
      <c r="CU33" s="97"/>
      <c r="CV33" s="97"/>
      <c r="CW33" s="97"/>
      <c r="CX33" s="97"/>
      <c r="CY33" s="97"/>
      <c r="CZ33" s="97"/>
      <c r="DA33" s="97"/>
      <c r="DB33" s="97"/>
      <c r="DC33" s="97"/>
      <c r="DD33" s="97"/>
      <c r="DE33" s="97"/>
      <c r="DF33" s="97"/>
      <c r="DG33" s="97"/>
      <c r="DH33" s="97"/>
      <c r="DI33" s="97"/>
      <c r="DJ33" s="97"/>
      <c r="DK33" s="97"/>
      <c r="DL33" s="97"/>
      <c r="DM33" s="97"/>
      <c r="DN33" s="97"/>
      <c r="DO33" s="97"/>
      <c r="DP33" s="97"/>
      <c r="DQ33" s="97"/>
      <c r="DR33" s="97"/>
      <c r="DS33" s="97"/>
      <c r="DT33" s="97"/>
      <c r="DU33" s="97"/>
      <c r="DV33" s="97"/>
      <c r="DW33" s="97"/>
      <c r="DX33" s="97"/>
      <c r="DY33" s="97"/>
      <c r="DZ33" s="97"/>
      <c r="EA33" s="97"/>
      <c r="EB33" s="97"/>
      <c r="EC33" s="97"/>
      <c r="ED33" s="97"/>
      <c r="EE33" s="97"/>
      <c r="EF33" s="97"/>
      <c r="EG33" s="97"/>
      <c r="EH33" s="97"/>
      <c r="EI33" s="97"/>
      <c r="EJ33" s="97"/>
      <c r="EK33" s="97"/>
      <c r="EL33" s="97"/>
      <c r="EM33" s="97"/>
      <c r="EN33" s="97"/>
      <c r="EO33" s="97"/>
      <c r="EP33" s="97"/>
      <c r="EQ33" s="97"/>
      <c r="ER33" s="97"/>
      <c r="ES33" s="97"/>
      <c r="ET33" s="97"/>
      <c r="EU33" s="97"/>
      <c r="EV33" s="97"/>
      <c r="EW33" s="97"/>
      <c r="EX33" s="97"/>
      <c r="EY33" s="97"/>
      <c r="EZ33" s="97"/>
      <c r="FA33" s="97"/>
      <c r="FB33" s="97"/>
      <c r="FC33" s="97"/>
      <c r="FD33" s="97"/>
      <c r="FE33" s="97"/>
      <c r="FF33" s="97"/>
      <c r="FG33" s="97"/>
      <c r="FH33" s="97"/>
      <c r="FI33" s="97"/>
      <c r="FJ33" s="97"/>
      <c r="FK33" s="97"/>
      <c r="FL33" s="97"/>
      <c r="FM33" s="97"/>
      <c r="FN33" s="97"/>
      <c r="FO33" s="97"/>
      <c r="FP33" s="97"/>
      <c r="FQ33" s="97"/>
      <c r="FR33" s="97"/>
      <c r="FS33" s="97"/>
      <c r="FT33" s="97"/>
      <c r="FU33" s="97"/>
      <c r="FV33" s="97"/>
      <c r="FW33" s="97"/>
      <c r="FX33" s="97"/>
      <c r="FY33" s="97"/>
      <c r="FZ33" s="97"/>
      <c r="GA33" s="97"/>
      <c r="GB33" s="97"/>
      <c r="GC33" s="97"/>
      <c r="GD33" s="97"/>
      <c r="GE33" s="97"/>
      <c r="GF33" s="97"/>
      <c r="GG33" s="97"/>
      <c r="GH33" s="97"/>
      <c r="GI33" s="97"/>
      <c r="GJ33" s="97"/>
      <c r="GK33" s="97"/>
      <c r="GL33" s="97"/>
      <c r="GM33" s="97"/>
      <c r="GN33" s="97"/>
      <c r="GO33" s="97"/>
      <c r="GP33" s="97"/>
      <c r="GQ33" s="97"/>
      <c r="GR33" s="97"/>
      <c r="GS33" s="97"/>
      <c r="GT33" s="97"/>
      <c r="GU33" s="97"/>
      <c r="GV33" s="97"/>
      <c r="GW33" s="97"/>
      <c r="GX33" s="97"/>
      <c r="GY33" s="97"/>
      <c r="GZ33" s="97"/>
      <c r="HA33" s="97"/>
      <c r="HB33" s="97"/>
      <c r="HC33" s="97"/>
      <c r="HD33" s="97"/>
      <c r="HE33" s="97"/>
      <c r="HF33" s="97"/>
      <c r="HG33" s="97"/>
      <c r="HH33" s="97"/>
      <c r="HI33" s="97"/>
      <c r="HJ33" s="97"/>
      <c r="HK33" s="97"/>
      <c r="HL33" s="97"/>
      <c r="HM33" s="97"/>
      <c r="HN33" s="97"/>
      <c r="HO33" s="97"/>
      <c r="HP33" s="97"/>
      <c r="HQ33" s="97"/>
      <c r="HR33" s="97"/>
      <c r="HS33" s="97"/>
      <c r="HT33" s="97"/>
      <c r="HU33" s="97"/>
      <c r="HV33" s="97"/>
      <c r="HW33" s="97"/>
      <c r="HX33" s="97"/>
      <c r="HY33" s="97"/>
      <c r="HZ33" s="97"/>
      <c r="IA33" s="97"/>
      <c r="IB33" s="97"/>
      <c r="IC33" s="97"/>
      <c r="ID33" s="97"/>
      <c r="IE33" s="97"/>
      <c r="IF33" s="97"/>
      <c r="IG33" s="97"/>
      <c r="IH33" s="97"/>
      <c r="II33" s="97"/>
      <c r="IJ33" s="97"/>
    </row>
    <row r="34" spans="1:244" s="100" customFormat="1">
      <c r="A34" s="106" t="s">
        <v>42</v>
      </c>
      <c r="B34" s="107" t="s">
        <v>267</v>
      </c>
      <c r="C34" s="107" t="s">
        <v>843</v>
      </c>
      <c r="D34" s="122">
        <v>1300015214</v>
      </c>
      <c r="E34" s="107" t="s">
        <v>144</v>
      </c>
      <c r="F34" s="107" t="s">
        <v>269</v>
      </c>
      <c r="G34" s="107" t="s">
        <v>147</v>
      </c>
      <c r="H34" s="107" t="s">
        <v>844</v>
      </c>
      <c r="I34" s="108" t="s">
        <v>51</v>
      </c>
      <c r="J34" s="107">
        <v>8.0299999999999994</v>
      </c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97"/>
      <c r="BF34" s="97"/>
      <c r="BG34" s="97"/>
      <c r="BH34" s="97"/>
      <c r="BI34" s="97"/>
      <c r="BJ34" s="97"/>
      <c r="BK34" s="97"/>
      <c r="BL34" s="97"/>
      <c r="BM34" s="97"/>
      <c r="BN34" s="97"/>
      <c r="BO34" s="97"/>
      <c r="BP34" s="97"/>
      <c r="BQ34" s="97"/>
      <c r="BR34" s="97"/>
      <c r="BS34" s="97"/>
      <c r="BT34" s="97"/>
      <c r="BU34" s="97"/>
      <c r="BV34" s="97"/>
      <c r="BW34" s="97"/>
      <c r="BX34" s="97"/>
      <c r="BY34" s="97"/>
      <c r="BZ34" s="97"/>
      <c r="CA34" s="97"/>
      <c r="CB34" s="97"/>
      <c r="CC34" s="97"/>
      <c r="CD34" s="97"/>
      <c r="CE34" s="97"/>
      <c r="CF34" s="97"/>
      <c r="CG34" s="97"/>
      <c r="CH34" s="97"/>
      <c r="CI34" s="97"/>
      <c r="CJ34" s="97"/>
      <c r="CK34" s="97"/>
      <c r="CL34" s="97"/>
      <c r="CM34" s="97"/>
      <c r="CN34" s="97"/>
      <c r="CO34" s="97"/>
      <c r="CP34" s="97"/>
      <c r="CQ34" s="97"/>
      <c r="CR34" s="97"/>
      <c r="CS34" s="97"/>
      <c r="CT34" s="97"/>
      <c r="CU34" s="97"/>
      <c r="CV34" s="97"/>
      <c r="CW34" s="97"/>
      <c r="CX34" s="97"/>
      <c r="CY34" s="97"/>
      <c r="CZ34" s="97"/>
      <c r="DA34" s="97"/>
      <c r="DB34" s="97"/>
      <c r="DC34" s="97"/>
      <c r="DD34" s="97"/>
      <c r="DE34" s="97"/>
      <c r="DF34" s="97"/>
      <c r="DG34" s="97"/>
      <c r="DH34" s="97"/>
      <c r="DI34" s="97"/>
      <c r="DJ34" s="97"/>
      <c r="DK34" s="97"/>
      <c r="DL34" s="97"/>
      <c r="DM34" s="97"/>
      <c r="DN34" s="97"/>
      <c r="DO34" s="97"/>
      <c r="DP34" s="97"/>
      <c r="DQ34" s="97"/>
      <c r="DR34" s="97"/>
      <c r="DS34" s="97"/>
      <c r="DT34" s="97"/>
      <c r="DU34" s="97"/>
      <c r="DV34" s="97"/>
      <c r="DW34" s="97"/>
      <c r="DX34" s="97"/>
      <c r="DY34" s="97"/>
      <c r="DZ34" s="97"/>
      <c r="EA34" s="97"/>
      <c r="EB34" s="97"/>
      <c r="EC34" s="97"/>
      <c r="ED34" s="97"/>
      <c r="EE34" s="97"/>
      <c r="EF34" s="97"/>
      <c r="EG34" s="97"/>
      <c r="EH34" s="97"/>
      <c r="EI34" s="97"/>
      <c r="EJ34" s="97"/>
      <c r="EK34" s="97"/>
      <c r="EL34" s="97"/>
      <c r="EM34" s="97"/>
      <c r="EN34" s="97"/>
      <c r="EO34" s="97"/>
      <c r="EP34" s="97"/>
      <c r="EQ34" s="97"/>
      <c r="ER34" s="97"/>
      <c r="ES34" s="97"/>
      <c r="ET34" s="97"/>
      <c r="EU34" s="97"/>
      <c r="EV34" s="97"/>
      <c r="EW34" s="97"/>
      <c r="EX34" s="97"/>
      <c r="EY34" s="97"/>
      <c r="EZ34" s="97"/>
      <c r="FA34" s="97"/>
      <c r="FB34" s="97"/>
      <c r="FC34" s="97"/>
      <c r="FD34" s="97"/>
      <c r="FE34" s="97"/>
      <c r="FF34" s="97"/>
      <c r="FG34" s="97"/>
      <c r="FH34" s="97"/>
      <c r="FI34" s="97"/>
      <c r="FJ34" s="97"/>
      <c r="FK34" s="97"/>
      <c r="FL34" s="97"/>
      <c r="FM34" s="97"/>
      <c r="FN34" s="97"/>
      <c r="FO34" s="97"/>
      <c r="FP34" s="97"/>
      <c r="FQ34" s="97"/>
      <c r="FR34" s="97"/>
      <c r="FS34" s="97"/>
      <c r="FT34" s="97"/>
      <c r="FU34" s="97"/>
      <c r="FV34" s="97"/>
      <c r="FW34" s="97"/>
      <c r="FX34" s="97"/>
      <c r="FY34" s="97"/>
      <c r="FZ34" s="97"/>
      <c r="GA34" s="97"/>
      <c r="GB34" s="97"/>
      <c r="GC34" s="97"/>
      <c r="GD34" s="97"/>
      <c r="GE34" s="97"/>
      <c r="GF34" s="97"/>
      <c r="GG34" s="97"/>
      <c r="GH34" s="97"/>
      <c r="GI34" s="97"/>
      <c r="GJ34" s="97"/>
      <c r="GK34" s="97"/>
      <c r="GL34" s="97"/>
      <c r="GM34" s="97"/>
      <c r="GN34" s="97"/>
      <c r="GO34" s="97"/>
      <c r="GP34" s="97"/>
      <c r="GQ34" s="97"/>
      <c r="GR34" s="97"/>
      <c r="GS34" s="97"/>
      <c r="GT34" s="97"/>
      <c r="GU34" s="97"/>
      <c r="GV34" s="97"/>
      <c r="GW34" s="97"/>
      <c r="GX34" s="97"/>
      <c r="GY34" s="97"/>
      <c r="GZ34" s="97"/>
      <c r="HA34" s="97"/>
      <c r="HB34" s="97"/>
      <c r="HC34" s="97"/>
      <c r="HD34" s="97"/>
      <c r="HE34" s="97"/>
      <c r="HF34" s="97"/>
      <c r="HG34" s="97"/>
      <c r="HH34" s="97"/>
      <c r="HI34" s="97"/>
      <c r="HJ34" s="97"/>
      <c r="HK34" s="97"/>
      <c r="HL34" s="97"/>
      <c r="HM34" s="97"/>
      <c r="HN34" s="97"/>
      <c r="HO34" s="97"/>
      <c r="HP34" s="97"/>
      <c r="HQ34" s="97"/>
      <c r="HR34" s="97"/>
      <c r="HS34" s="97"/>
      <c r="HT34" s="97"/>
      <c r="HU34" s="97"/>
      <c r="HV34" s="97"/>
      <c r="HW34" s="97"/>
      <c r="HX34" s="97"/>
      <c r="HY34" s="97"/>
      <c r="HZ34" s="97"/>
      <c r="IA34" s="97"/>
      <c r="IB34" s="97"/>
      <c r="IC34" s="97"/>
      <c r="ID34" s="97"/>
      <c r="IE34" s="97"/>
      <c r="IF34" s="97"/>
      <c r="IG34" s="97"/>
      <c r="IH34" s="97"/>
      <c r="II34" s="97"/>
      <c r="IJ34" s="97"/>
    </row>
    <row r="35" spans="1:244">
      <c r="A35" s="109" t="s">
        <v>42</v>
      </c>
      <c r="B35" s="110" t="s">
        <v>267</v>
      </c>
      <c r="C35" s="110" t="s">
        <v>268</v>
      </c>
      <c r="D35" s="111">
        <v>1300015215</v>
      </c>
      <c r="E35" s="110" t="s">
        <v>45</v>
      </c>
      <c r="F35" s="110" t="s">
        <v>269</v>
      </c>
      <c r="G35" s="110" t="s">
        <v>49</v>
      </c>
      <c r="H35" s="110" t="s">
        <v>844</v>
      </c>
      <c r="I35" s="111" t="s">
        <v>51</v>
      </c>
      <c r="J35" s="110">
        <v>0</v>
      </c>
    </row>
    <row r="36" spans="1:244" s="98" customFormat="1">
      <c r="A36" s="106" t="s">
        <v>42</v>
      </c>
      <c r="B36" s="107" t="s">
        <v>272</v>
      </c>
      <c r="C36" s="107" t="s">
        <v>845</v>
      </c>
      <c r="D36" s="122">
        <v>1300015127</v>
      </c>
      <c r="E36" s="107" t="s">
        <v>144</v>
      </c>
      <c r="F36" s="107" t="s">
        <v>274</v>
      </c>
      <c r="G36" s="107" t="s">
        <v>147</v>
      </c>
      <c r="H36" s="107" t="s">
        <v>846</v>
      </c>
      <c r="I36" s="108" t="s">
        <v>51</v>
      </c>
      <c r="J36" s="107">
        <v>0.02</v>
      </c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  <c r="BC36" s="97"/>
      <c r="BD36" s="97"/>
      <c r="BE36" s="97"/>
      <c r="BF36" s="97"/>
      <c r="BG36" s="97"/>
      <c r="BH36" s="97"/>
      <c r="BI36" s="97"/>
      <c r="BJ36" s="97"/>
      <c r="BK36" s="97"/>
      <c r="BL36" s="97"/>
      <c r="BM36" s="97"/>
      <c r="BN36" s="97"/>
      <c r="BO36" s="97"/>
      <c r="BP36" s="97"/>
      <c r="BQ36" s="97"/>
      <c r="BR36" s="97"/>
      <c r="BS36" s="97"/>
      <c r="BT36" s="97"/>
      <c r="BU36" s="97"/>
      <c r="BV36" s="97"/>
      <c r="BW36" s="97"/>
      <c r="BX36" s="97"/>
      <c r="BY36" s="97"/>
      <c r="BZ36" s="97"/>
      <c r="CA36" s="97"/>
      <c r="CB36" s="97"/>
      <c r="CC36" s="97"/>
      <c r="CD36" s="97"/>
      <c r="CE36" s="97"/>
      <c r="CF36" s="97"/>
      <c r="CG36" s="97"/>
      <c r="CH36" s="97"/>
      <c r="CI36" s="97"/>
      <c r="CJ36" s="97"/>
      <c r="CK36" s="97"/>
      <c r="CL36" s="97"/>
      <c r="CM36" s="97"/>
      <c r="CN36" s="97"/>
      <c r="CO36" s="97"/>
      <c r="CP36" s="97"/>
      <c r="CQ36" s="97"/>
      <c r="CR36" s="97"/>
      <c r="CS36" s="97"/>
      <c r="CT36" s="97"/>
      <c r="CU36" s="97"/>
      <c r="CV36" s="97"/>
      <c r="CW36" s="97"/>
      <c r="CX36" s="97"/>
      <c r="CY36" s="97"/>
      <c r="CZ36" s="97"/>
      <c r="DA36" s="97"/>
      <c r="DB36" s="97"/>
      <c r="DC36" s="97"/>
      <c r="DD36" s="97"/>
      <c r="DE36" s="97"/>
      <c r="DF36" s="97"/>
      <c r="DG36" s="97"/>
      <c r="DH36" s="97"/>
      <c r="DI36" s="97"/>
      <c r="DJ36" s="97"/>
      <c r="DK36" s="97"/>
      <c r="DL36" s="97"/>
      <c r="DM36" s="97"/>
      <c r="DN36" s="97"/>
      <c r="DO36" s="97"/>
      <c r="DP36" s="97"/>
      <c r="DQ36" s="97"/>
      <c r="DR36" s="97"/>
      <c r="DS36" s="97"/>
      <c r="DT36" s="97"/>
      <c r="DU36" s="97"/>
      <c r="DV36" s="97"/>
      <c r="DW36" s="97"/>
      <c r="DX36" s="97"/>
      <c r="DY36" s="97"/>
      <c r="DZ36" s="97"/>
      <c r="EA36" s="97"/>
      <c r="EB36" s="97"/>
      <c r="EC36" s="97"/>
      <c r="ED36" s="97"/>
      <c r="EE36" s="97"/>
      <c r="EF36" s="97"/>
      <c r="EG36" s="97"/>
      <c r="EH36" s="97"/>
      <c r="EI36" s="97"/>
      <c r="EJ36" s="97"/>
      <c r="EK36" s="97"/>
      <c r="EL36" s="97"/>
      <c r="EM36" s="97"/>
      <c r="EN36" s="97"/>
      <c r="EO36" s="97"/>
      <c r="EP36" s="97"/>
      <c r="EQ36" s="97"/>
      <c r="ER36" s="97"/>
      <c r="ES36" s="97"/>
      <c r="ET36" s="97"/>
      <c r="EU36" s="97"/>
      <c r="EV36" s="97"/>
      <c r="EW36" s="97"/>
      <c r="EX36" s="97"/>
      <c r="EY36" s="97"/>
      <c r="EZ36" s="97"/>
      <c r="FA36" s="97"/>
      <c r="FB36" s="97"/>
      <c r="FC36" s="97"/>
      <c r="FD36" s="97"/>
      <c r="FE36" s="97"/>
      <c r="FF36" s="97"/>
      <c r="FG36" s="97"/>
      <c r="FH36" s="97"/>
      <c r="FI36" s="97"/>
      <c r="FJ36" s="97"/>
      <c r="FK36" s="97"/>
      <c r="FL36" s="97"/>
      <c r="FM36" s="97"/>
      <c r="FN36" s="97"/>
      <c r="FO36" s="97"/>
      <c r="FP36" s="97"/>
      <c r="FQ36" s="97"/>
      <c r="FR36" s="97"/>
      <c r="FS36" s="97"/>
      <c r="FT36" s="97"/>
      <c r="FU36" s="97"/>
      <c r="FV36" s="97"/>
      <c r="FW36" s="97"/>
      <c r="FX36" s="97"/>
      <c r="FY36" s="97"/>
      <c r="FZ36" s="97"/>
      <c r="GA36" s="97"/>
      <c r="GB36" s="97"/>
      <c r="GC36" s="97"/>
      <c r="GD36" s="97"/>
      <c r="GE36" s="97"/>
      <c r="GF36" s="97"/>
      <c r="GG36" s="97"/>
      <c r="GH36" s="97"/>
      <c r="GI36" s="97"/>
      <c r="GJ36" s="97"/>
      <c r="GK36" s="97"/>
      <c r="GL36" s="97"/>
      <c r="GM36" s="97"/>
      <c r="GN36" s="97"/>
      <c r="GO36" s="97"/>
      <c r="GP36" s="97"/>
      <c r="GQ36" s="97"/>
      <c r="GR36" s="97"/>
      <c r="GS36" s="97"/>
      <c r="GT36" s="97"/>
      <c r="GU36" s="97"/>
      <c r="GV36" s="97"/>
      <c r="GW36" s="97"/>
      <c r="GX36" s="97"/>
      <c r="GY36" s="97"/>
      <c r="GZ36" s="97"/>
      <c r="HA36" s="97"/>
      <c r="HB36" s="97"/>
      <c r="HC36" s="97"/>
      <c r="HD36" s="97"/>
      <c r="HE36" s="97"/>
      <c r="HF36" s="97"/>
      <c r="HG36" s="97"/>
      <c r="HH36" s="97"/>
      <c r="HI36" s="97"/>
      <c r="HJ36" s="97"/>
      <c r="HK36" s="97"/>
      <c r="HL36" s="97"/>
      <c r="HM36" s="97"/>
      <c r="HN36" s="97"/>
      <c r="HO36" s="97"/>
      <c r="HP36" s="97"/>
      <c r="HQ36" s="97"/>
      <c r="HR36" s="97"/>
      <c r="HS36" s="97"/>
      <c r="HT36" s="97"/>
      <c r="HU36" s="97"/>
      <c r="HV36" s="97"/>
      <c r="HW36" s="97"/>
      <c r="HX36" s="97"/>
      <c r="HY36" s="97"/>
      <c r="HZ36" s="97"/>
      <c r="IA36" s="97"/>
      <c r="IB36" s="97"/>
      <c r="IC36" s="97"/>
      <c r="ID36" s="97"/>
      <c r="IE36" s="97"/>
      <c r="IF36" s="97"/>
      <c r="IG36" s="97"/>
      <c r="IH36" s="97"/>
      <c r="II36" s="97"/>
      <c r="IJ36" s="97"/>
    </row>
    <row r="37" spans="1:244">
      <c r="A37" s="109" t="s">
        <v>42</v>
      </c>
      <c r="B37" s="110" t="s">
        <v>272</v>
      </c>
      <c r="C37" s="110" t="s">
        <v>273</v>
      </c>
      <c r="D37" s="111">
        <v>1300015128</v>
      </c>
      <c r="E37" s="110" t="s">
        <v>45</v>
      </c>
      <c r="F37" s="110" t="s">
        <v>274</v>
      </c>
      <c r="G37" s="110" t="s">
        <v>49</v>
      </c>
      <c r="H37" s="110" t="s">
        <v>846</v>
      </c>
      <c r="I37" s="111" t="s">
        <v>51</v>
      </c>
      <c r="J37" s="110">
        <v>0</v>
      </c>
    </row>
    <row r="38" spans="1:244">
      <c r="A38" s="116" t="s">
        <v>57</v>
      </c>
      <c r="B38" s="117" t="s">
        <v>282</v>
      </c>
      <c r="C38" s="117" t="s">
        <v>283</v>
      </c>
      <c r="D38" s="118">
        <v>1300015173</v>
      </c>
      <c r="E38" s="117" t="s">
        <v>45</v>
      </c>
      <c r="F38" s="117" t="s">
        <v>284</v>
      </c>
      <c r="G38" s="117" t="s">
        <v>49</v>
      </c>
      <c r="H38" s="117" t="s">
        <v>847</v>
      </c>
      <c r="I38" s="118" t="s">
        <v>51</v>
      </c>
      <c r="J38" s="117">
        <v>0</v>
      </c>
    </row>
    <row r="39" spans="1:244">
      <c r="A39" s="106" t="s">
        <v>64</v>
      </c>
      <c r="B39" s="107" t="s">
        <v>848</v>
      </c>
      <c r="C39" s="107" t="s">
        <v>848</v>
      </c>
      <c r="D39" s="122">
        <v>1300015228</v>
      </c>
      <c r="E39" s="107" t="s">
        <v>217</v>
      </c>
      <c r="F39" s="107" t="s">
        <v>688</v>
      </c>
      <c r="G39" s="107" t="s">
        <v>220</v>
      </c>
      <c r="H39" s="107" t="s">
        <v>690</v>
      </c>
      <c r="I39" s="108" t="s">
        <v>51</v>
      </c>
      <c r="J39" s="107">
        <v>22.706</v>
      </c>
    </row>
    <row r="40" spans="1:244" s="98" customFormat="1">
      <c r="A40" s="106" t="s">
        <v>42</v>
      </c>
      <c r="B40" s="107" t="s">
        <v>294</v>
      </c>
      <c r="C40" s="107" t="s">
        <v>849</v>
      </c>
      <c r="D40" s="122">
        <v>1300015266</v>
      </c>
      <c r="E40" s="107" t="s">
        <v>144</v>
      </c>
      <c r="F40" s="107" t="s">
        <v>296</v>
      </c>
      <c r="G40" s="107" t="s">
        <v>147</v>
      </c>
      <c r="H40" s="107" t="s">
        <v>850</v>
      </c>
      <c r="I40" s="108" t="s">
        <v>51</v>
      </c>
      <c r="J40" s="107">
        <v>2.8000000000000001E-2</v>
      </c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  <c r="BP40" s="97"/>
      <c r="BQ40" s="97"/>
      <c r="BR40" s="97"/>
      <c r="BS40" s="97"/>
      <c r="BT40" s="97"/>
      <c r="BU40" s="97"/>
      <c r="BV40" s="97"/>
      <c r="BW40" s="97"/>
      <c r="BX40" s="97"/>
      <c r="BY40" s="97"/>
      <c r="BZ40" s="97"/>
      <c r="CA40" s="97"/>
      <c r="CB40" s="97"/>
      <c r="CC40" s="97"/>
      <c r="CD40" s="97"/>
      <c r="CE40" s="97"/>
      <c r="CF40" s="97"/>
      <c r="CG40" s="97"/>
      <c r="CH40" s="97"/>
      <c r="CI40" s="97"/>
      <c r="CJ40" s="97"/>
      <c r="CK40" s="97"/>
      <c r="CL40" s="97"/>
      <c r="CM40" s="97"/>
      <c r="CN40" s="97"/>
      <c r="CO40" s="97"/>
      <c r="CP40" s="97"/>
      <c r="CQ40" s="97"/>
      <c r="CR40" s="97"/>
      <c r="CS40" s="97"/>
      <c r="CT40" s="97"/>
      <c r="CU40" s="97"/>
      <c r="CV40" s="97"/>
      <c r="CW40" s="97"/>
      <c r="CX40" s="97"/>
      <c r="CY40" s="97"/>
      <c r="CZ40" s="97"/>
      <c r="DA40" s="97"/>
      <c r="DB40" s="97"/>
      <c r="DC40" s="97"/>
      <c r="DD40" s="97"/>
      <c r="DE40" s="97"/>
      <c r="DF40" s="97"/>
      <c r="DG40" s="97"/>
      <c r="DH40" s="97"/>
      <c r="DI40" s="97"/>
      <c r="DJ40" s="97"/>
      <c r="DK40" s="97"/>
      <c r="DL40" s="97"/>
      <c r="DM40" s="97"/>
      <c r="DN40" s="97"/>
      <c r="DO40" s="97"/>
      <c r="DP40" s="97"/>
      <c r="DQ40" s="97"/>
      <c r="DR40" s="97"/>
      <c r="DS40" s="97"/>
      <c r="DT40" s="97"/>
      <c r="DU40" s="97"/>
      <c r="DV40" s="97"/>
      <c r="DW40" s="97"/>
      <c r="DX40" s="97"/>
      <c r="DY40" s="97"/>
      <c r="DZ40" s="97"/>
      <c r="EA40" s="97"/>
      <c r="EB40" s="97"/>
      <c r="EC40" s="97"/>
      <c r="ED40" s="97"/>
      <c r="EE40" s="97"/>
      <c r="EF40" s="97"/>
      <c r="EG40" s="97"/>
      <c r="EH40" s="97"/>
      <c r="EI40" s="97"/>
      <c r="EJ40" s="97"/>
      <c r="EK40" s="97"/>
      <c r="EL40" s="97"/>
      <c r="EM40" s="97"/>
      <c r="EN40" s="97"/>
      <c r="EO40" s="97"/>
      <c r="EP40" s="97"/>
      <c r="EQ40" s="97"/>
      <c r="ER40" s="97"/>
      <c r="ES40" s="97"/>
      <c r="ET40" s="97"/>
      <c r="EU40" s="97"/>
      <c r="EV40" s="97"/>
      <c r="EW40" s="97"/>
      <c r="EX40" s="97"/>
      <c r="EY40" s="97"/>
      <c r="EZ40" s="97"/>
      <c r="FA40" s="97"/>
      <c r="FB40" s="97"/>
      <c r="FC40" s="97"/>
      <c r="FD40" s="97"/>
      <c r="FE40" s="97"/>
      <c r="FF40" s="97"/>
      <c r="FG40" s="97"/>
      <c r="FH40" s="97"/>
      <c r="FI40" s="97"/>
      <c r="FJ40" s="97"/>
      <c r="FK40" s="97"/>
      <c r="FL40" s="97"/>
      <c r="FM40" s="97"/>
      <c r="FN40" s="97"/>
      <c r="FO40" s="97"/>
      <c r="FP40" s="97"/>
      <c r="FQ40" s="97"/>
      <c r="FR40" s="97"/>
      <c r="FS40" s="97"/>
      <c r="FT40" s="97"/>
      <c r="FU40" s="97"/>
      <c r="FV40" s="97"/>
      <c r="FW40" s="97"/>
      <c r="FX40" s="97"/>
      <c r="FY40" s="97"/>
      <c r="FZ40" s="97"/>
      <c r="GA40" s="97"/>
      <c r="GB40" s="97"/>
      <c r="GC40" s="97"/>
      <c r="GD40" s="97"/>
      <c r="GE40" s="97"/>
      <c r="GF40" s="97"/>
      <c r="GG40" s="97"/>
      <c r="GH40" s="97"/>
      <c r="GI40" s="97"/>
      <c r="GJ40" s="97"/>
      <c r="GK40" s="97"/>
      <c r="GL40" s="97"/>
      <c r="GM40" s="97"/>
      <c r="GN40" s="97"/>
      <c r="GO40" s="97"/>
      <c r="GP40" s="97"/>
      <c r="GQ40" s="97"/>
      <c r="GR40" s="97"/>
      <c r="GS40" s="97"/>
      <c r="GT40" s="97"/>
      <c r="GU40" s="97"/>
      <c r="GV40" s="97"/>
      <c r="GW40" s="97"/>
      <c r="GX40" s="97"/>
      <c r="GY40" s="97"/>
      <c r="GZ40" s="97"/>
      <c r="HA40" s="97"/>
      <c r="HB40" s="97"/>
      <c r="HC40" s="97"/>
      <c r="HD40" s="97"/>
      <c r="HE40" s="97"/>
      <c r="HF40" s="97"/>
      <c r="HG40" s="97"/>
      <c r="HH40" s="97"/>
      <c r="HI40" s="97"/>
      <c r="HJ40" s="97"/>
      <c r="HK40" s="97"/>
      <c r="HL40" s="97"/>
      <c r="HM40" s="97"/>
      <c r="HN40" s="97"/>
      <c r="HO40" s="97"/>
      <c r="HP40" s="97"/>
      <c r="HQ40" s="97"/>
      <c r="HR40" s="97"/>
      <c r="HS40" s="97"/>
      <c r="HT40" s="97"/>
      <c r="HU40" s="97"/>
      <c r="HV40" s="97"/>
      <c r="HW40" s="97"/>
      <c r="HX40" s="97"/>
      <c r="HY40" s="97"/>
      <c r="HZ40" s="97"/>
      <c r="IA40" s="97"/>
      <c r="IB40" s="97"/>
      <c r="IC40" s="97"/>
      <c r="ID40" s="97"/>
      <c r="IE40" s="97"/>
      <c r="IF40" s="97"/>
      <c r="IG40" s="97"/>
      <c r="IH40" s="97"/>
      <c r="II40" s="97"/>
      <c r="IJ40" s="97"/>
    </row>
    <row r="41" spans="1:244">
      <c r="A41" s="109" t="s">
        <v>42</v>
      </c>
      <c r="B41" s="110" t="s">
        <v>294</v>
      </c>
      <c r="C41" s="110" t="s">
        <v>295</v>
      </c>
      <c r="D41" s="111">
        <v>1300015267</v>
      </c>
      <c r="E41" s="110" t="s">
        <v>45</v>
      </c>
      <c r="F41" s="110" t="s">
        <v>296</v>
      </c>
      <c r="G41" s="110" t="s">
        <v>49</v>
      </c>
      <c r="H41" s="110" t="s">
        <v>850</v>
      </c>
      <c r="I41" s="111" t="s">
        <v>51</v>
      </c>
      <c r="J41" s="110">
        <v>0</v>
      </c>
    </row>
    <row r="42" spans="1:244" s="98" customFormat="1">
      <c r="A42" s="106" t="s">
        <v>42</v>
      </c>
      <c r="B42" s="107" t="s">
        <v>851</v>
      </c>
      <c r="C42" s="107" t="s">
        <v>851</v>
      </c>
      <c r="D42" s="122">
        <v>1300015202</v>
      </c>
      <c r="E42" s="107" t="s">
        <v>32</v>
      </c>
      <c r="F42" s="107" t="s">
        <v>703</v>
      </c>
      <c r="G42" s="117" t="s">
        <v>36</v>
      </c>
      <c r="H42" s="117" t="s">
        <v>705</v>
      </c>
      <c r="I42" s="118" t="s">
        <v>51</v>
      </c>
      <c r="J42" s="117">
        <v>1</v>
      </c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97"/>
      <c r="AL42" s="97"/>
      <c r="AM42" s="97"/>
      <c r="AN42" s="97"/>
      <c r="AO42" s="97"/>
      <c r="AP42" s="97"/>
      <c r="AQ42" s="97"/>
      <c r="AR42" s="97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  <c r="BP42" s="97"/>
      <c r="BQ42" s="97"/>
      <c r="BR42" s="97"/>
      <c r="BS42" s="97"/>
      <c r="BT42" s="97"/>
      <c r="BU42" s="97"/>
      <c r="BV42" s="97"/>
      <c r="BW42" s="97"/>
      <c r="BX42" s="97"/>
      <c r="BY42" s="97"/>
      <c r="BZ42" s="97"/>
      <c r="CA42" s="97"/>
      <c r="CB42" s="97"/>
      <c r="CC42" s="97"/>
      <c r="CD42" s="97"/>
      <c r="CE42" s="97"/>
      <c r="CF42" s="97"/>
      <c r="CG42" s="97"/>
      <c r="CH42" s="97"/>
      <c r="CI42" s="97"/>
      <c r="CJ42" s="97"/>
      <c r="CK42" s="97"/>
      <c r="CL42" s="97"/>
      <c r="CM42" s="97"/>
      <c r="CN42" s="97"/>
      <c r="CO42" s="97"/>
      <c r="CP42" s="97"/>
      <c r="CQ42" s="97"/>
      <c r="CR42" s="97"/>
      <c r="CS42" s="97"/>
      <c r="CT42" s="97"/>
      <c r="CU42" s="97"/>
      <c r="CV42" s="97"/>
      <c r="CW42" s="97"/>
      <c r="CX42" s="97"/>
      <c r="CY42" s="97"/>
      <c r="CZ42" s="97"/>
      <c r="DA42" s="97"/>
      <c r="DB42" s="97"/>
      <c r="DC42" s="97"/>
      <c r="DD42" s="97"/>
      <c r="DE42" s="97"/>
      <c r="DF42" s="97"/>
      <c r="DG42" s="97"/>
      <c r="DH42" s="97"/>
      <c r="DI42" s="97"/>
      <c r="DJ42" s="97"/>
      <c r="DK42" s="97"/>
      <c r="DL42" s="97"/>
      <c r="DM42" s="97"/>
      <c r="DN42" s="97"/>
      <c r="DO42" s="97"/>
      <c r="DP42" s="97"/>
      <c r="DQ42" s="97"/>
      <c r="DR42" s="97"/>
      <c r="DS42" s="97"/>
      <c r="DT42" s="97"/>
      <c r="DU42" s="97"/>
      <c r="DV42" s="97"/>
      <c r="DW42" s="97"/>
      <c r="DX42" s="97"/>
      <c r="DY42" s="97"/>
      <c r="DZ42" s="97"/>
      <c r="EA42" s="97"/>
      <c r="EB42" s="97"/>
      <c r="EC42" s="97"/>
      <c r="ED42" s="97"/>
      <c r="EE42" s="97"/>
      <c r="EF42" s="97"/>
      <c r="EG42" s="97"/>
      <c r="EH42" s="97"/>
      <c r="EI42" s="97"/>
      <c r="EJ42" s="97"/>
      <c r="EK42" s="97"/>
      <c r="EL42" s="97"/>
      <c r="EM42" s="97"/>
      <c r="EN42" s="97"/>
      <c r="EO42" s="97"/>
      <c r="EP42" s="97"/>
      <c r="EQ42" s="97"/>
      <c r="ER42" s="97"/>
      <c r="ES42" s="97"/>
      <c r="ET42" s="97"/>
      <c r="EU42" s="97"/>
      <c r="EV42" s="97"/>
      <c r="EW42" s="97"/>
      <c r="EX42" s="97"/>
      <c r="EY42" s="97"/>
      <c r="EZ42" s="97"/>
      <c r="FA42" s="97"/>
      <c r="FB42" s="97"/>
      <c r="FC42" s="97"/>
      <c r="FD42" s="97"/>
      <c r="FE42" s="97"/>
      <c r="FF42" s="97"/>
      <c r="FG42" s="97"/>
      <c r="FH42" s="97"/>
      <c r="FI42" s="97"/>
      <c r="FJ42" s="97"/>
      <c r="FK42" s="97"/>
      <c r="FL42" s="97"/>
      <c r="FM42" s="97"/>
      <c r="FN42" s="97"/>
      <c r="FO42" s="97"/>
      <c r="FP42" s="97"/>
      <c r="FQ42" s="97"/>
      <c r="FR42" s="97"/>
      <c r="FS42" s="97"/>
      <c r="FT42" s="97"/>
      <c r="FU42" s="97"/>
      <c r="FV42" s="97"/>
      <c r="FW42" s="97"/>
      <c r="FX42" s="97"/>
      <c r="FY42" s="97"/>
      <c r="FZ42" s="97"/>
      <c r="GA42" s="97"/>
      <c r="GB42" s="97"/>
      <c r="GC42" s="97"/>
      <c r="GD42" s="97"/>
      <c r="GE42" s="97"/>
      <c r="GF42" s="97"/>
      <c r="GG42" s="97"/>
      <c r="GH42" s="97"/>
      <c r="GI42" s="97"/>
      <c r="GJ42" s="97"/>
      <c r="GK42" s="97"/>
      <c r="GL42" s="97"/>
      <c r="GM42" s="97"/>
      <c r="GN42" s="97"/>
      <c r="GO42" s="97"/>
      <c r="GP42" s="97"/>
      <c r="GQ42" s="97"/>
      <c r="GR42" s="97"/>
      <c r="GS42" s="97"/>
      <c r="GT42" s="97"/>
      <c r="GU42" s="97"/>
      <c r="GV42" s="97"/>
      <c r="GW42" s="97"/>
      <c r="GX42" s="97"/>
      <c r="GY42" s="97"/>
      <c r="GZ42" s="97"/>
      <c r="HA42" s="97"/>
      <c r="HB42" s="97"/>
      <c r="HC42" s="97"/>
      <c r="HD42" s="97"/>
      <c r="HE42" s="97"/>
      <c r="HF42" s="97"/>
      <c r="HG42" s="97"/>
      <c r="HH42" s="97"/>
      <c r="HI42" s="97"/>
      <c r="HJ42" s="97"/>
      <c r="HK42" s="97"/>
      <c r="HL42" s="97"/>
      <c r="HM42" s="97"/>
      <c r="HN42" s="97"/>
      <c r="HO42" s="97"/>
      <c r="HP42" s="97"/>
      <c r="HQ42" s="97"/>
      <c r="HR42" s="97"/>
      <c r="HS42" s="97"/>
      <c r="HT42" s="97"/>
      <c r="HU42" s="97"/>
      <c r="HV42" s="97"/>
      <c r="HW42" s="97"/>
      <c r="HX42" s="97"/>
      <c r="HY42" s="97"/>
      <c r="HZ42" s="97"/>
      <c r="IA42" s="97"/>
      <c r="IB42" s="97"/>
      <c r="IC42" s="97"/>
      <c r="ID42" s="97"/>
      <c r="IE42" s="97"/>
      <c r="IF42" s="97"/>
      <c r="IG42" s="97"/>
      <c r="IH42" s="97"/>
      <c r="II42" s="97"/>
      <c r="IJ42" s="97"/>
    </row>
    <row r="43" spans="1:244">
      <c r="A43" s="106" t="s">
        <v>64</v>
      </c>
      <c r="B43" s="107" t="s">
        <v>852</v>
      </c>
      <c r="C43" s="107" t="s">
        <v>852</v>
      </c>
      <c r="D43" s="122">
        <v>1300015203</v>
      </c>
      <c r="E43" s="107" t="s">
        <v>217</v>
      </c>
      <c r="F43" s="107" t="s">
        <v>709</v>
      </c>
      <c r="G43" s="107" t="s">
        <v>220</v>
      </c>
      <c r="H43" s="107" t="s">
        <v>711</v>
      </c>
      <c r="I43" s="108" t="s">
        <v>51</v>
      </c>
      <c r="J43" s="107">
        <v>17.568000000000001</v>
      </c>
    </row>
    <row r="44" spans="1:244">
      <c r="A44" s="106" t="s">
        <v>42</v>
      </c>
      <c r="B44" s="107" t="s">
        <v>309</v>
      </c>
      <c r="C44" s="107" t="s">
        <v>853</v>
      </c>
      <c r="D44" s="122">
        <v>1300015248</v>
      </c>
      <c r="E44" s="107" t="s">
        <v>144</v>
      </c>
      <c r="F44" s="107" t="s">
        <v>311</v>
      </c>
      <c r="G44" s="107" t="s">
        <v>147</v>
      </c>
      <c r="H44" s="107" t="s">
        <v>854</v>
      </c>
      <c r="I44" s="108" t="s">
        <v>51</v>
      </c>
      <c r="J44" s="107">
        <v>0.1</v>
      </c>
    </row>
    <row r="45" spans="1:244">
      <c r="A45" s="109" t="s">
        <v>42</v>
      </c>
      <c r="B45" s="110" t="s">
        <v>309</v>
      </c>
      <c r="C45" s="110" t="s">
        <v>310</v>
      </c>
      <c r="D45" s="111">
        <v>1300015249</v>
      </c>
      <c r="E45" s="110" t="s">
        <v>45</v>
      </c>
      <c r="F45" s="110" t="s">
        <v>311</v>
      </c>
      <c r="G45" s="110" t="s">
        <v>49</v>
      </c>
      <c r="H45" s="110" t="s">
        <v>854</v>
      </c>
      <c r="I45" s="111" t="s">
        <v>51</v>
      </c>
      <c r="J45" s="110">
        <v>0</v>
      </c>
    </row>
    <row r="46" spans="1:244">
      <c r="A46" s="106" t="s">
        <v>42</v>
      </c>
      <c r="B46" s="107" t="s">
        <v>318</v>
      </c>
      <c r="C46" s="107" t="s">
        <v>855</v>
      </c>
      <c r="D46" s="122">
        <v>1300015254</v>
      </c>
      <c r="E46" s="107" t="s">
        <v>144</v>
      </c>
      <c r="F46" s="107" t="s">
        <v>320</v>
      </c>
      <c r="G46" s="107" t="s">
        <v>147</v>
      </c>
      <c r="H46" s="107" t="s">
        <v>856</v>
      </c>
      <c r="I46" s="108" t="s">
        <v>51</v>
      </c>
      <c r="J46" s="107">
        <v>20.8</v>
      </c>
    </row>
    <row r="47" spans="1:244">
      <c r="A47" s="109" t="s">
        <v>42</v>
      </c>
      <c r="B47" s="110" t="s">
        <v>318</v>
      </c>
      <c r="C47" s="110" t="s">
        <v>319</v>
      </c>
      <c r="D47" s="111">
        <v>1300015255</v>
      </c>
      <c r="E47" s="110" t="s">
        <v>45</v>
      </c>
      <c r="F47" s="110" t="s">
        <v>320</v>
      </c>
      <c r="G47" s="110" t="s">
        <v>49</v>
      </c>
      <c r="H47" s="110" t="s">
        <v>856</v>
      </c>
      <c r="I47" s="111" t="s">
        <v>51</v>
      </c>
      <c r="J47" s="110">
        <v>0</v>
      </c>
    </row>
    <row r="48" spans="1:244">
      <c r="A48" s="106" t="s">
        <v>64</v>
      </c>
      <c r="B48" s="107" t="s">
        <v>857</v>
      </c>
      <c r="C48" s="107" t="s">
        <v>857</v>
      </c>
      <c r="D48" s="122">
        <v>1300014997</v>
      </c>
      <c r="E48" s="107" t="s">
        <v>217</v>
      </c>
      <c r="F48" s="107" t="s">
        <v>330</v>
      </c>
      <c r="G48" s="107" t="s">
        <v>220</v>
      </c>
      <c r="H48" s="107" t="s">
        <v>718</v>
      </c>
      <c r="I48" s="112" t="s">
        <v>51</v>
      </c>
      <c r="J48" s="107">
        <v>3.0680000000000001</v>
      </c>
    </row>
    <row r="49" spans="1:244">
      <c r="A49" s="106" t="s">
        <v>64</v>
      </c>
      <c r="B49" s="107" t="s">
        <v>858</v>
      </c>
      <c r="C49" s="107" t="s">
        <v>858</v>
      </c>
      <c r="D49" s="122">
        <v>1300015002</v>
      </c>
      <c r="E49" s="107" t="s">
        <v>217</v>
      </c>
      <c r="F49" s="107" t="s">
        <v>721</v>
      </c>
      <c r="G49" s="107" t="s">
        <v>220</v>
      </c>
      <c r="H49" s="107" t="s">
        <v>723</v>
      </c>
      <c r="I49" s="112" t="s">
        <v>51</v>
      </c>
      <c r="J49" s="107">
        <v>19.247</v>
      </c>
    </row>
    <row r="50" spans="1:244">
      <c r="A50" s="106" t="s">
        <v>42</v>
      </c>
      <c r="B50" s="107" t="s">
        <v>333</v>
      </c>
      <c r="C50" s="107" t="s">
        <v>334</v>
      </c>
      <c r="D50" s="122">
        <v>1300015227</v>
      </c>
      <c r="E50" s="107" t="s">
        <v>45</v>
      </c>
      <c r="F50" s="107" t="s">
        <v>121</v>
      </c>
      <c r="G50" s="107" t="s">
        <v>49</v>
      </c>
      <c r="H50" s="107" t="s">
        <v>859</v>
      </c>
      <c r="I50" s="108" t="s">
        <v>222</v>
      </c>
      <c r="J50" s="107">
        <v>119.396</v>
      </c>
    </row>
    <row r="51" spans="1:244" s="98" customFormat="1">
      <c r="A51" s="106" t="s">
        <v>64</v>
      </c>
      <c r="B51" s="107" t="s">
        <v>860</v>
      </c>
      <c r="C51" s="107" t="s">
        <v>860</v>
      </c>
      <c r="D51" s="122">
        <v>1300015004</v>
      </c>
      <c r="E51" s="107" t="s">
        <v>217</v>
      </c>
      <c r="F51" s="107" t="s">
        <v>734</v>
      </c>
      <c r="G51" s="107" t="s">
        <v>220</v>
      </c>
      <c r="H51" s="107" t="s">
        <v>736</v>
      </c>
      <c r="I51" s="112" t="s">
        <v>51</v>
      </c>
      <c r="J51" s="107">
        <v>6.8769999999999998</v>
      </c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7"/>
      <c r="AH51" s="97"/>
      <c r="AI51" s="97"/>
      <c r="AJ51" s="97"/>
      <c r="AK51" s="97"/>
      <c r="AL51" s="97"/>
      <c r="AM51" s="97"/>
      <c r="AN51" s="97"/>
      <c r="AO51" s="97"/>
      <c r="AP51" s="97"/>
      <c r="AQ51" s="97"/>
      <c r="AR51" s="97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  <c r="BP51" s="97"/>
      <c r="BQ51" s="97"/>
      <c r="BR51" s="97"/>
      <c r="BS51" s="97"/>
      <c r="BT51" s="97"/>
      <c r="BU51" s="97"/>
      <c r="BV51" s="97"/>
      <c r="BW51" s="97"/>
      <c r="BX51" s="97"/>
      <c r="BY51" s="97"/>
      <c r="BZ51" s="97"/>
      <c r="CA51" s="97"/>
      <c r="CB51" s="97"/>
      <c r="CC51" s="97"/>
      <c r="CD51" s="97"/>
      <c r="CE51" s="97"/>
      <c r="CF51" s="97"/>
      <c r="CG51" s="97"/>
      <c r="CH51" s="97"/>
      <c r="CI51" s="97"/>
      <c r="CJ51" s="97"/>
      <c r="CK51" s="97"/>
      <c r="CL51" s="97"/>
      <c r="CM51" s="97"/>
      <c r="CN51" s="97"/>
      <c r="CO51" s="97"/>
      <c r="CP51" s="97"/>
      <c r="CQ51" s="97"/>
      <c r="CR51" s="97"/>
      <c r="CS51" s="97"/>
      <c r="CT51" s="97"/>
      <c r="CU51" s="97"/>
      <c r="CV51" s="97"/>
      <c r="CW51" s="97"/>
      <c r="CX51" s="97"/>
      <c r="CY51" s="97"/>
      <c r="CZ51" s="97"/>
      <c r="DA51" s="97"/>
      <c r="DB51" s="97"/>
      <c r="DC51" s="97"/>
      <c r="DD51" s="97"/>
      <c r="DE51" s="97"/>
      <c r="DF51" s="97"/>
      <c r="DG51" s="97"/>
      <c r="DH51" s="97"/>
      <c r="DI51" s="97"/>
      <c r="DJ51" s="97"/>
      <c r="DK51" s="97"/>
      <c r="DL51" s="97"/>
      <c r="DM51" s="97"/>
      <c r="DN51" s="97"/>
      <c r="DO51" s="97"/>
      <c r="DP51" s="97"/>
      <c r="DQ51" s="97"/>
      <c r="DR51" s="97"/>
      <c r="DS51" s="97"/>
      <c r="DT51" s="97"/>
      <c r="DU51" s="97"/>
      <c r="DV51" s="97"/>
      <c r="DW51" s="97"/>
      <c r="DX51" s="97"/>
      <c r="DY51" s="97"/>
      <c r="DZ51" s="97"/>
      <c r="EA51" s="97"/>
      <c r="EB51" s="97"/>
      <c r="EC51" s="97"/>
      <c r="ED51" s="97"/>
      <c r="EE51" s="97"/>
      <c r="EF51" s="97"/>
      <c r="EG51" s="97"/>
      <c r="EH51" s="97"/>
      <c r="EI51" s="97"/>
      <c r="EJ51" s="97"/>
      <c r="EK51" s="97"/>
      <c r="EL51" s="97"/>
      <c r="EM51" s="97"/>
      <c r="EN51" s="97"/>
      <c r="EO51" s="97"/>
      <c r="EP51" s="97"/>
      <c r="EQ51" s="97"/>
      <c r="ER51" s="97"/>
      <c r="ES51" s="97"/>
      <c r="ET51" s="97"/>
      <c r="EU51" s="97"/>
      <c r="EV51" s="97"/>
      <c r="EW51" s="97"/>
      <c r="EX51" s="97"/>
      <c r="EY51" s="97"/>
      <c r="EZ51" s="97"/>
      <c r="FA51" s="97"/>
      <c r="FB51" s="97"/>
      <c r="FC51" s="97"/>
      <c r="FD51" s="97"/>
      <c r="FE51" s="97"/>
      <c r="FF51" s="97"/>
      <c r="FG51" s="97"/>
      <c r="FH51" s="97"/>
      <c r="FI51" s="97"/>
      <c r="FJ51" s="97"/>
      <c r="FK51" s="97"/>
      <c r="FL51" s="97"/>
      <c r="FM51" s="97"/>
      <c r="FN51" s="97"/>
      <c r="FO51" s="97"/>
      <c r="FP51" s="97"/>
      <c r="FQ51" s="97"/>
      <c r="FR51" s="97"/>
      <c r="FS51" s="97"/>
      <c r="FT51" s="97"/>
      <c r="FU51" s="97"/>
      <c r="FV51" s="97"/>
      <c r="FW51" s="97"/>
      <c r="FX51" s="97"/>
      <c r="FY51" s="97"/>
      <c r="FZ51" s="97"/>
      <c r="GA51" s="97"/>
      <c r="GB51" s="97"/>
      <c r="GC51" s="97"/>
      <c r="GD51" s="97"/>
      <c r="GE51" s="97"/>
      <c r="GF51" s="97"/>
      <c r="GG51" s="97"/>
      <c r="GH51" s="97"/>
      <c r="GI51" s="97"/>
      <c r="GJ51" s="97"/>
      <c r="GK51" s="97"/>
      <c r="GL51" s="97"/>
      <c r="GM51" s="97"/>
      <c r="GN51" s="97"/>
      <c r="GO51" s="97"/>
      <c r="GP51" s="97"/>
      <c r="GQ51" s="97"/>
      <c r="GR51" s="97"/>
      <c r="GS51" s="97"/>
      <c r="GT51" s="97"/>
      <c r="GU51" s="97"/>
      <c r="GV51" s="97"/>
      <c r="GW51" s="97"/>
      <c r="GX51" s="97"/>
      <c r="GY51" s="97"/>
      <c r="GZ51" s="97"/>
      <c r="HA51" s="97"/>
      <c r="HB51" s="97"/>
      <c r="HC51" s="97"/>
      <c r="HD51" s="97"/>
      <c r="HE51" s="97"/>
      <c r="HF51" s="97"/>
      <c r="HG51" s="97"/>
      <c r="HH51" s="97"/>
      <c r="HI51" s="97"/>
      <c r="HJ51" s="97"/>
      <c r="HK51" s="97"/>
      <c r="HL51" s="97"/>
      <c r="HM51" s="97"/>
      <c r="HN51" s="97"/>
      <c r="HO51" s="97"/>
      <c r="HP51" s="97"/>
      <c r="HQ51" s="97"/>
      <c r="HR51" s="97"/>
      <c r="HS51" s="97"/>
      <c r="HT51" s="97"/>
      <c r="HU51" s="97"/>
      <c r="HV51" s="97"/>
      <c r="HW51" s="97"/>
      <c r="HX51" s="97"/>
      <c r="HY51" s="97"/>
      <c r="HZ51" s="97"/>
      <c r="IA51" s="97"/>
      <c r="IB51" s="97"/>
      <c r="IC51" s="97"/>
      <c r="ID51" s="97"/>
      <c r="IE51" s="97"/>
      <c r="IF51" s="97"/>
      <c r="IG51" s="97"/>
      <c r="IH51" s="97"/>
      <c r="II51" s="97"/>
      <c r="IJ51" s="97"/>
    </row>
    <row r="52" spans="1:244">
      <c r="A52" s="106" t="s">
        <v>126</v>
      </c>
      <c r="B52" s="107" t="s">
        <v>861</v>
      </c>
      <c r="C52" s="107" t="s">
        <v>861</v>
      </c>
      <c r="D52" s="122">
        <v>1300015252</v>
      </c>
      <c r="E52" s="107" t="s">
        <v>217</v>
      </c>
      <c r="F52" s="107" t="s">
        <v>862</v>
      </c>
      <c r="G52" s="107" t="s">
        <v>220</v>
      </c>
      <c r="H52" s="107" t="s">
        <v>863</v>
      </c>
      <c r="I52" s="108" t="s">
        <v>51</v>
      </c>
      <c r="J52" s="107">
        <v>0.02</v>
      </c>
    </row>
    <row r="53" spans="1:244">
      <c r="A53" s="106" t="s">
        <v>64</v>
      </c>
      <c r="B53" s="107" t="s">
        <v>353</v>
      </c>
      <c r="C53" s="107" t="s">
        <v>864</v>
      </c>
      <c r="D53" s="122">
        <v>1300015061</v>
      </c>
      <c r="E53" s="107" t="s">
        <v>144</v>
      </c>
      <c r="F53" s="107" t="s">
        <v>355</v>
      </c>
      <c r="G53" s="107" t="s">
        <v>147</v>
      </c>
      <c r="H53" s="107" t="s">
        <v>865</v>
      </c>
      <c r="I53" s="112" t="s">
        <v>51</v>
      </c>
      <c r="J53" s="107">
        <v>9.2669999999999995</v>
      </c>
    </row>
    <row r="54" spans="1:244">
      <c r="A54" s="109" t="s">
        <v>64</v>
      </c>
      <c r="B54" s="110" t="s">
        <v>353</v>
      </c>
      <c r="C54" s="110" t="s">
        <v>354</v>
      </c>
      <c r="D54" s="111">
        <v>1300015062</v>
      </c>
      <c r="E54" s="110" t="s">
        <v>45</v>
      </c>
      <c r="F54" s="110" t="s">
        <v>355</v>
      </c>
      <c r="G54" s="110" t="s">
        <v>49</v>
      </c>
      <c r="H54" s="110" t="s">
        <v>865</v>
      </c>
      <c r="I54" s="111" t="s">
        <v>51</v>
      </c>
      <c r="J54" s="110">
        <v>0</v>
      </c>
    </row>
    <row r="55" spans="1:244">
      <c r="A55" s="106" t="s">
        <v>64</v>
      </c>
      <c r="B55" s="107" t="s">
        <v>866</v>
      </c>
      <c r="C55" s="107" t="s">
        <v>866</v>
      </c>
      <c r="D55" s="122">
        <v>1300014995</v>
      </c>
      <c r="E55" s="107" t="s">
        <v>217</v>
      </c>
      <c r="F55" s="107" t="s">
        <v>743</v>
      </c>
      <c r="G55" s="107" t="s">
        <v>220</v>
      </c>
      <c r="H55" s="107" t="s">
        <v>745</v>
      </c>
      <c r="I55" s="112" t="s">
        <v>51</v>
      </c>
      <c r="J55" s="107">
        <v>21.286999999999999</v>
      </c>
    </row>
    <row r="56" spans="1:244">
      <c r="A56" s="106" t="s">
        <v>64</v>
      </c>
      <c r="B56" s="107" t="s">
        <v>867</v>
      </c>
      <c r="C56" s="107" t="s">
        <v>867</v>
      </c>
      <c r="D56" s="122">
        <v>1300014996</v>
      </c>
      <c r="E56" s="107" t="s">
        <v>217</v>
      </c>
      <c r="F56" s="107" t="s">
        <v>749</v>
      </c>
      <c r="G56" s="107" t="s">
        <v>220</v>
      </c>
      <c r="H56" s="107" t="s">
        <v>751</v>
      </c>
      <c r="I56" s="112" t="s">
        <v>51</v>
      </c>
      <c r="J56" s="107">
        <v>2.0070000000000001</v>
      </c>
    </row>
    <row r="57" spans="1:244">
      <c r="A57" s="106" t="s">
        <v>126</v>
      </c>
      <c r="B57" s="107" t="s">
        <v>868</v>
      </c>
      <c r="C57" s="107" t="s">
        <v>868</v>
      </c>
      <c r="D57" s="122">
        <v>1300015178</v>
      </c>
      <c r="E57" s="107" t="s">
        <v>217</v>
      </c>
      <c r="F57" s="107" t="s">
        <v>192</v>
      </c>
      <c r="G57" s="107" t="s">
        <v>220</v>
      </c>
      <c r="H57" s="107" t="s">
        <v>869</v>
      </c>
      <c r="I57" s="108" t="s">
        <v>51</v>
      </c>
      <c r="J57" s="107">
        <v>3.02</v>
      </c>
    </row>
    <row r="58" spans="1:244" s="98" customFormat="1">
      <c r="A58" s="106" t="s">
        <v>64</v>
      </c>
      <c r="B58" s="107" t="s">
        <v>870</v>
      </c>
      <c r="C58" s="107" t="s">
        <v>870</v>
      </c>
      <c r="D58" s="122">
        <v>1300015199</v>
      </c>
      <c r="E58" s="107" t="s">
        <v>217</v>
      </c>
      <c r="F58" s="107" t="s">
        <v>754</v>
      </c>
      <c r="G58" s="107" t="s">
        <v>220</v>
      </c>
      <c r="H58" s="107" t="s">
        <v>756</v>
      </c>
      <c r="I58" s="108" t="s">
        <v>51</v>
      </c>
      <c r="J58" s="107">
        <v>4.4160000000000004</v>
      </c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97"/>
      <c r="AH58" s="97"/>
      <c r="AI58" s="97"/>
      <c r="AJ58" s="97"/>
      <c r="AK58" s="97"/>
      <c r="AL58" s="97"/>
      <c r="AM58" s="97"/>
      <c r="AN58" s="97"/>
      <c r="AO58" s="97"/>
      <c r="AP58" s="97"/>
      <c r="AQ58" s="97"/>
      <c r="AR58" s="97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  <c r="BP58" s="97"/>
      <c r="BQ58" s="97"/>
      <c r="BR58" s="97"/>
      <c r="BS58" s="97"/>
      <c r="BT58" s="97"/>
      <c r="BU58" s="97"/>
      <c r="BV58" s="97"/>
      <c r="BW58" s="97"/>
      <c r="BX58" s="97"/>
      <c r="BY58" s="97"/>
      <c r="BZ58" s="97"/>
      <c r="CA58" s="97"/>
      <c r="CB58" s="97"/>
      <c r="CC58" s="97"/>
      <c r="CD58" s="97"/>
      <c r="CE58" s="97"/>
      <c r="CF58" s="97"/>
      <c r="CG58" s="97"/>
      <c r="CH58" s="97"/>
      <c r="CI58" s="97"/>
      <c r="CJ58" s="97"/>
      <c r="CK58" s="97"/>
      <c r="CL58" s="97"/>
      <c r="CM58" s="97"/>
      <c r="CN58" s="97"/>
      <c r="CO58" s="97"/>
      <c r="CP58" s="97"/>
      <c r="CQ58" s="97"/>
      <c r="CR58" s="97"/>
      <c r="CS58" s="97"/>
      <c r="CT58" s="97"/>
      <c r="CU58" s="97"/>
      <c r="CV58" s="97"/>
      <c r="CW58" s="97"/>
      <c r="CX58" s="97"/>
      <c r="CY58" s="97"/>
      <c r="CZ58" s="97"/>
      <c r="DA58" s="97"/>
      <c r="DB58" s="97"/>
      <c r="DC58" s="97"/>
      <c r="DD58" s="97"/>
      <c r="DE58" s="97"/>
      <c r="DF58" s="97"/>
      <c r="DG58" s="97"/>
      <c r="DH58" s="97"/>
      <c r="DI58" s="97"/>
      <c r="DJ58" s="97"/>
      <c r="DK58" s="97"/>
      <c r="DL58" s="97"/>
      <c r="DM58" s="97"/>
      <c r="DN58" s="97"/>
      <c r="DO58" s="97"/>
      <c r="DP58" s="97"/>
      <c r="DQ58" s="97"/>
      <c r="DR58" s="97"/>
      <c r="DS58" s="97"/>
      <c r="DT58" s="97"/>
      <c r="DU58" s="97"/>
      <c r="DV58" s="97"/>
      <c r="DW58" s="97"/>
      <c r="DX58" s="97"/>
      <c r="DY58" s="97"/>
      <c r="DZ58" s="97"/>
      <c r="EA58" s="97"/>
      <c r="EB58" s="97"/>
      <c r="EC58" s="97"/>
      <c r="ED58" s="97"/>
      <c r="EE58" s="97"/>
      <c r="EF58" s="97"/>
      <c r="EG58" s="97"/>
      <c r="EH58" s="97"/>
      <c r="EI58" s="97"/>
      <c r="EJ58" s="97"/>
      <c r="EK58" s="97"/>
      <c r="EL58" s="97"/>
      <c r="EM58" s="97"/>
      <c r="EN58" s="97"/>
      <c r="EO58" s="97"/>
      <c r="EP58" s="97"/>
      <c r="EQ58" s="97"/>
      <c r="ER58" s="97"/>
      <c r="ES58" s="97"/>
      <c r="ET58" s="97"/>
      <c r="EU58" s="97"/>
      <c r="EV58" s="97"/>
      <c r="EW58" s="97"/>
      <c r="EX58" s="97"/>
      <c r="EY58" s="97"/>
      <c r="EZ58" s="97"/>
      <c r="FA58" s="97"/>
      <c r="FB58" s="97"/>
      <c r="FC58" s="97"/>
      <c r="FD58" s="97"/>
      <c r="FE58" s="97"/>
      <c r="FF58" s="97"/>
      <c r="FG58" s="97"/>
      <c r="FH58" s="97"/>
      <c r="FI58" s="97"/>
      <c r="FJ58" s="97"/>
      <c r="FK58" s="97"/>
      <c r="FL58" s="97"/>
      <c r="FM58" s="97"/>
      <c r="FN58" s="97"/>
      <c r="FO58" s="97"/>
      <c r="FP58" s="97"/>
      <c r="FQ58" s="97"/>
      <c r="FR58" s="97"/>
      <c r="FS58" s="97"/>
      <c r="FT58" s="97"/>
      <c r="FU58" s="97"/>
      <c r="FV58" s="97"/>
      <c r="FW58" s="97"/>
      <c r="FX58" s="97"/>
      <c r="FY58" s="97"/>
      <c r="FZ58" s="97"/>
      <c r="GA58" s="97"/>
      <c r="GB58" s="97"/>
      <c r="GC58" s="97"/>
      <c r="GD58" s="97"/>
      <c r="GE58" s="97"/>
      <c r="GF58" s="97"/>
      <c r="GG58" s="97"/>
      <c r="GH58" s="97"/>
      <c r="GI58" s="97"/>
      <c r="GJ58" s="97"/>
      <c r="GK58" s="97"/>
      <c r="GL58" s="97"/>
      <c r="GM58" s="97"/>
      <c r="GN58" s="97"/>
      <c r="GO58" s="97"/>
      <c r="GP58" s="97"/>
      <c r="GQ58" s="97"/>
      <c r="GR58" s="97"/>
      <c r="GS58" s="97"/>
      <c r="GT58" s="97"/>
      <c r="GU58" s="97"/>
      <c r="GV58" s="97"/>
      <c r="GW58" s="97"/>
      <c r="GX58" s="97"/>
      <c r="GY58" s="97"/>
      <c r="GZ58" s="97"/>
      <c r="HA58" s="97"/>
      <c r="HB58" s="97"/>
      <c r="HC58" s="97"/>
      <c r="HD58" s="97"/>
      <c r="HE58" s="97"/>
      <c r="HF58" s="97"/>
      <c r="HG58" s="97"/>
      <c r="HH58" s="97"/>
      <c r="HI58" s="97"/>
      <c r="HJ58" s="97"/>
      <c r="HK58" s="97"/>
      <c r="HL58" s="97"/>
      <c r="HM58" s="97"/>
      <c r="HN58" s="97"/>
      <c r="HO58" s="97"/>
      <c r="HP58" s="97"/>
      <c r="HQ58" s="97"/>
      <c r="HR58" s="97"/>
      <c r="HS58" s="97"/>
      <c r="HT58" s="97"/>
      <c r="HU58" s="97"/>
      <c r="HV58" s="97"/>
      <c r="HW58" s="97"/>
      <c r="HX58" s="97"/>
      <c r="HY58" s="97"/>
      <c r="HZ58" s="97"/>
      <c r="IA58" s="97"/>
      <c r="IB58" s="97"/>
      <c r="IC58" s="97"/>
      <c r="ID58" s="97"/>
      <c r="IE58" s="97"/>
      <c r="IF58" s="97"/>
      <c r="IG58" s="97"/>
      <c r="IH58" s="97"/>
      <c r="II58" s="97"/>
      <c r="IJ58" s="97"/>
    </row>
    <row r="59" spans="1:244">
      <c r="A59" s="106" t="s">
        <v>42</v>
      </c>
      <c r="B59" s="107" t="s">
        <v>871</v>
      </c>
      <c r="C59" s="107" t="s">
        <v>871</v>
      </c>
      <c r="D59" s="122">
        <v>1300015133</v>
      </c>
      <c r="E59" s="107" t="s">
        <v>32</v>
      </c>
      <c r="F59" s="107" t="s">
        <v>383</v>
      </c>
      <c r="G59" s="117" t="s">
        <v>36</v>
      </c>
      <c r="H59" s="117" t="s">
        <v>872</v>
      </c>
      <c r="I59" s="118" t="s">
        <v>51</v>
      </c>
      <c r="J59" s="117">
        <v>2</v>
      </c>
    </row>
    <row r="60" spans="1:244">
      <c r="A60" s="106" t="s">
        <v>42</v>
      </c>
      <c r="B60" s="107" t="s">
        <v>381</v>
      </c>
      <c r="C60" s="107" t="s">
        <v>873</v>
      </c>
      <c r="D60" s="122">
        <v>1300015277</v>
      </c>
      <c r="E60" s="107" t="s">
        <v>144</v>
      </c>
      <c r="F60" s="107" t="s">
        <v>383</v>
      </c>
      <c r="G60" s="107" t="s">
        <v>147</v>
      </c>
      <c r="H60" s="107" t="s">
        <v>872</v>
      </c>
      <c r="I60" s="108" t="s">
        <v>51</v>
      </c>
      <c r="J60" s="107">
        <v>8.65</v>
      </c>
    </row>
    <row r="61" spans="1:244">
      <c r="A61" s="109" t="s">
        <v>42</v>
      </c>
      <c r="B61" s="110" t="s">
        <v>381</v>
      </c>
      <c r="C61" s="110" t="s">
        <v>382</v>
      </c>
      <c r="D61" s="111">
        <v>1300015278</v>
      </c>
      <c r="E61" s="110" t="s">
        <v>45</v>
      </c>
      <c r="F61" s="110" t="s">
        <v>383</v>
      </c>
      <c r="G61" s="110" t="s">
        <v>49</v>
      </c>
      <c r="H61" s="110" t="s">
        <v>872</v>
      </c>
      <c r="I61" s="111" t="s">
        <v>51</v>
      </c>
      <c r="J61" s="110">
        <v>0</v>
      </c>
    </row>
    <row r="62" spans="1:244" s="100" customFormat="1">
      <c r="A62" s="116" t="s">
        <v>57</v>
      </c>
      <c r="B62" s="117" t="s">
        <v>386</v>
      </c>
      <c r="C62" s="117" t="s">
        <v>387</v>
      </c>
      <c r="D62" s="118">
        <v>1300014982</v>
      </c>
      <c r="E62" s="117" t="s">
        <v>45</v>
      </c>
      <c r="F62" s="117" t="s">
        <v>388</v>
      </c>
      <c r="G62" s="117" t="s">
        <v>49</v>
      </c>
      <c r="H62" s="117" t="s">
        <v>874</v>
      </c>
      <c r="I62" s="123" t="s">
        <v>51</v>
      </c>
      <c r="J62" s="117">
        <v>37.421999999999997</v>
      </c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97"/>
      <c r="AH62" s="97"/>
      <c r="AI62" s="97"/>
      <c r="AJ62" s="97"/>
      <c r="AK62" s="97"/>
      <c r="AL62" s="97"/>
      <c r="AM62" s="97"/>
      <c r="AN62" s="97"/>
      <c r="AO62" s="97"/>
      <c r="AP62" s="97"/>
      <c r="AQ62" s="97"/>
      <c r="AR62" s="97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  <c r="BP62" s="97"/>
      <c r="BQ62" s="97"/>
      <c r="BR62" s="97"/>
      <c r="BS62" s="97"/>
      <c r="BT62" s="97"/>
      <c r="BU62" s="97"/>
      <c r="BV62" s="97"/>
      <c r="BW62" s="97"/>
      <c r="BX62" s="97"/>
      <c r="BY62" s="97"/>
      <c r="BZ62" s="97"/>
      <c r="CA62" s="97"/>
      <c r="CB62" s="97"/>
      <c r="CC62" s="97"/>
      <c r="CD62" s="97"/>
      <c r="CE62" s="97"/>
      <c r="CF62" s="97"/>
      <c r="CG62" s="97"/>
      <c r="CH62" s="97"/>
      <c r="CI62" s="97"/>
      <c r="CJ62" s="97"/>
      <c r="CK62" s="97"/>
      <c r="CL62" s="97"/>
      <c r="CM62" s="97"/>
      <c r="CN62" s="97"/>
      <c r="CO62" s="97"/>
      <c r="CP62" s="97"/>
      <c r="CQ62" s="97"/>
      <c r="CR62" s="97"/>
      <c r="CS62" s="97"/>
      <c r="CT62" s="97"/>
      <c r="CU62" s="97"/>
      <c r="CV62" s="97"/>
      <c r="CW62" s="97"/>
      <c r="CX62" s="97"/>
      <c r="CY62" s="97"/>
      <c r="CZ62" s="97"/>
      <c r="DA62" s="97"/>
      <c r="DB62" s="97"/>
      <c r="DC62" s="97"/>
      <c r="DD62" s="97"/>
      <c r="DE62" s="97"/>
      <c r="DF62" s="97"/>
      <c r="DG62" s="97"/>
      <c r="DH62" s="97"/>
      <c r="DI62" s="97"/>
      <c r="DJ62" s="97"/>
      <c r="DK62" s="97"/>
      <c r="DL62" s="97"/>
      <c r="DM62" s="97"/>
      <c r="DN62" s="97"/>
      <c r="DO62" s="97"/>
      <c r="DP62" s="97"/>
      <c r="DQ62" s="97"/>
      <c r="DR62" s="97"/>
      <c r="DS62" s="97"/>
      <c r="DT62" s="97"/>
      <c r="DU62" s="97"/>
      <c r="DV62" s="97"/>
      <c r="DW62" s="97"/>
      <c r="DX62" s="97"/>
      <c r="DY62" s="97"/>
      <c r="DZ62" s="97"/>
      <c r="EA62" s="97"/>
      <c r="EB62" s="97"/>
      <c r="EC62" s="97"/>
      <c r="ED62" s="97"/>
      <c r="EE62" s="97"/>
      <c r="EF62" s="97"/>
      <c r="EG62" s="97"/>
      <c r="EH62" s="97"/>
      <c r="EI62" s="97"/>
      <c r="EJ62" s="97"/>
      <c r="EK62" s="97"/>
      <c r="EL62" s="97"/>
      <c r="EM62" s="97"/>
      <c r="EN62" s="97"/>
      <c r="EO62" s="97"/>
      <c r="EP62" s="97"/>
      <c r="EQ62" s="97"/>
      <c r="ER62" s="97"/>
      <c r="ES62" s="97"/>
      <c r="ET62" s="97"/>
      <c r="EU62" s="97"/>
      <c r="EV62" s="97"/>
      <c r="EW62" s="97"/>
      <c r="EX62" s="97"/>
      <c r="EY62" s="97"/>
      <c r="EZ62" s="97"/>
      <c r="FA62" s="97"/>
      <c r="FB62" s="97"/>
      <c r="FC62" s="97"/>
      <c r="FD62" s="97"/>
      <c r="FE62" s="97"/>
      <c r="FF62" s="97"/>
      <c r="FG62" s="97"/>
      <c r="FH62" s="97"/>
      <c r="FI62" s="97"/>
      <c r="FJ62" s="97"/>
      <c r="FK62" s="97"/>
      <c r="FL62" s="97"/>
      <c r="FM62" s="97"/>
      <c r="FN62" s="97"/>
      <c r="FO62" s="97"/>
      <c r="FP62" s="97"/>
      <c r="FQ62" s="97"/>
      <c r="FR62" s="97"/>
      <c r="FS62" s="97"/>
      <c r="FT62" s="97"/>
      <c r="FU62" s="97"/>
      <c r="FV62" s="97"/>
      <c r="FW62" s="97"/>
      <c r="FX62" s="97"/>
      <c r="FY62" s="97"/>
      <c r="FZ62" s="97"/>
      <c r="GA62" s="97"/>
      <c r="GB62" s="97"/>
      <c r="GC62" s="97"/>
      <c r="GD62" s="97"/>
      <c r="GE62" s="97"/>
      <c r="GF62" s="97"/>
      <c r="GG62" s="97"/>
      <c r="GH62" s="97"/>
      <c r="GI62" s="97"/>
      <c r="GJ62" s="97"/>
      <c r="GK62" s="97"/>
      <c r="GL62" s="97"/>
      <c r="GM62" s="97"/>
      <c r="GN62" s="97"/>
      <c r="GO62" s="97"/>
      <c r="GP62" s="97"/>
      <c r="GQ62" s="97"/>
      <c r="GR62" s="97"/>
      <c r="GS62" s="97"/>
      <c r="GT62" s="97"/>
      <c r="GU62" s="97"/>
      <c r="GV62" s="97"/>
      <c r="GW62" s="97"/>
      <c r="GX62" s="97"/>
      <c r="GY62" s="97"/>
      <c r="GZ62" s="97"/>
      <c r="HA62" s="97"/>
      <c r="HB62" s="97"/>
      <c r="HC62" s="97"/>
      <c r="HD62" s="97"/>
      <c r="HE62" s="97"/>
      <c r="HF62" s="97"/>
      <c r="HG62" s="97"/>
      <c r="HH62" s="97"/>
      <c r="HI62" s="97"/>
      <c r="HJ62" s="97"/>
      <c r="HK62" s="97"/>
      <c r="HL62" s="97"/>
      <c r="HM62" s="97"/>
      <c r="HN62" s="97"/>
      <c r="HO62" s="97"/>
      <c r="HP62" s="97"/>
      <c r="HQ62" s="97"/>
      <c r="HR62" s="97"/>
      <c r="HS62" s="97"/>
      <c r="HT62" s="97"/>
      <c r="HU62" s="97"/>
      <c r="HV62" s="97"/>
      <c r="HW62" s="97"/>
      <c r="HX62" s="97"/>
      <c r="HY62" s="97"/>
      <c r="HZ62" s="97"/>
      <c r="IA62" s="97"/>
      <c r="IB62" s="97"/>
      <c r="IC62" s="97"/>
      <c r="ID62" s="97"/>
      <c r="IE62" s="97"/>
      <c r="IF62" s="97"/>
      <c r="IG62" s="97"/>
      <c r="IH62" s="97"/>
      <c r="II62" s="97"/>
      <c r="IJ62" s="97"/>
    </row>
    <row r="63" spans="1:244">
      <c r="A63" s="106" t="s">
        <v>64</v>
      </c>
      <c r="B63" s="107" t="s">
        <v>875</v>
      </c>
      <c r="C63" s="107" t="s">
        <v>875</v>
      </c>
      <c r="D63" s="122">
        <v>1300015003</v>
      </c>
      <c r="E63" s="107" t="s">
        <v>217</v>
      </c>
      <c r="F63" s="107" t="s">
        <v>681</v>
      </c>
      <c r="G63" s="107" t="s">
        <v>220</v>
      </c>
      <c r="H63" s="107" t="s">
        <v>683</v>
      </c>
      <c r="I63" s="112" t="s">
        <v>51</v>
      </c>
      <c r="J63" s="107">
        <v>10.413</v>
      </c>
    </row>
    <row r="64" spans="1:244" s="98" customFormat="1">
      <c r="A64" s="106" t="s">
        <v>126</v>
      </c>
      <c r="B64" s="107" t="s">
        <v>876</v>
      </c>
      <c r="C64" s="107" t="s">
        <v>876</v>
      </c>
      <c r="D64" s="122">
        <v>1300015063</v>
      </c>
      <c r="E64" s="107" t="s">
        <v>217</v>
      </c>
      <c r="F64" s="107" t="s">
        <v>877</v>
      </c>
      <c r="G64" s="107" t="s">
        <v>220</v>
      </c>
      <c r="H64" s="107" t="s">
        <v>878</v>
      </c>
      <c r="I64" s="108" t="s">
        <v>51</v>
      </c>
      <c r="J64" s="107">
        <v>17</v>
      </c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97"/>
      <c r="AH64" s="97"/>
      <c r="AI64" s="97"/>
      <c r="AJ64" s="97"/>
      <c r="AK64" s="97"/>
      <c r="AL64" s="97"/>
      <c r="AM64" s="97"/>
      <c r="AN64" s="97"/>
      <c r="AO64" s="97"/>
      <c r="AP64" s="97"/>
      <c r="AQ64" s="97"/>
      <c r="AR64" s="97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  <c r="BP64" s="97"/>
      <c r="BQ64" s="97"/>
      <c r="BR64" s="97"/>
      <c r="BS64" s="97"/>
      <c r="BT64" s="97"/>
      <c r="BU64" s="97"/>
      <c r="BV64" s="97"/>
      <c r="BW64" s="97"/>
      <c r="BX64" s="97"/>
      <c r="BY64" s="97"/>
      <c r="BZ64" s="97"/>
      <c r="CA64" s="97"/>
      <c r="CB64" s="97"/>
      <c r="CC64" s="97"/>
      <c r="CD64" s="97"/>
      <c r="CE64" s="97"/>
      <c r="CF64" s="97"/>
      <c r="CG64" s="97"/>
      <c r="CH64" s="97"/>
      <c r="CI64" s="97"/>
      <c r="CJ64" s="97"/>
      <c r="CK64" s="97"/>
      <c r="CL64" s="97"/>
      <c r="CM64" s="97"/>
      <c r="CN64" s="97"/>
      <c r="CO64" s="97"/>
      <c r="CP64" s="97"/>
      <c r="CQ64" s="97"/>
      <c r="CR64" s="97"/>
      <c r="CS64" s="97"/>
      <c r="CT64" s="97"/>
      <c r="CU64" s="97"/>
      <c r="CV64" s="97"/>
      <c r="CW64" s="97"/>
      <c r="CX64" s="97"/>
      <c r="CY64" s="97"/>
      <c r="CZ64" s="97"/>
      <c r="DA64" s="97"/>
      <c r="DB64" s="97"/>
      <c r="DC64" s="97"/>
      <c r="DD64" s="97"/>
      <c r="DE64" s="97"/>
      <c r="DF64" s="97"/>
      <c r="DG64" s="97"/>
      <c r="DH64" s="97"/>
      <c r="DI64" s="97"/>
      <c r="DJ64" s="97"/>
      <c r="DK64" s="97"/>
      <c r="DL64" s="97"/>
      <c r="DM64" s="97"/>
      <c r="DN64" s="97"/>
      <c r="DO64" s="97"/>
      <c r="DP64" s="97"/>
      <c r="DQ64" s="97"/>
      <c r="DR64" s="97"/>
      <c r="DS64" s="97"/>
      <c r="DT64" s="97"/>
      <c r="DU64" s="97"/>
      <c r="DV64" s="97"/>
      <c r="DW64" s="97"/>
      <c r="DX64" s="97"/>
      <c r="DY64" s="97"/>
      <c r="DZ64" s="97"/>
      <c r="EA64" s="97"/>
      <c r="EB64" s="97"/>
      <c r="EC64" s="97"/>
      <c r="ED64" s="97"/>
      <c r="EE64" s="97"/>
      <c r="EF64" s="97"/>
      <c r="EG64" s="97"/>
      <c r="EH64" s="97"/>
      <c r="EI64" s="97"/>
      <c r="EJ64" s="97"/>
      <c r="EK64" s="97"/>
      <c r="EL64" s="97"/>
      <c r="EM64" s="97"/>
      <c r="EN64" s="97"/>
      <c r="EO64" s="97"/>
      <c r="EP64" s="97"/>
      <c r="EQ64" s="97"/>
      <c r="ER64" s="97"/>
      <c r="ES64" s="97"/>
      <c r="ET64" s="97"/>
      <c r="EU64" s="97"/>
      <c r="EV64" s="97"/>
      <c r="EW64" s="97"/>
      <c r="EX64" s="97"/>
      <c r="EY64" s="97"/>
      <c r="EZ64" s="97"/>
      <c r="FA64" s="97"/>
      <c r="FB64" s="97"/>
      <c r="FC64" s="97"/>
      <c r="FD64" s="97"/>
      <c r="FE64" s="97"/>
      <c r="FF64" s="97"/>
      <c r="FG64" s="97"/>
      <c r="FH64" s="97"/>
      <c r="FI64" s="97"/>
      <c r="FJ64" s="97"/>
      <c r="FK64" s="97"/>
      <c r="FL64" s="97"/>
      <c r="FM64" s="97"/>
      <c r="FN64" s="97"/>
      <c r="FO64" s="97"/>
      <c r="FP64" s="97"/>
      <c r="FQ64" s="97"/>
      <c r="FR64" s="97"/>
      <c r="FS64" s="97"/>
      <c r="FT64" s="97"/>
      <c r="FU64" s="97"/>
      <c r="FV64" s="97"/>
      <c r="FW64" s="97"/>
      <c r="FX64" s="97"/>
      <c r="FY64" s="97"/>
      <c r="FZ64" s="97"/>
      <c r="GA64" s="97"/>
      <c r="GB64" s="97"/>
      <c r="GC64" s="97"/>
      <c r="GD64" s="97"/>
      <c r="GE64" s="97"/>
      <c r="GF64" s="97"/>
      <c r="GG64" s="97"/>
      <c r="GH64" s="97"/>
      <c r="GI64" s="97"/>
      <c r="GJ64" s="97"/>
      <c r="GK64" s="97"/>
      <c r="GL64" s="97"/>
      <c r="GM64" s="97"/>
      <c r="GN64" s="97"/>
      <c r="GO64" s="97"/>
      <c r="GP64" s="97"/>
      <c r="GQ64" s="97"/>
      <c r="GR64" s="97"/>
      <c r="GS64" s="97"/>
      <c r="GT64" s="97"/>
      <c r="GU64" s="97"/>
      <c r="GV64" s="97"/>
      <c r="GW64" s="97"/>
      <c r="GX64" s="97"/>
      <c r="GY64" s="97"/>
      <c r="GZ64" s="97"/>
      <c r="HA64" s="97"/>
      <c r="HB64" s="97"/>
      <c r="HC64" s="97"/>
      <c r="HD64" s="97"/>
      <c r="HE64" s="97"/>
      <c r="HF64" s="97"/>
      <c r="HG64" s="97"/>
      <c r="HH64" s="97"/>
      <c r="HI64" s="97"/>
      <c r="HJ64" s="97"/>
      <c r="HK64" s="97"/>
      <c r="HL64" s="97"/>
      <c r="HM64" s="97"/>
      <c r="HN64" s="97"/>
      <c r="HO64" s="97"/>
      <c r="HP64" s="97"/>
      <c r="HQ64" s="97"/>
      <c r="HR64" s="97"/>
      <c r="HS64" s="97"/>
      <c r="HT64" s="97"/>
      <c r="HU64" s="97"/>
      <c r="HV64" s="97"/>
      <c r="HW64" s="97"/>
      <c r="HX64" s="97"/>
      <c r="HY64" s="97"/>
      <c r="HZ64" s="97"/>
      <c r="IA64" s="97"/>
      <c r="IB64" s="97"/>
      <c r="IC64" s="97"/>
      <c r="ID64" s="97"/>
      <c r="IE64" s="97"/>
      <c r="IF64" s="97"/>
      <c r="IG64" s="97"/>
      <c r="IH64" s="97"/>
      <c r="II64" s="97"/>
      <c r="IJ64" s="97"/>
    </row>
    <row r="65" spans="1:244">
      <c r="A65" s="106" t="s">
        <v>57</v>
      </c>
      <c r="B65" s="107" t="s">
        <v>407</v>
      </c>
      <c r="C65" s="107" t="s">
        <v>408</v>
      </c>
      <c r="D65" s="122">
        <v>1300015193</v>
      </c>
      <c r="E65" s="107" t="s">
        <v>45</v>
      </c>
      <c r="F65" s="107" t="s">
        <v>409</v>
      </c>
      <c r="G65" s="107" t="s">
        <v>49</v>
      </c>
      <c r="H65" s="107" t="s">
        <v>879</v>
      </c>
      <c r="I65" s="108" t="s">
        <v>51</v>
      </c>
      <c r="J65" s="107">
        <v>23.927</v>
      </c>
    </row>
    <row r="66" spans="1:244">
      <c r="A66" s="106" t="s">
        <v>57</v>
      </c>
      <c r="B66" s="107" t="s">
        <v>432</v>
      </c>
      <c r="C66" s="107" t="s">
        <v>433</v>
      </c>
      <c r="D66" s="122">
        <v>1300015147</v>
      </c>
      <c r="E66" s="107" t="s">
        <v>45</v>
      </c>
      <c r="F66" s="107" t="s">
        <v>434</v>
      </c>
      <c r="G66" s="107" t="s">
        <v>49</v>
      </c>
      <c r="H66" s="107" t="s">
        <v>880</v>
      </c>
      <c r="I66" s="108" t="s">
        <v>51</v>
      </c>
      <c r="J66" s="107">
        <v>1.113</v>
      </c>
    </row>
    <row r="67" spans="1:244">
      <c r="A67" s="106" t="s">
        <v>64</v>
      </c>
      <c r="B67" s="107" t="s">
        <v>881</v>
      </c>
      <c r="C67" s="107" t="s">
        <v>881</v>
      </c>
      <c r="D67" s="122">
        <v>1300015000</v>
      </c>
      <c r="E67" s="107" t="s">
        <v>217</v>
      </c>
      <c r="F67" s="107" t="s">
        <v>784</v>
      </c>
      <c r="G67" s="107" t="s">
        <v>220</v>
      </c>
      <c r="H67" s="107" t="s">
        <v>882</v>
      </c>
      <c r="I67" s="112" t="s">
        <v>51</v>
      </c>
      <c r="J67" s="107">
        <v>0.01</v>
      </c>
    </row>
    <row r="68" spans="1:244">
      <c r="A68" s="106" t="s">
        <v>57</v>
      </c>
      <c r="B68" s="107" t="s">
        <v>447</v>
      </c>
      <c r="C68" s="107" t="s">
        <v>448</v>
      </c>
      <c r="D68" s="122">
        <v>1300015149</v>
      </c>
      <c r="E68" s="107" t="s">
        <v>45</v>
      </c>
      <c r="F68" s="107" t="s">
        <v>449</v>
      </c>
      <c r="G68" s="107" t="s">
        <v>49</v>
      </c>
      <c r="H68" s="107" t="s">
        <v>883</v>
      </c>
      <c r="I68" s="108" t="s">
        <v>51</v>
      </c>
      <c r="J68" s="107">
        <v>13.920999999999999</v>
      </c>
    </row>
    <row r="69" spans="1:244">
      <c r="A69" s="106" t="s">
        <v>42</v>
      </c>
      <c r="B69" s="107" t="s">
        <v>884</v>
      </c>
      <c r="C69" s="107" t="s">
        <v>884</v>
      </c>
      <c r="D69" s="122">
        <v>1300015132</v>
      </c>
      <c r="E69" s="107" t="s">
        <v>32</v>
      </c>
      <c r="F69" s="107" t="s">
        <v>487</v>
      </c>
      <c r="G69" s="117" t="s">
        <v>36</v>
      </c>
      <c r="H69" s="117" t="s">
        <v>885</v>
      </c>
      <c r="I69" s="118" t="s">
        <v>51</v>
      </c>
      <c r="J69" s="117">
        <v>1</v>
      </c>
    </row>
    <row r="70" spans="1:244">
      <c r="A70" s="106" t="s">
        <v>42</v>
      </c>
      <c r="B70" s="107" t="s">
        <v>485</v>
      </c>
      <c r="C70" s="107" t="s">
        <v>886</v>
      </c>
      <c r="D70" s="122">
        <v>1300015258</v>
      </c>
      <c r="E70" s="107" t="s">
        <v>144</v>
      </c>
      <c r="F70" s="107" t="s">
        <v>487</v>
      </c>
      <c r="G70" s="107" t="s">
        <v>147</v>
      </c>
      <c r="H70" s="107" t="s">
        <v>885</v>
      </c>
      <c r="I70" s="108" t="s">
        <v>51</v>
      </c>
      <c r="J70" s="107">
        <v>0.67</v>
      </c>
    </row>
    <row r="71" spans="1:244">
      <c r="A71" s="109" t="s">
        <v>42</v>
      </c>
      <c r="B71" s="110" t="s">
        <v>485</v>
      </c>
      <c r="C71" s="110" t="s">
        <v>486</v>
      </c>
      <c r="D71" s="111">
        <v>1300015259</v>
      </c>
      <c r="E71" s="110" t="s">
        <v>45</v>
      </c>
      <c r="F71" s="110" t="s">
        <v>487</v>
      </c>
      <c r="G71" s="110" t="s">
        <v>49</v>
      </c>
      <c r="H71" s="110" t="s">
        <v>885</v>
      </c>
      <c r="I71" s="111" t="s">
        <v>51</v>
      </c>
      <c r="J71" s="110">
        <v>0</v>
      </c>
    </row>
    <row r="72" spans="1:244">
      <c r="A72" s="116" t="s">
        <v>57</v>
      </c>
      <c r="B72" s="117" t="s">
        <v>490</v>
      </c>
      <c r="C72" s="117" t="s">
        <v>491</v>
      </c>
      <c r="D72" s="118">
        <v>1300015145</v>
      </c>
      <c r="E72" s="117" t="s">
        <v>45</v>
      </c>
      <c r="F72" s="117" t="s">
        <v>492</v>
      </c>
      <c r="G72" s="117" t="s">
        <v>49</v>
      </c>
      <c r="H72" s="117" t="s">
        <v>887</v>
      </c>
      <c r="I72" s="118" t="s">
        <v>222</v>
      </c>
      <c r="J72" s="117">
        <v>0</v>
      </c>
    </row>
    <row r="73" spans="1:244">
      <c r="A73" s="106" t="s">
        <v>30</v>
      </c>
      <c r="B73" s="107" t="s">
        <v>501</v>
      </c>
      <c r="C73" s="107" t="s">
        <v>501</v>
      </c>
      <c r="D73" s="122">
        <v>1300015131</v>
      </c>
      <c r="E73" s="107" t="s">
        <v>32</v>
      </c>
      <c r="F73" s="107" t="s">
        <v>502</v>
      </c>
      <c r="G73" s="117" t="s">
        <v>36</v>
      </c>
      <c r="H73" s="117" t="s">
        <v>888</v>
      </c>
      <c r="I73" s="118" t="s">
        <v>51</v>
      </c>
      <c r="J73" s="117">
        <v>1</v>
      </c>
    </row>
    <row r="74" spans="1:244">
      <c r="A74" s="106" t="s">
        <v>42</v>
      </c>
      <c r="B74" s="107" t="s">
        <v>510</v>
      </c>
      <c r="C74" s="107" t="s">
        <v>889</v>
      </c>
      <c r="D74" s="122">
        <v>1300015269</v>
      </c>
      <c r="E74" s="107" t="s">
        <v>144</v>
      </c>
      <c r="F74" s="107" t="s">
        <v>512</v>
      </c>
      <c r="G74" s="107" t="s">
        <v>147</v>
      </c>
      <c r="H74" s="107" t="s">
        <v>890</v>
      </c>
      <c r="I74" s="108" t="s">
        <v>51</v>
      </c>
      <c r="J74" s="107">
        <v>0.02</v>
      </c>
    </row>
    <row r="75" spans="1:244" s="103" customFormat="1">
      <c r="A75" s="109" t="s">
        <v>42</v>
      </c>
      <c r="B75" s="110" t="s">
        <v>510</v>
      </c>
      <c r="C75" s="110" t="s">
        <v>511</v>
      </c>
      <c r="D75" s="111">
        <v>1300015270</v>
      </c>
      <c r="E75" s="110" t="s">
        <v>45</v>
      </c>
      <c r="F75" s="110" t="s">
        <v>512</v>
      </c>
      <c r="G75" s="110" t="s">
        <v>49</v>
      </c>
      <c r="H75" s="110" t="s">
        <v>890</v>
      </c>
      <c r="I75" s="111" t="s">
        <v>51</v>
      </c>
      <c r="J75" s="110">
        <v>0</v>
      </c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97"/>
      <c r="AH75" s="97"/>
      <c r="AI75" s="97"/>
      <c r="AJ75" s="97"/>
      <c r="AK75" s="97"/>
      <c r="AL75" s="97"/>
      <c r="AM75" s="97"/>
      <c r="AN75" s="97"/>
      <c r="AO75" s="97"/>
      <c r="AP75" s="97"/>
      <c r="AQ75" s="97"/>
      <c r="AR75" s="97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  <c r="BP75" s="97"/>
      <c r="BQ75" s="97"/>
      <c r="BR75" s="97"/>
      <c r="BS75" s="97"/>
      <c r="BT75" s="97"/>
      <c r="BU75" s="97"/>
      <c r="BV75" s="97"/>
      <c r="BW75" s="97"/>
      <c r="BX75" s="97"/>
      <c r="BY75" s="97"/>
      <c r="BZ75" s="97"/>
      <c r="CA75" s="97"/>
      <c r="CB75" s="97"/>
      <c r="CC75" s="97"/>
      <c r="CD75" s="97"/>
      <c r="CE75" s="97"/>
      <c r="CF75" s="97"/>
      <c r="CG75" s="97"/>
      <c r="CH75" s="97"/>
      <c r="CI75" s="97"/>
      <c r="CJ75" s="97"/>
      <c r="CK75" s="97"/>
      <c r="CL75" s="97"/>
      <c r="CM75" s="97"/>
      <c r="CN75" s="97"/>
      <c r="CO75" s="97"/>
      <c r="CP75" s="97"/>
      <c r="CQ75" s="97"/>
      <c r="CR75" s="97"/>
      <c r="CS75" s="97"/>
      <c r="CT75" s="97"/>
      <c r="CU75" s="97"/>
      <c r="CV75" s="97"/>
      <c r="CW75" s="97"/>
      <c r="CX75" s="97"/>
      <c r="CY75" s="97"/>
      <c r="CZ75" s="97"/>
      <c r="DA75" s="97"/>
      <c r="DB75" s="97"/>
      <c r="DC75" s="97"/>
      <c r="DD75" s="97"/>
      <c r="DE75" s="97"/>
      <c r="DF75" s="97"/>
      <c r="DG75" s="97"/>
      <c r="DH75" s="97"/>
      <c r="DI75" s="97"/>
      <c r="DJ75" s="97"/>
      <c r="DK75" s="97"/>
      <c r="DL75" s="97"/>
      <c r="DM75" s="97"/>
      <c r="DN75" s="97"/>
      <c r="DO75" s="97"/>
      <c r="DP75" s="97"/>
      <c r="DQ75" s="97"/>
      <c r="DR75" s="97"/>
      <c r="DS75" s="97"/>
      <c r="DT75" s="97"/>
      <c r="DU75" s="97"/>
      <c r="DV75" s="97"/>
      <c r="DW75" s="97"/>
      <c r="DX75" s="97"/>
      <c r="DY75" s="97"/>
      <c r="DZ75" s="97"/>
      <c r="EA75" s="97"/>
      <c r="EB75" s="97"/>
      <c r="EC75" s="97"/>
      <c r="ED75" s="97"/>
      <c r="EE75" s="97"/>
      <c r="EF75" s="97"/>
      <c r="EG75" s="97"/>
      <c r="EH75" s="97"/>
      <c r="EI75" s="97"/>
      <c r="EJ75" s="97"/>
      <c r="EK75" s="97"/>
      <c r="EL75" s="97"/>
      <c r="EM75" s="97"/>
      <c r="EN75" s="97"/>
      <c r="EO75" s="97"/>
      <c r="EP75" s="97"/>
      <c r="EQ75" s="97"/>
      <c r="ER75" s="97"/>
      <c r="ES75" s="97"/>
      <c r="ET75" s="97"/>
      <c r="EU75" s="97"/>
      <c r="EV75" s="97"/>
      <c r="EW75" s="97"/>
      <c r="EX75" s="97"/>
      <c r="EY75" s="97"/>
      <c r="EZ75" s="97"/>
      <c r="FA75" s="97"/>
      <c r="FB75" s="97"/>
      <c r="FC75" s="97"/>
      <c r="FD75" s="97"/>
      <c r="FE75" s="97"/>
      <c r="FF75" s="97"/>
      <c r="FG75" s="97"/>
      <c r="FH75" s="97"/>
      <c r="FI75" s="97"/>
      <c r="FJ75" s="97"/>
      <c r="FK75" s="97"/>
      <c r="FL75" s="97"/>
      <c r="FM75" s="97"/>
      <c r="FN75" s="97"/>
      <c r="FO75" s="97"/>
      <c r="FP75" s="97"/>
      <c r="FQ75" s="97"/>
      <c r="FR75" s="97"/>
      <c r="FS75" s="97"/>
      <c r="FT75" s="97"/>
      <c r="FU75" s="97"/>
      <c r="FV75" s="97"/>
      <c r="FW75" s="97"/>
      <c r="FX75" s="97"/>
      <c r="FY75" s="97"/>
      <c r="FZ75" s="97"/>
      <c r="GA75" s="97"/>
      <c r="GB75" s="97"/>
      <c r="GC75" s="97"/>
      <c r="GD75" s="97"/>
      <c r="GE75" s="97"/>
      <c r="GF75" s="97"/>
      <c r="GG75" s="97"/>
      <c r="GH75" s="97"/>
      <c r="GI75" s="97"/>
      <c r="GJ75" s="97"/>
      <c r="GK75" s="97"/>
      <c r="GL75" s="97"/>
      <c r="GM75" s="97"/>
      <c r="GN75" s="97"/>
      <c r="GO75" s="97"/>
      <c r="GP75" s="97"/>
      <c r="GQ75" s="97"/>
      <c r="GR75" s="97"/>
      <c r="GS75" s="97"/>
      <c r="GT75" s="97"/>
      <c r="GU75" s="97"/>
      <c r="GV75" s="97"/>
      <c r="GW75" s="97"/>
      <c r="GX75" s="97"/>
      <c r="GY75" s="97"/>
      <c r="GZ75" s="97"/>
      <c r="HA75" s="97"/>
      <c r="HB75" s="97"/>
      <c r="HC75" s="97"/>
      <c r="HD75" s="97"/>
      <c r="HE75" s="97"/>
      <c r="HF75" s="97"/>
      <c r="HG75" s="97"/>
      <c r="HH75" s="97"/>
      <c r="HI75" s="97"/>
      <c r="HJ75" s="97"/>
      <c r="HK75" s="97"/>
      <c r="HL75" s="97"/>
      <c r="HM75" s="97"/>
      <c r="HN75" s="97"/>
      <c r="HO75" s="97"/>
      <c r="HP75" s="97"/>
      <c r="HQ75" s="97"/>
      <c r="HR75" s="97"/>
      <c r="HS75" s="97"/>
      <c r="HT75" s="97"/>
      <c r="HU75" s="97"/>
      <c r="HV75" s="97"/>
      <c r="HW75" s="97"/>
      <c r="HX75" s="97"/>
      <c r="HY75" s="97"/>
      <c r="HZ75" s="97"/>
      <c r="IA75" s="97"/>
      <c r="IB75" s="97"/>
      <c r="IC75" s="97"/>
      <c r="ID75" s="97"/>
      <c r="IE75" s="97"/>
      <c r="IF75" s="97"/>
      <c r="IG75" s="97"/>
      <c r="IH75" s="97"/>
      <c r="II75" s="97"/>
      <c r="IJ75" s="97"/>
    </row>
    <row r="77" spans="1:244">
      <c r="J77" s="119"/>
    </row>
    <row r="78" spans="1:244">
      <c r="C78" s="97" t="s">
        <v>891</v>
      </c>
    </row>
    <row r="79" spans="1:244">
      <c r="C79" s="97" t="s">
        <v>892</v>
      </c>
    </row>
    <row r="80" spans="1:244">
      <c r="C80" s="97" t="s">
        <v>893</v>
      </c>
    </row>
  </sheetData>
  <phoneticPr fontId="10" type="noConversion"/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420C-D423-4497-8A8E-E75EE52BACD4}">
  <dimension ref="A1:N28"/>
  <sheetViews>
    <sheetView topLeftCell="A9" zoomScale="85" zoomScaleNormal="85" workbookViewId="0">
      <selection activeCell="C15" sqref="C15"/>
    </sheetView>
  </sheetViews>
  <sheetFormatPr baseColWidth="10" defaultColWidth="10.88671875" defaultRowHeight="11.4"/>
  <cols>
    <col min="1" max="1" width="11" style="130" bestFit="1" customWidth="1"/>
    <col min="2" max="2" width="10.88671875" style="130"/>
    <col min="3" max="3" width="42.88671875" style="130" customWidth="1"/>
    <col min="4" max="5" width="16.5546875" style="130" customWidth="1"/>
    <col min="6" max="6" width="10.88671875" style="130"/>
    <col min="7" max="7" width="11.6640625" style="130" bestFit="1" customWidth="1"/>
    <col min="8" max="8" width="10.88671875" style="130"/>
    <col min="9" max="9" width="16" style="130" customWidth="1"/>
    <col min="10" max="10" width="0" style="130" hidden="1" customWidth="1"/>
    <col min="11" max="11" width="10.88671875" style="130"/>
    <col min="12" max="12" width="17.44140625" style="133" customWidth="1"/>
    <col min="13" max="13" width="20" style="130" customWidth="1"/>
    <col min="14" max="16384" width="10.88671875" style="130"/>
  </cols>
  <sheetData>
    <row r="1" spans="1:14" ht="34.200000000000003">
      <c r="A1" s="128" t="s">
        <v>894</v>
      </c>
      <c r="B1" s="129" t="s">
        <v>895</v>
      </c>
      <c r="C1" s="129" t="s">
        <v>896</v>
      </c>
      <c r="D1" s="129" t="s">
        <v>897</v>
      </c>
      <c r="E1" s="129" t="s">
        <v>898</v>
      </c>
      <c r="F1" s="129" t="s">
        <v>899</v>
      </c>
      <c r="G1" s="129" t="s">
        <v>900</v>
      </c>
      <c r="H1" s="129" t="s">
        <v>901</v>
      </c>
      <c r="I1" s="129" t="s">
        <v>902</v>
      </c>
      <c r="J1" s="129" t="s">
        <v>903</v>
      </c>
      <c r="K1" s="129" t="s">
        <v>614</v>
      </c>
      <c r="L1" s="129" t="s">
        <v>904</v>
      </c>
      <c r="M1" s="129" t="s">
        <v>619</v>
      </c>
      <c r="N1" s="129" t="s">
        <v>905</v>
      </c>
    </row>
    <row r="2" spans="1:14" ht="23.1" customHeight="1">
      <c r="A2" s="145">
        <v>1</v>
      </c>
      <c r="B2" s="143" t="s">
        <v>64</v>
      </c>
      <c r="C2" s="132" t="s">
        <v>906</v>
      </c>
      <c r="D2" s="143" t="s">
        <v>907</v>
      </c>
      <c r="E2" s="143" t="s">
        <v>908</v>
      </c>
      <c r="F2" s="143"/>
      <c r="G2" s="143">
        <v>1000017169</v>
      </c>
      <c r="H2" s="143" t="s">
        <v>909</v>
      </c>
      <c r="I2" s="143" t="s">
        <v>910</v>
      </c>
      <c r="J2" s="143">
        <v>1300017264</v>
      </c>
      <c r="K2" s="147">
        <v>1300014627</v>
      </c>
      <c r="L2" s="149" t="s">
        <v>911</v>
      </c>
      <c r="M2" s="149" t="s">
        <v>912</v>
      </c>
      <c r="N2" s="146">
        <v>46037</v>
      </c>
    </row>
    <row r="3" spans="1:14">
      <c r="A3" s="145"/>
      <c r="B3" s="144"/>
      <c r="C3" s="131" t="s">
        <v>913</v>
      </c>
      <c r="D3" s="144"/>
      <c r="E3" s="144"/>
      <c r="F3" s="144"/>
      <c r="G3" s="144"/>
      <c r="H3" s="144"/>
      <c r="I3" s="144"/>
      <c r="J3" s="144"/>
      <c r="K3" s="148"/>
      <c r="L3" s="150"/>
      <c r="M3" s="150"/>
      <c r="N3" s="144"/>
    </row>
    <row r="4" spans="1:14" ht="23.1" customHeight="1">
      <c r="A4" s="145">
        <v>2</v>
      </c>
      <c r="B4" s="143" t="s">
        <v>64</v>
      </c>
      <c r="C4" s="132" t="s">
        <v>906</v>
      </c>
      <c r="D4" s="143" t="s">
        <v>914</v>
      </c>
      <c r="E4" s="143" t="s">
        <v>915</v>
      </c>
      <c r="F4" s="143" t="s">
        <v>916</v>
      </c>
      <c r="G4" s="143">
        <v>1000017169</v>
      </c>
      <c r="H4" s="143" t="s">
        <v>909</v>
      </c>
      <c r="I4" s="143" t="s">
        <v>917</v>
      </c>
      <c r="J4" s="143">
        <v>1300017265</v>
      </c>
      <c r="K4" s="147">
        <v>1300014628</v>
      </c>
      <c r="L4" s="149" t="s">
        <v>911</v>
      </c>
      <c r="M4" s="149" t="s">
        <v>912</v>
      </c>
      <c r="N4" s="146">
        <v>46037</v>
      </c>
    </row>
    <row r="5" spans="1:14">
      <c r="A5" s="145">
        <v>3</v>
      </c>
      <c r="B5" s="144"/>
      <c r="C5" s="131" t="s">
        <v>913</v>
      </c>
      <c r="D5" s="144"/>
      <c r="E5" s="144"/>
      <c r="F5" s="144"/>
      <c r="G5" s="144"/>
      <c r="H5" s="144"/>
      <c r="I5" s="144"/>
      <c r="J5" s="144"/>
      <c r="K5" s="148"/>
      <c r="L5" s="150"/>
      <c r="M5" s="150"/>
      <c r="N5" s="144"/>
    </row>
    <row r="6" spans="1:14" s="133" customFormat="1" ht="28.35" customHeight="1">
      <c r="A6" s="145">
        <v>3</v>
      </c>
      <c r="B6" s="143" t="s">
        <v>42</v>
      </c>
      <c r="C6" s="132" t="s">
        <v>918</v>
      </c>
      <c r="D6" s="143" t="s">
        <v>919</v>
      </c>
      <c r="E6" s="143" t="s">
        <v>920</v>
      </c>
      <c r="F6" s="143" t="s">
        <v>921</v>
      </c>
      <c r="G6" s="143">
        <v>1000017169</v>
      </c>
      <c r="H6" s="143" t="s">
        <v>909</v>
      </c>
      <c r="I6" s="143" t="s">
        <v>922</v>
      </c>
      <c r="J6" s="151">
        <v>1300017719</v>
      </c>
      <c r="K6" s="153">
        <v>1300014970</v>
      </c>
      <c r="L6" s="149" t="s">
        <v>911</v>
      </c>
      <c r="M6" s="149" t="s">
        <v>912</v>
      </c>
      <c r="N6" s="146">
        <v>46080</v>
      </c>
    </row>
    <row r="7" spans="1:14" s="133" customFormat="1">
      <c r="A7" s="145">
        <v>3</v>
      </c>
      <c r="B7" s="144"/>
      <c r="C7" s="131" t="s">
        <v>923</v>
      </c>
      <c r="D7" s="144"/>
      <c r="E7" s="144"/>
      <c r="F7" s="144"/>
      <c r="G7" s="144"/>
      <c r="H7" s="144"/>
      <c r="I7" s="144"/>
      <c r="J7" s="152"/>
      <c r="K7" s="154"/>
      <c r="L7" s="150"/>
      <c r="M7" s="150"/>
      <c r="N7" s="144">
        <v>3</v>
      </c>
    </row>
    <row r="8" spans="1:14" s="134" customFormat="1" ht="23.1" customHeight="1">
      <c r="A8" s="145">
        <v>4</v>
      </c>
      <c r="B8" s="151" t="s">
        <v>64</v>
      </c>
      <c r="C8" s="131" t="s">
        <v>924</v>
      </c>
      <c r="D8" s="151" t="s">
        <v>925</v>
      </c>
      <c r="E8" s="151" t="s">
        <v>926</v>
      </c>
      <c r="F8" s="151"/>
      <c r="G8" s="151">
        <v>1000017169</v>
      </c>
      <c r="H8" s="151" t="s">
        <v>909</v>
      </c>
      <c r="I8" s="151" t="s">
        <v>927</v>
      </c>
      <c r="J8" s="151">
        <v>1300017718</v>
      </c>
      <c r="K8" s="153">
        <v>1300014843</v>
      </c>
      <c r="L8" s="149" t="s">
        <v>911</v>
      </c>
      <c r="M8" s="155" t="s">
        <v>928</v>
      </c>
      <c r="N8" s="157">
        <v>46077</v>
      </c>
    </row>
    <row r="9" spans="1:14" s="134" customFormat="1" ht="14.4">
      <c r="A9" s="145">
        <v>3</v>
      </c>
      <c r="B9" s="152"/>
      <c r="C9" s="135" t="s">
        <v>913</v>
      </c>
      <c r="D9" s="152"/>
      <c r="E9" s="152"/>
      <c r="F9" s="152"/>
      <c r="G9" s="152"/>
      <c r="H9" s="152"/>
      <c r="I9" s="152"/>
      <c r="J9" s="152"/>
      <c r="K9" s="154"/>
      <c r="L9" s="150"/>
      <c r="M9" s="156"/>
      <c r="N9" s="152">
        <v>3</v>
      </c>
    </row>
    <row r="10" spans="1:14" ht="19.350000000000001" customHeight="1">
      <c r="A10" s="145">
        <v>5</v>
      </c>
      <c r="B10" s="143" t="s">
        <v>64</v>
      </c>
      <c r="C10" s="132" t="s">
        <v>929</v>
      </c>
      <c r="D10" s="149" t="s">
        <v>930</v>
      </c>
      <c r="E10" s="143" t="s">
        <v>931</v>
      </c>
      <c r="F10" s="149" t="s">
        <v>932</v>
      </c>
      <c r="G10" s="149">
        <v>1000017169</v>
      </c>
      <c r="H10" s="160" t="s">
        <v>933</v>
      </c>
      <c r="I10" s="143" t="s">
        <v>934</v>
      </c>
      <c r="J10" s="149">
        <v>1700005654</v>
      </c>
      <c r="K10" s="155">
        <v>1700005880</v>
      </c>
      <c r="L10" s="149" t="s">
        <v>911</v>
      </c>
      <c r="M10" s="164" t="s">
        <v>935</v>
      </c>
      <c r="N10" s="146">
        <v>46080</v>
      </c>
    </row>
    <row r="11" spans="1:14" ht="22.8">
      <c r="A11" s="145"/>
      <c r="B11" s="158"/>
      <c r="C11" s="132" t="s">
        <v>936</v>
      </c>
      <c r="D11" s="159"/>
      <c r="E11" s="158"/>
      <c r="F11" s="159"/>
      <c r="G11" s="159"/>
      <c r="H11" s="161"/>
      <c r="I11" s="158"/>
      <c r="J11" s="159"/>
      <c r="K11" s="163"/>
      <c r="L11" s="159"/>
      <c r="M11" s="159"/>
      <c r="N11" s="158"/>
    </row>
    <row r="12" spans="1:14" ht="34.200000000000003">
      <c r="A12" s="145"/>
      <c r="B12" s="158"/>
      <c r="C12" s="132" t="s">
        <v>937</v>
      </c>
      <c r="D12" s="159"/>
      <c r="E12" s="158"/>
      <c r="F12" s="159"/>
      <c r="G12" s="159"/>
      <c r="H12" s="161"/>
      <c r="I12" s="158"/>
      <c r="J12" s="159"/>
      <c r="K12" s="163"/>
      <c r="L12" s="159"/>
      <c r="M12" s="159"/>
      <c r="N12" s="158"/>
    </row>
    <row r="13" spans="1:14" ht="21.6" customHeight="1">
      <c r="A13" s="145"/>
      <c r="B13" s="158"/>
      <c r="C13" s="132" t="s">
        <v>938</v>
      </c>
      <c r="D13" s="159"/>
      <c r="E13" s="158"/>
      <c r="F13" s="159"/>
      <c r="G13" s="159"/>
      <c r="H13" s="161"/>
      <c r="I13" s="158"/>
      <c r="J13" s="159"/>
      <c r="K13" s="163"/>
      <c r="L13" s="159"/>
      <c r="M13" s="159"/>
      <c r="N13" s="158"/>
    </row>
    <row r="14" spans="1:14">
      <c r="A14" s="145"/>
      <c r="B14" s="158"/>
      <c r="C14" s="132" t="s">
        <v>939</v>
      </c>
      <c r="D14" s="159"/>
      <c r="E14" s="158"/>
      <c r="F14" s="159"/>
      <c r="G14" s="159"/>
      <c r="H14" s="161"/>
      <c r="I14" s="158"/>
      <c r="J14" s="159"/>
      <c r="K14" s="163"/>
      <c r="L14" s="159"/>
      <c r="M14" s="159"/>
      <c r="N14" s="158"/>
    </row>
    <row r="15" spans="1:14">
      <c r="A15" s="145"/>
      <c r="B15" s="158"/>
      <c r="C15" s="132" t="s">
        <v>940</v>
      </c>
      <c r="D15" s="159"/>
      <c r="E15" s="158"/>
      <c r="F15" s="159"/>
      <c r="G15" s="159"/>
      <c r="H15" s="161"/>
      <c r="I15" s="158"/>
      <c r="J15" s="159"/>
      <c r="K15" s="163"/>
      <c r="L15" s="159"/>
      <c r="M15" s="159"/>
      <c r="N15" s="158"/>
    </row>
    <row r="16" spans="1:14">
      <c r="A16" s="145"/>
      <c r="B16" s="144"/>
      <c r="C16" s="131" t="s">
        <v>923</v>
      </c>
      <c r="D16" s="150"/>
      <c r="E16" s="144"/>
      <c r="F16" s="150"/>
      <c r="G16" s="150"/>
      <c r="H16" s="162"/>
      <c r="I16" s="144"/>
      <c r="J16" s="150"/>
      <c r="K16" s="156"/>
      <c r="L16" s="150"/>
      <c r="M16" s="150"/>
      <c r="N16" s="144"/>
    </row>
    <row r="17" spans="1:14" ht="34.200000000000003">
      <c r="A17" s="131">
        <v>6</v>
      </c>
      <c r="B17" s="136" t="s">
        <v>607</v>
      </c>
      <c r="C17" s="132" t="s">
        <v>941</v>
      </c>
      <c r="D17" s="136" t="s">
        <v>942</v>
      </c>
      <c r="E17" s="132" t="s">
        <v>943</v>
      </c>
      <c r="F17" s="135">
        <v>1000017169</v>
      </c>
      <c r="G17" s="135">
        <v>1000017169</v>
      </c>
      <c r="H17" s="135" t="s">
        <v>909</v>
      </c>
      <c r="I17" s="135" t="s">
        <v>944</v>
      </c>
      <c r="J17" s="136">
        <v>1300018087</v>
      </c>
      <c r="K17" s="137">
        <v>1300015325</v>
      </c>
      <c r="L17" s="149" t="s">
        <v>911</v>
      </c>
      <c r="M17" s="138" t="s">
        <v>945</v>
      </c>
      <c r="N17" s="139">
        <v>46101</v>
      </c>
    </row>
    <row r="18" spans="1:14" ht="34.200000000000003">
      <c r="A18" s="131">
        <v>7</v>
      </c>
      <c r="B18" s="136" t="s">
        <v>607</v>
      </c>
      <c r="C18" s="132" t="s">
        <v>946</v>
      </c>
      <c r="D18" s="136" t="s">
        <v>947</v>
      </c>
      <c r="E18" s="132" t="s">
        <v>948</v>
      </c>
      <c r="F18" s="135">
        <v>1000017169</v>
      </c>
      <c r="G18" s="135">
        <v>1000017169</v>
      </c>
      <c r="H18" s="135" t="s">
        <v>909</v>
      </c>
      <c r="I18" s="135" t="s">
        <v>949</v>
      </c>
      <c r="J18" s="136">
        <v>1300018088</v>
      </c>
      <c r="K18" s="137">
        <v>1300015326</v>
      </c>
      <c r="L18" s="159"/>
      <c r="M18" s="138" t="s">
        <v>945</v>
      </c>
      <c r="N18" s="139">
        <v>46101</v>
      </c>
    </row>
    <row r="19" spans="1:14" ht="34.200000000000003">
      <c r="A19" s="131">
        <v>8</v>
      </c>
      <c r="B19" s="136" t="s">
        <v>610</v>
      </c>
      <c r="C19" s="132" t="s">
        <v>950</v>
      </c>
      <c r="D19" s="136" t="s">
        <v>951</v>
      </c>
      <c r="E19" s="132" t="s">
        <v>952</v>
      </c>
      <c r="F19" s="135">
        <v>1000017169</v>
      </c>
      <c r="G19" s="135">
        <v>1000017169</v>
      </c>
      <c r="H19" s="135" t="s">
        <v>909</v>
      </c>
      <c r="I19" s="135" t="s">
        <v>953</v>
      </c>
      <c r="J19" s="136">
        <v>1300018089</v>
      </c>
      <c r="K19" s="137">
        <v>1300015327</v>
      </c>
      <c r="L19" s="159"/>
      <c r="M19" s="136" t="s">
        <v>912</v>
      </c>
      <c r="N19" s="139">
        <v>46101</v>
      </c>
    </row>
    <row r="20" spans="1:14" ht="34.200000000000003">
      <c r="A20" s="131">
        <v>9</v>
      </c>
      <c r="B20" s="136" t="s">
        <v>610</v>
      </c>
      <c r="C20" s="132" t="s">
        <v>954</v>
      </c>
      <c r="D20" s="136" t="s">
        <v>955</v>
      </c>
      <c r="E20" s="132" t="s">
        <v>956</v>
      </c>
      <c r="F20" s="135">
        <v>1000017169</v>
      </c>
      <c r="G20" s="135">
        <v>1000017169</v>
      </c>
      <c r="H20" s="135" t="s">
        <v>909</v>
      </c>
      <c r="I20" s="135" t="s">
        <v>957</v>
      </c>
      <c r="J20" s="136">
        <v>1300018090</v>
      </c>
      <c r="K20" s="137">
        <v>1300015328</v>
      </c>
      <c r="L20" s="159"/>
      <c r="M20" s="136" t="s">
        <v>912</v>
      </c>
      <c r="N20" s="139">
        <v>46101</v>
      </c>
    </row>
    <row r="21" spans="1:14" ht="34.200000000000003">
      <c r="A21" s="131">
        <v>10</v>
      </c>
      <c r="B21" s="136" t="s">
        <v>610</v>
      </c>
      <c r="C21" s="132" t="s">
        <v>958</v>
      </c>
      <c r="D21" s="136" t="s">
        <v>959</v>
      </c>
      <c r="E21" s="132" t="s">
        <v>960</v>
      </c>
      <c r="F21" s="135">
        <v>1000017169</v>
      </c>
      <c r="G21" s="135">
        <v>1000017169</v>
      </c>
      <c r="H21" s="135" t="s">
        <v>909</v>
      </c>
      <c r="I21" s="135" t="s">
        <v>961</v>
      </c>
      <c r="J21" s="136">
        <v>1300018091</v>
      </c>
      <c r="K21" s="137">
        <v>1300015329</v>
      </c>
      <c r="L21" s="159"/>
      <c r="M21" s="136" t="s">
        <v>912</v>
      </c>
      <c r="N21" s="139">
        <v>46101</v>
      </c>
    </row>
    <row r="22" spans="1:14" ht="34.200000000000003">
      <c r="A22" s="131">
        <v>11</v>
      </c>
      <c r="B22" s="136" t="s">
        <v>609</v>
      </c>
      <c r="C22" s="132" t="s">
        <v>962</v>
      </c>
      <c r="D22" s="136" t="s">
        <v>963</v>
      </c>
      <c r="E22" s="132" t="s">
        <v>964</v>
      </c>
      <c r="F22" s="135">
        <v>1000017169</v>
      </c>
      <c r="G22" s="135">
        <v>1000017169</v>
      </c>
      <c r="H22" s="135" t="s">
        <v>909</v>
      </c>
      <c r="I22" s="135" t="s">
        <v>965</v>
      </c>
      <c r="J22" s="136">
        <v>1300018092</v>
      </c>
      <c r="K22" s="137">
        <v>1300015330</v>
      </c>
      <c r="L22" s="159"/>
      <c r="M22" s="136" t="s">
        <v>912</v>
      </c>
      <c r="N22" s="139">
        <v>46101</v>
      </c>
    </row>
    <row r="23" spans="1:14" ht="34.200000000000003">
      <c r="A23" s="131">
        <v>12</v>
      </c>
      <c r="B23" s="136" t="s">
        <v>610</v>
      </c>
      <c r="C23" s="132" t="s">
        <v>966</v>
      </c>
      <c r="D23" s="136" t="s">
        <v>967</v>
      </c>
      <c r="E23" s="132" t="s">
        <v>968</v>
      </c>
      <c r="F23" s="135">
        <v>1000017169</v>
      </c>
      <c r="G23" s="135">
        <v>1000017169</v>
      </c>
      <c r="H23" s="135" t="s">
        <v>909</v>
      </c>
      <c r="I23" s="135" t="s">
        <v>969</v>
      </c>
      <c r="J23" s="136">
        <v>1300018093</v>
      </c>
      <c r="K23" s="137">
        <v>1300015331</v>
      </c>
      <c r="L23" s="150"/>
      <c r="M23" s="136" t="s">
        <v>912</v>
      </c>
      <c r="N23" s="139">
        <v>46101</v>
      </c>
    </row>
    <row r="26" spans="1:14" ht="15.6">
      <c r="C26" s="140"/>
    </row>
    <row r="27" spans="1:14" ht="14.4">
      <c r="C27" s="134"/>
    </row>
    <row r="28" spans="1:14" ht="15.6">
      <c r="C28" s="140"/>
    </row>
  </sheetData>
  <autoFilter ref="A1:L23" xr:uid="{29C6DB10-B6AB-4A5C-A9B8-CD90AEEF1EF9}"/>
  <mergeCells count="66">
    <mergeCell ref="L17:L23"/>
    <mergeCell ref="H10:H16"/>
    <mergeCell ref="I10:I16"/>
    <mergeCell ref="J10:J16"/>
    <mergeCell ref="K10:K16"/>
    <mergeCell ref="L10:L16"/>
    <mergeCell ref="K8:K9"/>
    <mergeCell ref="L8:L9"/>
    <mergeCell ref="M8:M9"/>
    <mergeCell ref="N8:N9"/>
    <mergeCell ref="A10:A16"/>
    <mergeCell ref="B10:B16"/>
    <mergeCell ref="D10:D16"/>
    <mergeCell ref="E10:E16"/>
    <mergeCell ref="F10:F16"/>
    <mergeCell ref="G10:G16"/>
    <mergeCell ref="N10:N16"/>
    <mergeCell ref="M10:M16"/>
    <mergeCell ref="G8:G9"/>
    <mergeCell ref="H8:H9"/>
    <mergeCell ref="I8:I9"/>
    <mergeCell ref="J8:J9"/>
    <mergeCell ref="H6:H7"/>
    <mergeCell ref="I6:I7"/>
    <mergeCell ref="J6:J7"/>
    <mergeCell ref="A8:A9"/>
    <mergeCell ref="B8:B9"/>
    <mergeCell ref="D8:D9"/>
    <mergeCell ref="E8:E9"/>
    <mergeCell ref="F8:F9"/>
    <mergeCell ref="K4:K5"/>
    <mergeCell ref="L4:L5"/>
    <mergeCell ref="M4:M5"/>
    <mergeCell ref="N4:N5"/>
    <mergeCell ref="A6:A7"/>
    <mergeCell ref="B6:B7"/>
    <mergeCell ref="D6:D7"/>
    <mergeCell ref="E6:E7"/>
    <mergeCell ref="F6:F7"/>
    <mergeCell ref="G6:G7"/>
    <mergeCell ref="N6:N7"/>
    <mergeCell ref="K6:K7"/>
    <mergeCell ref="L6:L7"/>
    <mergeCell ref="M6:M7"/>
    <mergeCell ref="N2:N3"/>
    <mergeCell ref="A4:A5"/>
    <mergeCell ref="B4:B5"/>
    <mergeCell ref="D4:D5"/>
    <mergeCell ref="E4:E5"/>
    <mergeCell ref="F4:F5"/>
    <mergeCell ref="G4:G5"/>
    <mergeCell ref="H4:H5"/>
    <mergeCell ref="I4:I5"/>
    <mergeCell ref="J4:J5"/>
    <mergeCell ref="H2:H3"/>
    <mergeCell ref="I2:I3"/>
    <mergeCell ref="J2:J3"/>
    <mergeCell ref="K2:K3"/>
    <mergeCell ref="L2:L3"/>
    <mergeCell ref="M2:M3"/>
    <mergeCell ref="G2:G3"/>
    <mergeCell ref="A2:A3"/>
    <mergeCell ref="B2:B3"/>
    <mergeCell ref="D2:D3"/>
    <mergeCell ref="E2:E3"/>
    <mergeCell ref="F2:F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049104E5FA1947A836A7B639395385" ma:contentTypeVersion="19" ma:contentTypeDescription="Crear nuevo documento." ma:contentTypeScope="" ma:versionID="6493abd234be057a68652bad72fb62f9">
  <xsd:schema xmlns:xsd="http://www.w3.org/2001/XMLSchema" xmlns:xs="http://www.w3.org/2001/XMLSchema" xmlns:p="http://schemas.microsoft.com/office/2006/metadata/properties" xmlns:ns2="42abd304-da40-4790-a833-21361dfa678a" xmlns:ns3="5e75149e-2e23-4e43-b9c7-271c876621cf" targetNamespace="http://schemas.microsoft.com/office/2006/metadata/properties" ma:root="true" ma:fieldsID="22eb3d5e37eeee8512ec091dd6d22395" ns2:_="" ns3:_="">
    <xsd:import namespace="42abd304-da40-4790-a833-21361dfa678a"/>
    <xsd:import namespace="5e75149e-2e23-4e43-b9c7-271c876621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abd304-da40-4790-a833-21361dfa67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164f4256-8fed-411a-9226-d70478df66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75149e-2e23-4e43-b9c7-271c876621c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9f4fb77-b4a9-44a3-9c8d-877d16124564}" ma:internalName="TaxCatchAll" ma:showField="CatchAllData" ma:web="5e75149e-2e23-4e43-b9c7-271c876621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abd304-da40-4790-a833-21361dfa678a">
      <Terms xmlns="http://schemas.microsoft.com/office/infopath/2007/PartnerControls"/>
    </lcf76f155ced4ddcb4097134ff3c332f>
    <TaxCatchAll xmlns="5e75149e-2e23-4e43-b9c7-271c876621cf" xsi:nil="true"/>
  </documentManagement>
</p:properties>
</file>

<file path=customXml/itemProps1.xml><?xml version="1.0" encoding="utf-8"?>
<ds:datastoreItem xmlns:ds="http://schemas.openxmlformats.org/officeDocument/2006/customXml" ds:itemID="{3D199194-A436-4F7D-9137-82B8292EBC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3D4701-8ADA-4537-93F8-47A0103A0C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abd304-da40-4790-a833-21361dfa678a"/>
    <ds:schemaRef ds:uri="5e75149e-2e23-4e43-b9c7-271c876621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FA3771-0AB6-44D5-B98A-8B9B9835E29A}">
  <ds:schemaRefs>
    <ds:schemaRef ds:uri="http://schemas.microsoft.com/office/2006/metadata/properties"/>
    <ds:schemaRef ds:uri="http://schemas.microsoft.com/office/infopath/2007/PartnerControls"/>
    <ds:schemaRef ds:uri="42abd304-da40-4790-a833-21361dfa678a"/>
    <ds:schemaRef ds:uri="5e75149e-2e23-4e43-b9c7-271c876621c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2025</vt:lpstr>
      <vt:lpstr>Sur_T1</vt:lpstr>
      <vt:lpstr>Sur_T2</vt:lpstr>
      <vt:lpstr>Hoja3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Nicolls Viviana Lopez Dominguez</dc:creator>
  <cp:keywords/>
  <dc:description/>
  <cp:lastModifiedBy>Edwin Ricardo Lopez Ruiz</cp:lastModifiedBy>
  <cp:revision/>
  <dcterms:created xsi:type="dcterms:W3CDTF">2025-12-02T22:22:25Z</dcterms:created>
  <dcterms:modified xsi:type="dcterms:W3CDTF">2026-06-22T16:20:29Z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0x01010026049104E5FA1947A836A7B639395385</vt:lpwstr>
  </property>
  <property fmtid="{D5CDD505-2E9C-101B-9397-08002B2CF9AE}" pid="3" name="MediaServiceImageTags">
    <vt:lpwstr/>
  </property>
</Properties>
</file>